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ich\Downloads\테스트\"/>
    </mc:Choice>
  </mc:AlternateContent>
  <xr:revisionPtr revIDLastSave="0" documentId="13_ncr:1_{69E51B7D-FA1A-4789-A723-0C6187B036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B관리" sheetId="3" r:id="rId1"/>
    <sheet name="가공DB" sheetId="4" state="hidden" r:id="rId2"/>
    <sheet name="설정" sheetId="6" state="hidden" r:id="rId3"/>
  </sheets>
  <definedNames>
    <definedName name="_xlnm._FilterDatabase" localSheetId="0" hidden="1">DB관리!$A$324:$M$1000</definedName>
  </definedNames>
  <calcPr calcId="181029"/>
</workbook>
</file>

<file path=xl/calcChain.xml><?xml version="1.0" encoding="utf-8"?>
<calcChain xmlns="http://schemas.openxmlformats.org/spreadsheetml/2006/main">
  <c r="J1000" i="4" l="1"/>
  <c r="I1000" i="4"/>
  <c r="H1000" i="4"/>
  <c r="G1000" i="4"/>
  <c r="F1000" i="4"/>
  <c r="E1000" i="4"/>
  <c r="D1000" i="4"/>
  <c r="C1000" i="4"/>
  <c r="B1000" i="4"/>
  <c r="A1000" i="4"/>
  <c r="J999" i="4"/>
  <c r="I999" i="4"/>
  <c r="H999" i="4"/>
  <c r="G999" i="4"/>
  <c r="F999" i="4"/>
  <c r="E999" i="4"/>
  <c r="D999" i="4"/>
  <c r="C999" i="4"/>
  <c r="B999" i="4"/>
  <c r="A999" i="4"/>
  <c r="J998" i="4"/>
  <c r="I998" i="4"/>
  <c r="H998" i="4"/>
  <c r="G998" i="4"/>
  <c r="F998" i="4"/>
  <c r="E998" i="4"/>
  <c r="D998" i="4"/>
  <c r="C998" i="4"/>
  <c r="B998" i="4"/>
  <c r="A998" i="4"/>
  <c r="J997" i="4"/>
  <c r="I997" i="4"/>
  <c r="H997" i="4"/>
  <c r="G997" i="4"/>
  <c r="F997" i="4"/>
  <c r="E997" i="4"/>
  <c r="D997" i="4"/>
  <c r="C997" i="4"/>
  <c r="B997" i="4"/>
  <c r="A997" i="4"/>
  <c r="J996" i="4"/>
  <c r="I996" i="4"/>
  <c r="H996" i="4"/>
  <c r="G996" i="4"/>
  <c r="F996" i="4"/>
  <c r="E996" i="4"/>
  <c r="D996" i="4"/>
  <c r="C996" i="4"/>
  <c r="B996" i="4"/>
  <c r="A996" i="4"/>
  <c r="J995" i="4"/>
  <c r="I995" i="4"/>
  <c r="H995" i="4"/>
  <c r="G995" i="4"/>
  <c r="F995" i="4"/>
  <c r="E995" i="4"/>
  <c r="D995" i="4"/>
  <c r="C995" i="4"/>
  <c r="B995" i="4"/>
  <c r="A995" i="4"/>
  <c r="J994" i="4"/>
  <c r="I994" i="4"/>
  <c r="H994" i="4"/>
  <c r="G994" i="4"/>
  <c r="F994" i="4"/>
  <c r="E994" i="4"/>
  <c r="D994" i="4"/>
  <c r="C994" i="4"/>
  <c r="B994" i="4"/>
  <c r="A994" i="4"/>
  <c r="J993" i="4"/>
  <c r="I993" i="4"/>
  <c r="H993" i="4"/>
  <c r="G993" i="4"/>
  <c r="F993" i="4"/>
  <c r="E993" i="4"/>
  <c r="D993" i="4"/>
  <c r="C993" i="4"/>
  <c r="B993" i="4"/>
  <c r="A993" i="4"/>
  <c r="J992" i="4"/>
  <c r="I992" i="4"/>
  <c r="H992" i="4"/>
  <c r="G992" i="4"/>
  <c r="F992" i="4"/>
  <c r="E992" i="4"/>
  <c r="D992" i="4"/>
  <c r="C992" i="4"/>
  <c r="B992" i="4"/>
  <c r="A992" i="4"/>
  <c r="J991" i="4"/>
  <c r="I991" i="4"/>
  <c r="H991" i="4"/>
  <c r="G991" i="4"/>
  <c r="F991" i="4"/>
  <c r="E991" i="4"/>
  <c r="D991" i="4"/>
  <c r="C991" i="4"/>
  <c r="B991" i="4"/>
  <c r="A991" i="4"/>
  <c r="J990" i="4"/>
  <c r="I990" i="4"/>
  <c r="H990" i="4"/>
  <c r="G990" i="4"/>
  <c r="F990" i="4"/>
  <c r="E990" i="4"/>
  <c r="D990" i="4"/>
  <c r="C990" i="4"/>
  <c r="B990" i="4"/>
  <c r="A990" i="4"/>
  <c r="J989" i="4"/>
  <c r="I989" i="4"/>
  <c r="H989" i="4"/>
  <c r="G989" i="4"/>
  <c r="F989" i="4"/>
  <c r="E989" i="4"/>
  <c r="D989" i="4"/>
  <c r="C989" i="4"/>
  <c r="B989" i="4"/>
  <c r="A989" i="4"/>
  <c r="J988" i="4"/>
  <c r="I988" i="4"/>
  <c r="H988" i="4"/>
  <c r="G988" i="4"/>
  <c r="F988" i="4"/>
  <c r="E988" i="4"/>
  <c r="D988" i="4"/>
  <c r="C988" i="4"/>
  <c r="B988" i="4"/>
  <c r="A988" i="4"/>
  <c r="J987" i="4"/>
  <c r="I987" i="4"/>
  <c r="H987" i="4"/>
  <c r="G987" i="4"/>
  <c r="F987" i="4"/>
  <c r="E987" i="4"/>
  <c r="D987" i="4"/>
  <c r="C987" i="4"/>
  <c r="B987" i="4"/>
  <c r="A987" i="4"/>
  <c r="J986" i="4"/>
  <c r="I986" i="4"/>
  <c r="H986" i="4"/>
  <c r="G986" i="4"/>
  <c r="F986" i="4"/>
  <c r="E986" i="4"/>
  <c r="D986" i="4"/>
  <c r="C986" i="4"/>
  <c r="B986" i="4"/>
  <c r="A986" i="4"/>
  <c r="J985" i="4"/>
  <c r="I985" i="4"/>
  <c r="H985" i="4"/>
  <c r="G985" i="4"/>
  <c r="F985" i="4"/>
  <c r="E985" i="4"/>
  <c r="D985" i="4"/>
  <c r="C985" i="4"/>
  <c r="B985" i="4"/>
  <c r="A985" i="4"/>
  <c r="J984" i="4"/>
  <c r="I984" i="4"/>
  <c r="H984" i="4"/>
  <c r="G984" i="4"/>
  <c r="F984" i="4"/>
  <c r="E984" i="4"/>
  <c r="D984" i="4"/>
  <c r="C984" i="4"/>
  <c r="B984" i="4"/>
  <c r="A984" i="4"/>
  <c r="J983" i="4"/>
  <c r="I983" i="4"/>
  <c r="H983" i="4"/>
  <c r="G983" i="4"/>
  <c r="F983" i="4"/>
  <c r="E983" i="4"/>
  <c r="D983" i="4"/>
  <c r="C983" i="4"/>
  <c r="B983" i="4"/>
  <c r="A983" i="4"/>
  <c r="J982" i="4"/>
  <c r="I982" i="4"/>
  <c r="H982" i="4"/>
  <c r="G982" i="4"/>
  <c r="F982" i="4"/>
  <c r="E982" i="4"/>
  <c r="D982" i="4"/>
  <c r="C982" i="4"/>
  <c r="B982" i="4"/>
  <c r="A982" i="4"/>
  <c r="J981" i="4"/>
  <c r="I981" i="4"/>
  <c r="H981" i="4"/>
  <c r="G981" i="4"/>
  <c r="F981" i="4"/>
  <c r="E981" i="4"/>
  <c r="D981" i="4"/>
  <c r="C981" i="4"/>
  <c r="B981" i="4"/>
  <c r="A981" i="4"/>
  <c r="J980" i="4"/>
  <c r="I980" i="4"/>
  <c r="H980" i="4"/>
  <c r="G980" i="4"/>
  <c r="F980" i="4"/>
  <c r="E980" i="4"/>
  <c r="D980" i="4"/>
  <c r="C980" i="4"/>
  <c r="B980" i="4"/>
  <c r="A980" i="4"/>
  <c r="J979" i="4"/>
  <c r="I979" i="4"/>
  <c r="H979" i="4"/>
  <c r="G979" i="4"/>
  <c r="F979" i="4"/>
  <c r="E979" i="4"/>
  <c r="D979" i="4"/>
  <c r="C979" i="4"/>
  <c r="B979" i="4"/>
  <c r="A979" i="4"/>
  <c r="J978" i="4"/>
  <c r="I978" i="4"/>
  <c r="H978" i="4"/>
  <c r="G978" i="4"/>
  <c r="F978" i="4"/>
  <c r="E978" i="4"/>
  <c r="D978" i="4"/>
  <c r="C978" i="4"/>
  <c r="B978" i="4"/>
  <c r="A978" i="4"/>
  <c r="J977" i="4"/>
  <c r="I977" i="4"/>
  <c r="H977" i="4"/>
  <c r="G977" i="4"/>
  <c r="F977" i="4"/>
  <c r="E977" i="4"/>
  <c r="D977" i="4"/>
  <c r="C977" i="4"/>
  <c r="B977" i="4"/>
  <c r="A977" i="4"/>
  <c r="J976" i="4"/>
  <c r="I976" i="4"/>
  <c r="H976" i="4"/>
  <c r="G976" i="4"/>
  <c r="F976" i="4"/>
  <c r="E976" i="4"/>
  <c r="D976" i="4"/>
  <c r="C976" i="4"/>
  <c r="B976" i="4"/>
  <c r="A976" i="4"/>
  <c r="J975" i="4"/>
  <c r="I975" i="4"/>
  <c r="H975" i="4"/>
  <c r="G975" i="4"/>
  <c r="F975" i="4"/>
  <c r="E975" i="4"/>
  <c r="D975" i="4"/>
  <c r="C975" i="4"/>
  <c r="B975" i="4"/>
  <c r="A975" i="4"/>
  <c r="J974" i="4"/>
  <c r="I974" i="4"/>
  <c r="H974" i="4"/>
  <c r="G974" i="4"/>
  <c r="F974" i="4"/>
  <c r="E974" i="4"/>
  <c r="D974" i="4"/>
  <c r="C974" i="4"/>
  <c r="B974" i="4"/>
  <c r="A974" i="4"/>
  <c r="J973" i="4"/>
  <c r="I973" i="4"/>
  <c r="H973" i="4"/>
  <c r="G973" i="4"/>
  <c r="F973" i="4"/>
  <c r="E973" i="4"/>
  <c r="D973" i="4"/>
  <c r="C973" i="4"/>
  <c r="B973" i="4"/>
  <c r="A973" i="4"/>
  <c r="J972" i="4"/>
  <c r="I972" i="4"/>
  <c r="H972" i="4"/>
  <c r="G972" i="4"/>
  <c r="F972" i="4"/>
  <c r="E972" i="4"/>
  <c r="D972" i="4"/>
  <c r="C972" i="4"/>
  <c r="B972" i="4"/>
  <c r="A972" i="4"/>
  <c r="J971" i="4"/>
  <c r="I971" i="4"/>
  <c r="H971" i="4"/>
  <c r="G971" i="4"/>
  <c r="F971" i="4"/>
  <c r="E971" i="4"/>
  <c r="D971" i="4"/>
  <c r="C971" i="4"/>
  <c r="B971" i="4"/>
  <c r="A971" i="4"/>
  <c r="J970" i="4"/>
  <c r="I970" i="4"/>
  <c r="H970" i="4"/>
  <c r="G970" i="4"/>
  <c r="F970" i="4"/>
  <c r="E970" i="4"/>
  <c r="D970" i="4"/>
  <c r="C970" i="4"/>
  <c r="B970" i="4"/>
  <c r="A970" i="4"/>
  <c r="J969" i="4"/>
  <c r="I969" i="4"/>
  <c r="H969" i="4"/>
  <c r="G969" i="4"/>
  <c r="F969" i="4"/>
  <c r="E969" i="4"/>
  <c r="D969" i="4"/>
  <c r="C969" i="4"/>
  <c r="B969" i="4"/>
  <c r="A969" i="4"/>
  <c r="J968" i="4"/>
  <c r="I968" i="4"/>
  <c r="H968" i="4"/>
  <c r="G968" i="4"/>
  <c r="F968" i="4"/>
  <c r="E968" i="4"/>
  <c r="D968" i="4"/>
  <c r="C968" i="4"/>
  <c r="B968" i="4"/>
  <c r="A968" i="4"/>
  <c r="J967" i="4"/>
  <c r="I967" i="4"/>
  <c r="H967" i="4"/>
  <c r="G967" i="4"/>
  <c r="F967" i="4"/>
  <c r="E967" i="4"/>
  <c r="D967" i="4"/>
  <c r="C967" i="4"/>
  <c r="B967" i="4"/>
  <c r="A967" i="4"/>
  <c r="J966" i="4"/>
  <c r="I966" i="4"/>
  <c r="H966" i="4"/>
  <c r="G966" i="4"/>
  <c r="F966" i="4"/>
  <c r="E966" i="4"/>
  <c r="D966" i="4"/>
  <c r="C966" i="4"/>
  <c r="B966" i="4"/>
  <c r="A966" i="4"/>
  <c r="J965" i="4"/>
  <c r="I965" i="4"/>
  <c r="H965" i="4"/>
  <c r="G965" i="4"/>
  <c r="F965" i="4"/>
  <c r="E965" i="4"/>
  <c r="D965" i="4"/>
  <c r="C965" i="4"/>
  <c r="B965" i="4"/>
  <c r="A965" i="4"/>
  <c r="J964" i="4"/>
  <c r="I964" i="4"/>
  <c r="H964" i="4"/>
  <c r="G964" i="4"/>
  <c r="F964" i="4"/>
  <c r="E964" i="4"/>
  <c r="D964" i="4"/>
  <c r="C964" i="4"/>
  <c r="B964" i="4"/>
  <c r="A964" i="4"/>
  <c r="J963" i="4"/>
  <c r="I963" i="4"/>
  <c r="H963" i="4"/>
  <c r="G963" i="4"/>
  <c r="F963" i="4"/>
  <c r="E963" i="4"/>
  <c r="D963" i="4"/>
  <c r="C963" i="4"/>
  <c r="B963" i="4"/>
  <c r="A963" i="4"/>
  <c r="J962" i="4"/>
  <c r="I962" i="4"/>
  <c r="H962" i="4"/>
  <c r="G962" i="4"/>
  <c r="F962" i="4"/>
  <c r="E962" i="4"/>
  <c r="D962" i="4"/>
  <c r="C962" i="4"/>
  <c r="B962" i="4"/>
  <c r="A962" i="4"/>
  <c r="J961" i="4"/>
  <c r="I961" i="4"/>
  <c r="H961" i="4"/>
  <c r="G961" i="4"/>
  <c r="F961" i="4"/>
  <c r="E961" i="4"/>
  <c r="D961" i="4"/>
  <c r="C961" i="4"/>
  <c r="B961" i="4"/>
  <c r="A961" i="4"/>
  <c r="J960" i="4"/>
  <c r="I960" i="4"/>
  <c r="H960" i="4"/>
  <c r="G960" i="4"/>
  <c r="F960" i="4"/>
  <c r="E960" i="4"/>
  <c r="D960" i="4"/>
  <c r="C960" i="4"/>
  <c r="B960" i="4"/>
  <c r="A960" i="4"/>
  <c r="J959" i="4"/>
  <c r="I959" i="4"/>
  <c r="H959" i="4"/>
  <c r="G959" i="4"/>
  <c r="F959" i="4"/>
  <c r="E959" i="4"/>
  <c r="D959" i="4"/>
  <c r="C959" i="4"/>
  <c r="B959" i="4"/>
  <c r="A959" i="4"/>
  <c r="J958" i="4"/>
  <c r="I958" i="4"/>
  <c r="H958" i="4"/>
  <c r="G958" i="4"/>
  <c r="F958" i="4"/>
  <c r="E958" i="4"/>
  <c r="D958" i="4"/>
  <c r="C958" i="4"/>
  <c r="B958" i="4"/>
  <c r="A958" i="4"/>
  <c r="J957" i="4"/>
  <c r="I957" i="4"/>
  <c r="H957" i="4"/>
  <c r="G957" i="4"/>
  <c r="F957" i="4"/>
  <c r="E957" i="4"/>
  <c r="D957" i="4"/>
  <c r="C957" i="4"/>
  <c r="B957" i="4"/>
  <c r="A957" i="4"/>
  <c r="J956" i="4"/>
  <c r="I956" i="4"/>
  <c r="H956" i="4"/>
  <c r="G956" i="4"/>
  <c r="F956" i="4"/>
  <c r="E956" i="4"/>
  <c r="D956" i="4"/>
  <c r="C956" i="4"/>
  <c r="B956" i="4"/>
  <c r="A956" i="4"/>
  <c r="J955" i="4"/>
  <c r="I955" i="4"/>
  <c r="H955" i="4"/>
  <c r="G955" i="4"/>
  <c r="F955" i="4"/>
  <c r="E955" i="4"/>
  <c r="D955" i="4"/>
  <c r="C955" i="4"/>
  <c r="B955" i="4"/>
  <c r="A955" i="4"/>
  <c r="J954" i="4"/>
  <c r="I954" i="4"/>
  <c r="H954" i="4"/>
  <c r="G954" i="4"/>
  <c r="F954" i="4"/>
  <c r="E954" i="4"/>
  <c r="D954" i="4"/>
  <c r="C954" i="4"/>
  <c r="B954" i="4"/>
  <c r="A954" i="4"/>
  <c r="J953" i="4"/>
  <c r="I953" i="4"/>
  <c r="H953" i="4"/>
  <c r="G953" i="4"/>
  <c r="F953" i="4"/>
  <c r="E953" i="4"/>
  <c r="D953" i="4"/>
  <c r="C953" i="4"/>
  <c r="B953" i="4"/>
  <c r="A953" i="4"/>
  <c r="J952" i="4"/>
  <c r="I952" i="4"/>
  <c r="H952" i="4"/>
  <c r="G952" i="4"/>
  <c r="F952" i="4"/>
  <c r="E952" i="4"/>
  <c r="D952" i="4"/>
  <c r="C952" i="4"/>
  <c r="B952" i="4"/>
  <c r="A952" i="4"/>
  <c r="J951" i="4"/>
  <c r="I951" i="4"/>
  <c r="H951" i="4"/>
  <c r="G951" i="4"/>
  <c r="F951" i="4"/>
  <c r="E951" i="4"/>
  <c r="D951" i="4"/>
  <c r="C951" i="4"/>
  <c r="B951" i="4"/>
  <c r="A951" i="4"/>
  <c r="J950" i="4"/>
  <c r="I950" i="4"/>
  <c r="H950" i="4"/>
  <c r="G950" i="4"/>
  <c r="F950" i="4"/>
  <c r="E950" i="4"/>
  <c r="D950" i="4"/>
  <c r="C950" i="4"/>
  <c r="B950" i="4"/>
  <c r="A950" i="4"/>
  <c r="J949" i="4"/>
  <c r="I949" i="4"/>
  <c r="H949" i="4"/>
  <c r="G949" i="4"/>
  <c r="F949" i="4"/>
  <c r="E949" i="4"/>
  <c r="D949" i="4"/>
  <c r="C949" i="4"/>
  <c r="B949" i="4"/>
  <c r="A949" i="4"/>
  <c r="J948" i="4"/>
  <c r="I948" i="4"/>
  <c r="H948" i="4"/>
  <c r="G948" i="4"/>
  <c r="F948" i="4"/>
  <c r="E948" i="4"/>
  <c r="D948" i="4"/>
  <c r="C948" i="4"/>
  <c r="B948" i="4"/>
  <c r="A948" i="4"/>
  <c r="J947" i="4"/>
  <c r="I947" i="4"/>
  <c r="H947" i="4"/>
  <c r="G947" i="4"/>
  <c r="F947" i="4"/>
  <c r="E947" i="4"/>
  <c r="D947" i="4"/>
  <c r="C947" i="4"/>
  <c r="B947" i="4"/>
  <c r="A947" i="4"/>
  <c r="J946" i="4"/>
  <c r="I946" i="4"/>
  <c r="H946" i="4"/>
  <c r="G946" i="4"/>
  <c r="F946" i="4"/>
  <c r="E946" i="4"/>
  <c r="D946" i="4"/>
  <c r="C946" i="4"/>
  <c r="B946" i="4"/>
  <c r="A946" i="4"/>
  <c r="J945" i="4"/>
  <c r="I945" i="4"/>
  <c r="H945" i="4"/>
  <c r="G945" i="4"/>
  <c r="F945" i="4"/>
  <c r="E945" i="4"/>
  <c r="D945" i="4"/>
  <c r="C945" i="4"/>
  <c r="B945" i="4"/>
  <c r="A945" i="4"/>
  <c r="J944" i="4"/>
  <c r="I944" i="4"/>
  <c r="H944" i="4"/>
  <c r="G944" i="4"/>
  <c r="F944" i="4"/>
  <c r="E944" i="4"/>
  <c r="D944" i="4"/>
  <c r="C944" i="4"/>
  <c r="B944" i="4"/>
  <c r="A944" i="4"/>
  <c r="J943" i="4"/>
  <c r="I943" i="4"/>
  <c r="H943" i="4"/>
  <c r="G943" i="4"/>
  <c r="F943" i="4"/>
  <c r="E943" i="4"/>
  <c r="D943" i="4"/>
  <c r="C943" i="4"/>
  <c r="B943" i="4"/>
  <c r="A943" i="4"/>
  <c r="J942" i="4"/>
  <c r="I942" i="4"/>
  <c r="H942" i="4"/>
  <c r="G942" i="4"/>
  <c r="F942" i="4"/>
  <c r="E942" i="4"/>
  <c r="D942" i="4"/>
  <c r="C942" i="4"/>
  <c r="B942" i="4"/>
  <c r="A942" i="4"/>
  <c r="J941" i="4"/>
  <c r="I941" i="4"/>
  <c r="H941" i="4"/>
  <c r="G941" i="4"/>
  <c r="F941" i="4"/>
  <c r="E941" i="4"/>
  <c r="D941" i="4"/>
  <c r="C941" i="4"/>
  <c r="B941" i="4"/>
  <c r="A941" i="4"/>
  <c r="J940" i="4"/>
  <c r="I940" i="4"/>
  <c r="H940" i="4"/>
  <c r="G940" i="4"/>
  <c r="F940" i="4"/>
  <c r="E940" i="4"/>
  <c r="D940" i="4"/>
  <c r="C940" i="4"/>
  <c r="B940" i="4"/>
  <c r="A940" i="4"/>
  <c r="J939" i="4"/>
  <c r="I939" i="4"/>
  <c r="H939" i="4"/>
  <c r="G939" i="4"/>
  <c r="F939" i="4"/>
  <c r="E939" i="4"/>
  <c r="D939" i="4"/>
  <c r="C939" i="4"/>
  <c r="B939" i="4"/>
  <c r="A939" i="4"/>
  <c r="J938" i="4"/>
  <c r="I938" i="4"/>
  <c r="H938" i="4"/>
  <c r="G938" i="4"/>
  <c r="F938" i="4"/>
  <c r="E938" i="4"/>
  <c r="D938" i="4"/>
  <c r="C938" i="4"/>
  <c r="B938" i="4"/>
  <c r="A938" i="4"/>
  <c r="J937" i="4"/>
  <c r="I937" i="4"/>
  <c r="H937" i="4"/>
  <c r="G937" i="4"/>
  <c r="F937" i="4"/>
  <c r="E937" i="4"/>
  <c r="D937" i="4"/>
  <c r="C937" i="4"/>
  <c r="B937" i="4"/>
  <c r="A937" i="4"/>
  <c r="J936" i="4"/>
  <c r="I936" i="4"/>
  <c r="H936" i="4"/>
  <c r="G936" i="4"/>
  <c r="F936" i="4"/>
  <c r="E936" i="4"/>
  <c r="D936" i="4"/>
  <c r="C936" i="4"/>
  <c r="B936" i="4"/>
  <c r="A936" i="4"/>
  <c r="J935" i="4"/>
  <c r="I935" i="4"/>
  <c r="H935" i="4"/>
  <c r="G935" i="4"/>
  <c r="F935" i="4"/>
  <c r="E935" i="4"/>
  <c r="D935" i="4"/>
  <c r="C935" i="4"/>
  <c r="B935" i="4"/>
  <c r="A935" i="4"/>
  <c r="J934" i="4"/>
  <c r="I934" i="4"/>
  <c r="H934" i="4"/>
  <c r="G934" i="4"/>
  <c r="F934" i="4"/>
  <c r="E934" i="4"/>
  <c r="D934" i="4"/>
  <c r="C934" i="4"/>
  <c r="B934" i="4"/>
  <c r="A934" i="4"/>
  <c r="J933" i="4"/>
  <c r="I933" i="4"/>
  <c r="H933" i="4"/>
  <c r="G933" i="4"/>
  <c r="F933" i="4"/>
  <c r="E933" i="4"/>
  <c r="D933" i="4"/>
  <c r="C933" i="4"/>
  <c r="B933" i="4"/>
  <c r="A933" i="4"/>
  <c r="J932" i="4"/>
  <c r="I932" i="4"/>
  <c r="H932" i="4"/>
  <c r="G932" i="4"/>
  <c r="F932" i="4"/>
  <c r="E932" i="4"/>
  <c r="D932" i="4"/>
  <c r="C932" i="4"/>
  <c r="B932" i="4"/>
  <c r="A932" i="4"/>
  <c r="J931" i="4"/>
  <c r="I931" i="4"/>
  <c r="H931" i="4"/>
  <c r="G931" i="4"/>
  <c r="F931" i="4"/>
  <c r="E931" i="4"/>
  <c r="D931" i="4"/>
  <c r="C931" i="4"/>
  <c r="B931" i="4"/>
  <c r="A931" i="4"/>
  <c r="J930" i="4"/>
  <c r="I930" i="4"/>
  <c r="H930" i="4"/>
  <c r="G930" i="4"/>
  <c r="F930" i="4"/>
  <c r="E930" i="4"/>
  <c r="D930" i="4"/>
  <c r="C930" i="4"/>
  <c r="B930" i="4"/>
  <c r="A930" i="4"/>
  <c r="J929" i="4"/>
  <c r="I929" i="4"/>
  <c r="H929" i="4"/>
  <c r="G929" i="4"/>
  <c r="F929" i="4"/>
  <c r="E929" i="4"/>
  <c r="D929" i="4"/>
  <c r="C929" i="4"/>
  <c r="B929" i="4"/>
  <c r="A929" i="4"/>
  <c r="J928" i="4"/>
  <c r="I928" i="4"/>
  <c r="H928" i="4"/>
  <c r="G928" i="4"/>
  <c r="F928" i="4"/>
  <c r="E928" i="4"/>
  <c r="D928" i="4"/>
  <c r="C928" i="4"/>
  <c r="B928" i="4"/>
  <c r="A928" i="4"/>
  <c r="J927" i="4"/>
  <c r="I927" i="4"/>
  <c r="H927" i="4"/>
  <c r="G927" i="4"/>
  <c r="F927" i="4"/>
  <c r="E927" i="4"/>
  <c r="D927" i="4"/>
  <c r="C927" i="4"/>
  <c r="B927" i="4"/>
  <c r="A927" i="4"/>
  <c r="J926" i="4"/>
  <c r="I926" i="4"/>
  <c r="H926" i="4"/>
  <c r="G926" i="4"/>
  <c r="F926" i="4"/>
  <c r="E926" i="4"/>
  <c r="D926" i="4"/>
  <c r="C926" i="4"/>
  <c r="B926" i="4"/>
  <c r="A926" i="4"/>
  <c r="J925" i="4"/>
  <c r="I925" i="4"/>
  <c r="H925" i="4"/>
  <c r="G925" i="4"/>
  <c r="F925" i="4"/>
  <c r="E925" i="4"/>
  <c r="D925" i="4"/>
  <c r="C925" i="4"/>
  <c r="B925" i="4"/>
  <c r="A925" i="4"/>
  <c r="J924" i="4"/>
  <c r="I924" i="4"/>
  <c r="H924" i="4"/>
  <c r="G924" i="4"/>
  <c r="F924" i="4"/>
  <c r="E924" i="4"/>
  <c r="D924" i="4"/>
  <c r="C924" i="4"/>
  <c r="B924" i="4"/>
  <c r="A924" i="4"/>
  <c r="J923" i="4"/>
  <c r="I923" i="4"/>
  <c r="H923" i="4"/>
  <c r="G923" i="4"/>
  <c r="F923" i="4"/>
  <c r="E923" i="4"/>
  <c r="D923" i="4"/>
  <c r="C923" i="4"/>
  <c r="B923" i="4"/>
  <c r="A923" i="4"/>
  <c r="J922" i="4"/>
  <c r="I922" i="4"/>
  <c r="H922" i="4"/>
  <c r="G922" i="4"/>
  <c r="F922" i="4"/>
  <c r="E922" i="4"/>
  <c r="D922" i="4"/>
  <c r="C922" i="4"/>
  <c r="B922" i="4"/>
  <c r="A922" i="4"/>
  <c r="J921" i="4"/>
  <c r="I921" i="4"/>
  <c r="H921" i="4"/>
  <c r="G921" i="4"/>
  <c r="F921" i="4"/>
  <c r="E921" i="4"/>
  <c r="D921" i="4"/>
  <c r="C921" i="4"/>
  <c r="B921" i="4"/>
  <c r="A921" i="4"/>
  <c r="J920" i="4"/>
  <c r="I920" i="4"/>
  <c r="H920" i="4"/>
  <c r="G920" i="4"/>
  <c r="F920" i="4"/>
  <c r="E920" i="4"/>
  <c r="D920" i="4"/>
  <c r="C920" i="4"/>
  <c r="B920" i="4"/>
  <c r="A920" i="4"/>
  <c r="J919" i="4"/>
  <c r="I919" i="4"/>
  <c r="H919" i="4"/>
  <c r="G919" i="4"/>
  <c r="F919" i="4"/>
  <c r="E919" i="4"/>
  <c r="D919" i="4"/>
  <c r="C919" i="4"/>
  <c r="B919" i="4"/>
  <c r="A919" i="4"/>
  <c r="J918" i="4"/>
  <c r="I918" i="4"/>
  <c r="H918" i="4"/>
  <c r="G918" i="4"/>
  <c r="F918" i="4"/>
  <c r="E918" i="4"/>
  <c r="D918" i="4"/>
  <c r="C918" i="4"/>
  <c r="B918" i="4"/>
  <c r="A918" i="4"/>
  <c r="J917" i="4"/>
  <c r="I917" i="4"/>
  <c r="H917" i="4"/>
  <c r="G917" i="4"/>
  <c r="F917" i="4"/>
  <c r="E917" i="4"/>
  <c r="D917" i="4"/>
  <c r="C917" i="4"/>
  <c r="B917" i="4"/>
  <c r="A917" i="4"/>
  <c r="J916" i="4"/>
  <c r="I916" i="4"/>
  <c r="H916" i="4"/>
  <c r="G916" i="4"/>
  <c r="F916" i="4"/>
  <c r="E916" i="4"/>
  <c r="D916" i="4"/>
  <c r="C916" i="4"/>
  <c r="B916" i="4"/>
  <c r="A916" i="4"/>
  <c r="J915" i="4"/>
  <c r="I915" i="4"/>
  <c r="H915" i="4"/>
  <c r="G915" i="4"/>
  <c r="F915" i="4"/>
  <c r="E915" i="4"/>
  <c r="D915" i="4"/>
  <c r="C915" i="4"/>
  <c r="B915" i="4"/>
  <c r="A915" i="4"/>
  <c r="J914" i="4"/>
  <c r="I914" i="4"/>
  <c r="H914" i="4"/>
  <c r="G914" i="4"/>
  <c r="F914" i="4"/>
  <c r="E914" i="4"/>
  <c r="D914" i="4"/>
  <c r="C914" i="4"/>
  <c r="B914" i="4"/>
  <c r="A914" i="4"/>
  <c r="J913" i="4"/>
  <c r="I913" i="4"/>
  <c r="H913" i="4"/>
  <c r="G913" i="4"/>
  <c r="F913" i="4"/>
  <c r="E913" i="4"/>
  <c r="D913" i="4"/>
  <c r="C913" i="4"/>
  <c r="B913" i="4"/>
  <c r="A913" i="4"/>
  <c r="J912" i="4"/>
  <c r="I912" i="4"/>
  <c r="H912" i="4"/>
  <c r="G912" i="4"/>
  <c r="F912" i="4"/>
  <c r="E912" i="4"/>
  <c r="D912" i="4"/>
  <c r="C912" i="4"/>
  <c r="B912" i="4"/>
  <c r="A912" i="4"/>
  <c r="J911" i="4"/>
  <c r="I911" i="4"/>
  <c r="H911" i="4"/>
  <c r="G911" i="4"/>
  <c r="F911" i="4"/>
  <c r="E911" i="4"/>
  <c r="D911" i="4"/>
  <c r="C911" i="4"/>
  <c r="B911" i="4"/>
  <c r="A911" i="4"/>
  <c r="J910" i="4"/>
  <c r="I910" i="4"/>
  <c r="H910" i="4"/>
  <c r="G910" i="4"/>
  <c r="F910" i="4"/>
  <c r="E910" i="4"/>
  <c r="D910" i="4"/>
  <c r="C910" i="4"/>
  <c r="B910" i="4"/>
  <c r="A910" i="4"/>
  <c r="J909" i="4"/>
  <c r="I909" i="4"/>
  <c r="H909" i="4"/>
  <c r="G909" i="4"/>
  <c r="F909" i="4"/>
  <c r="E909" i="4"/>
  <c r="D909" i="4"/>
  <c r="C909" i="4"/>
  <c r="B909" i="4"/>
  <c r="A909" i="4"/>
  <c r="J908" i="4"/>
  <c r="I908" i="4"/>
  <c r="H908" i="4"/>
  <c r="G908" i="4"/>
  <c r="F908" i="4"/>
  <c r="E908" i="4"/>
  <c r="D908" i="4"/>
  <c r="C908" i="4"/>
  <c r="B908" i="4"/>
  <c r="A908" i="4"/>
  <c r="J907" i="4"/>
  <c r="I907" i="4"/>
  <c r="H907" i="4"/>
  <c r="G907" i="4"/>
  <c r="F907" i="4"/>
  <c r="E907" i="4"/>
  <c r="D907" i="4"/>
  <c r="C907" i="4"/>
  <c r="B907" i="4"/>
  <c r="A907" i="4"/>
  <c r="J906" i="4"/>
  <c r="I906" i="4"/>
  <c r="H906" i="4"/>
  <c r="G906" i="4"/>
  <c r="F906" i="4"/>
  <c r="E906" i="4"/>
  <c r="D906" i="4"/>
  <c r="C906" i="4"/>
  <c r="B906" i="4"/>
  <c r="A906" i="4"/>
  <c r="J905" i="4"/>
  <c r="I905" i="4"/>
  <c r="H905" i="4"/>
  <c r="G905" i="4"/>
  <c r="F905" i="4"/>
  <c r="E905" i="4"/>
  <c r="D905" i="4"/>
  <c r="C905" i="4"/>
  <c r="B905" i="4"/>
  <c r="A905" i="4"/>
  <c r="J904" i="4"/>
  <c r="I904" i="4"/>
  <c r="H904" i="4"/>
  <c r="G904" i="4"/>
  <c r="F904" i="4"/>
  <c r="E904" i="4"/>
  <c r="D904" i="4"/>
  <c r="C904" i="4"/>
  <c r="B904" i="4"/>
  <c r="A904" i="4"/>
  <c r="J903" i="4"/>
  <c r="I903" i="4"/>
  <c r="H903" i="4"/>
  <c r="G903" i="4"/>
  <c r="F903" i="4"/>
  <c r="E903" i="4"/>
  <c r="D903" i="4"/>
  <c r="C903" i="4"/>
  <c r="B903" i="4"/>
  <c r="A903" i="4"/>
  <c r="J902" i="4"/>
  <c r="I902" i="4"/>
  <c r="H902" i="4"/>
  <c r="G902" i="4"/>
  <c r="F902" i="4"/>
  <c r="E902" i="4"/>
  <c r="D902" i="4"/>
  <c r="C902" i="4"/>
  <c r="B902" i="4"/>
  <c r="A902" i="4"/>
  <c r="J901" i="4"/>
  <c r="I901" i="4"/>
  <c r="H901" i="4"/>
  <c r="G901" i="4"/>
  <c r="F901" i="4"/>
  <c r="E901" i="4"/>
  <c r="D901" i="4"/>
  <c r="C901" i="4"/>
  <c r="B901" i="4"/>
  <c r="A901" i="4"/>
  <c r="J900" i="4"/>
  <c r="I900" i="4"/>
  <c r="H900" i="4"/>
  <c r="G900" i="4"/>
  <c r="F900" i="4"/>
  <c r="E900" i="4"/>
  <c r="D900" i="4"/>
  <c r="C900" i="4"/>
  <c r="B900" i="4"/>
  <c r="A900" i="4"/>
  <c r="J899" i="4"/>
  <c r="I899" i="4"/>
  <c r="H899" i="4"/>
  <c r="G899" i="4"/>
  <c r="F899" i="4"/>
  <c r="E899" i="4"/>
  <c r="D899" i="4"/>
  <c r="C899" i="4"/>
  <c r="B899" i="4"/>
  <c r="A899" i="4"/>
  <c r="J898" i="4"/>
  <c r="I898" i="4"/>
  <c r="H898" i="4"/>
  <c r="G898" i="4"/>
  <c r="F898" i="4"/>
  <c r="E898" i="4"/>
  <c r="D898" i="4"/>
  <c r="C898" i="4"/>
  <c r="B898" i="4"/>
  <c r="A898" i="4"/>
  <c r="J897" i="4"/>
  <c r="I897" i="4"/>
  <c r="H897" i="4"/>
  <c r="G897" i="4"/>
  <c r="F897" i="4"/>
  <c r="E897" i="4"/>
  <c r="D897" i="4"/>
  <c r="C897" i="4"/>
  <c r="B897" i="4"/>
  <c r="A897" i="4"/>
  <c r="J896" i="4"/>
  <c r="I896" i="4"/>
  <c r="H896" i="4"/>
  <c r="G896" i="4"/>
  <c r="F896" i="4"/>
  <c r="E896" i="4"/>
  <c r="D896" i="4"/>
  <c r="C896" i="4"/>
  <c r="B896" i="4"/>
  <c r="A896" i="4"/>
  <c r="J895" i="4"/>
  <c r="I895" i="4"/>
  <c r="H895" i="4"/>
  <c r="G895" i="4"/>
  <c r="F895" i="4"/>
  <c r="E895" i="4"/>
  <c r="D895" i="4"/>
  <c r="C895" i="4"/>
  <c r="B895" i="4"/>
  <c r="A895" i="4"/>
  <c r="J894" i="4"/>
  <c r="I894" i="4"/>
  <c r="H894" i="4"/>
  <c r="G894" i="4"/>
  <c r="F894" i="4"/>
  <c r="E894" i="4"/>
  <c r="D894" i="4"/>
  <c r="C894" i="4"/>
  <c r="B894" i="4"/>
  <c r="A894" i="4"/>
  <c r="J893" i="4"/>
  <c r="I893" i="4"/>
  <c r="H893" i="4"/>
  <c r="G893" i="4"/>
  <c r="F893" i="4"/>
  <c r="E893" i="4"/>
  <c r="D893" i="4"/>
  <c r="C893" i="4"/>
  <c r="B893" i="4"/>
  <c r="A893" i="4"/>
  <c r="J892" i="4"/>
  <c r="I892" i="4"/>
  <c r="H892" i="4"/>
  <c r="G892" i="4"/>
  <c r="F892" i="4"/>
  <c r="E892" i="4"/>
  <c r="D892" i="4"/>
  <c r="C892" i="4"/>
  <c r="B892" i="4"/>
  <c r="A892" i="4"/>
  <c r="J891" i="4"/>
  <c r="I891" i="4"/>
  <c r="H891" i="4"/>
  <c r="G891" i="4"/>
  <c r="F891" i="4"/>
  <c r="E891" i="4"/>
  <c r="D891" i="4"/>
  <c r="C891" i="4"/>
  <c r="B891" i="4"/>
  <c r="A891" i="4"/>
  <c r="J890" i="4"/>
  <c r="I890" i="4"/>
  <c r="H890" i="4"/>
  <c r="G890" i="4"/>
  <c r="F890" i="4"/>
  <c r="E890" i="4"/>
  <c r="D890" i="4"/>
  <c r="C890" i="4"/>
  <c r="B890" i="4"/>
  <c r="A890" i="4"/>
  <c r="J889" i="4"/>
  <c r="I889" i="4"/>
  <c r="H889" i="4"/>
  <c r="G889" i="4"/>
  <c r="F889" i="4"/>
  <c r="E889" i="4"/>
  <c r="D889" i="4"/>
  <c r="C889" i="4"/>
  <c r="B889" i="4"/>
  <c r="A889" i="4"/>
  <c r="J888" i="4"/>
  <c r="I888" i="4"/>
  <c r="H888" i="4"/>
  <c r="G888" i="4"/>
  <c r="F888" i="4"/>
  <c r="E888" i="4"/>
  <c r="D888" i="4"/>
  <c r="C888" i="4"/>
  <c r="B888" i="4"/>
  <c r="A888" i="4"/>
  <c r="J887" i="4"/>
  <c r="I887" i="4"/>
  <c r="H887" i="4"/>
  <c r="G887" i="4"/>
  <c r="F887" i="4"/>
  <c r="E887" i="4"/>
  <c r="D887" i="4"/>
  <c r="C887" i="4"/>
  <c r="B887" i="4"/>
  <c r="A887" i="4"/>
  <c r="J886" i="4"/>
  <c r="I886" i="4"/>
  <c r="H886" i="4"/>
  <c r="G886" i="4"/>
  <c r="F886" i="4"/>
  <c r="E886" i="4"/>
  <c r="D886" i="4"/>
  <c r="C886" i="4"/>
  <c r="B886" i="4"/>
  <c r="A886" i="4"/>
  <c r="J885" i="4"/>
  <c r="I885" i="4"/>
  <c r="H885" i="4"/>
  <c r="G885" i="4"/>
  <c r="F885" i="4"/>
  <c r="E885" i="4"/>
  <c r="D885" i="4"/>
  <c r="C885" i="4"/>
  <c r="B885" i="4"/>
  <c r="A885" i="4"/>
  <c r="J884" i="4"/>
  <c r="I884" i="4"/>
  <c r="H884" i="4"/>
  <c r="G884" i="4"/>
  <c r="F884" i="4"/>
  <c r="E884" i="4"/>
  <c r="D884" i="4"/>
  <c r="C884" i="4"/>
  <c r="B884" i="4"/>
  <c r="A884" i="4"/>
  <c r="J883" i="4"/>
  <c r="I883" i="4"/>
  <c r="H883" i="4"/>
  <c r="G883" i="4"/>
  <c r="F883" i="4"/>
  <c r="E883" i="4"/>
  <c r="D883" i="4"/>
  <c r="C883" i="4"/>
  <c r="B883" i="4"/>
  <c r="A883" i="4"/>
  <c r="J882" i="4"/>
  <c r="I882" i="4"/>
  <c r="H882" i="4"/>
  <c r="G882" i="4"/>
  <c r="F882" i="4"/>
  <c r="E882" i="4"/>
  <c r="D882" i="4"/>
  <c r="C882" i="4"/>
  <c r="B882" i="4"/>
  <c r="A882" i="4"/>
  <c r="J881" i="4"/>
  <c r="I881" i="4"/>
  <c r="H881" i="4"/>
  <c r="G881" i="4"/>
  <c r="F881" i="4"/>
  <c r="E881" i="4"/>
  <c r="D881" i="4"/>
  <c r="C881" i="4"/>
  <c r="B881" i="4"/>
  <c r="A881" i="4"/>
  <c r="J880" i="4"/>
  <c r="I880" i="4"/>
  <c r="H880" i="4"/>
  <c r="G880" i="4"/>
  <c r="F880" i="4"/>
  <c r="E880" i="4"/>
  <c r="D880" i="4"/>
  <c r="C880" i="4"/>
  <c r="B880" i="4"/>
  <c r="A880" i="4"/>
  <c r="J879" i="4"/>
  <c r="I879" i="4"/>
  <c r="H879" i="4"/>
  <c r="G879" i="4"/>
  <c r="F879" i="4"/>
  <c r="E879" i="4"/>
  <c r="D879" i="4"/>
  <c r="C879" i="4"/>
  <c r="B879" i="4"/>
  <c r="A879" i="4"/>
  <c r="J878" i="4"/>
  <c r="I878" i="4"/>
  <c r="H878" i="4"/>
  <c r="G878" i="4"/>
  <c r="F878" i="4"/>
  <c r="E878" i="4"/>
  <c r="D878" i="4"/>
  <c r="C878" i="4"/>
  <c r="B878" i="4"/>
  <c r="A878" i="4"/>
  <c r="J877" i="4"/>
  <c r="I877" i="4"/>
  <c r="H877" i="4"/>
  <c r="G877" i="4"/>
  <c r="F877" i="4"/>
  <c r="E877" i="4"/>
  <c r="D877" i="4"/>
  <c r="C877" i="4"/>
  <c r="B877" i="4"/>
  <c r="A877" i="4"/>
  <c r="J876" i="4"/>
  <c r="I876" i="4"/>
  <c r="H876" i="4"/>
  <c r="G876" i="4"/>
  <c r="F876" i="4"/>
  <c r="E876" i="4"/>
  <c r="D876" i="4"/>
  <c r="C876" i="4"/>
  <c r="B876" i="4"/>
  <c r="A876" i="4"/>
  <c r="J875" i="4"/>
  <c r="I875" i="4"/>
  <c r="H875" i="4"/>
  <c r="G875" i="4"/>
  <c r="F875" i="4"/>
  <c r="E875" i="4"/>
  <c r="D875" i="4"/>
  <c r="C875" i="4"/>
  <c r="B875" i="4"/>
  <c r="A875" i="4"/>
  <c r="J874" i="4"/>
  <c r="I874" i="4"/>
  <c r="H874" i="4"/>
  <c r="G874" i="4"/>
  <c r="F874" i="4"/>
  <c r="E874" i="4"/>
  <c r="D874" i="4"/>
  <c r="C874" i="4"/>
  <c r="B874" i="4"/>
  <c r="A874" i="4"/>
  <c r="J873" i="4"/>
  <c r="I873" i="4"/>
  <c r="H873" i="4"/>
  <c r="G873" i="4"/>
  <c r="F873" i="4"/>
  <c r="E873" i="4"/>
  <c r="D873" i="4"/>
  <c r="C873" i="4"/>
  <c r="B873" i="4"/>
  <c r="A873" i="4"/>
  <c r="J872" i="4"/>
  <c r="I872" i="4"/>
  <c r="H872" i="4"/>
  <c r="G872" i="4"/>
  <c r="F872" i="4"/>
  <c r="E872" i="4"/>
  <c r="D872" i="4"/>
  <c r="C872" i="4"/>
  <c r="B872" i="4"/>
  <c r="A872" i="4"/>
  <c r="J871" i="4"/>
  <c r="I871" i="4"/>
  <c r="H871" i="4"/>
  <c r="G871" i="4"/>
  <c r="F871" i="4"/>
  <c r="E871" i="4"/>
  <c r="D871" i="4"/>
  <c r="C871" i="4"/>
  <c r="B871" i="4"/>
  <c r="A871" i="4"/>
  <c r="J870" i="4"/>
  <c r="I870" i="4"/>
  <c r="H870" i="4"/>
  <c r="G870" i="4"/>
  <c r="F870" i="4"/>
  <c r="E870" i="4"/>
  <c r="D870" i="4"/>
  <c r="C870" i="4"/>
  <c r="B870" i="4"/>
  <c r="A870" i="4"/>
  <c r="J869" i="4"/>
  <c r="I869" i="4"/>
  <c r="H869" i="4"/>
  <c r="G869" i="4"/>
  <c r="F869" i="4"/>
  <c r="E869" i="4"/>
  <c r="D869" i="4"/>
  <c r="C869" i="4"/>
  <c r="B869" i="4"/>
  <c r="A869" i="4"/>
  <c r="J868" i="4"/>
  <c r="I868" i="4"/>
  <c r="H868" i="4"/>
  <c r="G868" i="4"/>
  <c r="F868" i="4"/>
  <c r="E868" i="4"/>
  <c r="D868" i="4"/>
  <c r="C868" i="4"/>
  <c r="B868" i="4"/>
  <c r="A868" i="4"/>
  <c r="J867" i="4"/>
  <c r="I867" i="4"/>
  <c r="H867" i="4"/>
  <c r="G867" i="4"/>
  <c r="F867" i="4"/>
  <c r="E867" i="4"/>
  <c r="D867" i="4"/>
  <c r="C867" i="4"/>
  <c r="B867" i="4"/>
  <c r="A867" i="4"/>
  <c r="J866" i="4"/>
  <c r="I866" i="4"/>
  <c r="H866" i="4"/>
  <c r="G866" i="4"/>
  <c r="F866" i="4"/>
  <c r="E866" i="4"/>
  <c r="D866" i="4"/>
  <c r="C866" i="4"/>
  <c r="B866" i="4"/>
  <c r="A866" i="4"/>
  <c r="J865" i="4"/>
  <c r="I865" i="4"/>
  <c r="H865" i="4"/>
  <c r="G865" i="4"/>
  <c r="F865" i="4"/>
  <c r="E865" i="4"/>
  <c r="D865" i="4"/>
  <c r="C865" i="4"/>
  <c r="B865" i="4"/>
  <c r="A865" i="4"/>
  <c r="J864" i="4"/>
  <c r="I864" i="4"/>
  <c r="H864" i="4"/>
  <c r="G864" i="4"/>
  <c r="F864" i="4"/>
  <c r="E864" i="4"/>
  <c r="D864" i="4"/>
  <c r="C864" i="4"/>
  <c r="B864" i="4"/>
  <c r="A864" i="4"/>
  <c r="J863" i="4"/>
  <c r="I863" i="4"/>
  <c r="H863" i="4"/>
  <c r="G863" i="4"/>
  <c r="F863" i="4"/>
  <c r="E863" i="4"/>
  <c r="D863" i="4"/>
  <c r="C863" i="4"/>
  <c r="B863" i="4"/>
  <c r="A863" i="4"/>
  <c r="J862" i="4"/>
  <c r="I862" i="4"/>
  <c r="H862" i="4"/>
  <c r="G862" i="4"/>
  <c r="F862" i="4"/>
  <c r="E862" i="4"/>
  <c r="D862" i="4"/>
  <c r="C862" i="4"/>
  <c r="B862" i="4"/>
  <c r="A862" i="4"/>
  <c r="J861" i="4"/>
  <c r="I861" i="4"/>
  <c r="H861" i="4"/>
  <c r="G861" i="4"/>
  <c r="F861" i="4"/>
  <c r="E861" i="4"/>
  <c r="D861" i="4"/>
  <c r="C861" i="4"/>
  <c r="B861" i="4"/>
  <c r="A861" i="4"/>
  <c r="J860" i="4"/>
  <c r="I860" i="4"/>
  <c r="H860" i="4"/>
  <c r="G860" i="4"/>
  <c r="F860" i="4"/>
  <c r="E860" i="4"/>
  <c r="D860" i="4"/>
  <c r="C860" i="4"/>
  <c r="B860" i="4"/>
  <c r="A860" i="4"/>
  <c r="J859" i="4"/>
  <c r="I859" i="4"/>
  <c r="H859" i="4"/>
  <c r="G859" i="4"/>
  <c r="F859" i="4"/>
  <c r="E859" i="4"/>
  <c r="D859" i="4"/>
  <c r="C859" i="4"/>
  <c r="B859" i="4"/>
  <c r="A859" i="4"/>
  <c r="J858" i="4"/>
  <c r="I858" i="4"/>
  <c r="H858" i="4"/>
  <c r="G858" i="4"/>
  <c r="F858" i="4"/>
  <c r="E858" i="4"/>
  <c r="D858" i="4"/>
  <c r="C858" i="4"/>
  <c r="B858" i="4"/>
  <c r="A858" i="4"/>
  <c r="J857" i="4"/>
  <c r="I857" i="4"/>
  <c r="H857" i="4"/>
  <c r="G857" i="4"/>
  <c r="F857" i="4"/>
  <c r="E857" i="4"/>
  <c r="D857" i="4"/>
  <c r="C857" i="4"/>
  <c r="B857" i="4"/>
  <c r="A857" i="4"/>
  <c r="J856" i="4"/>
  <c r="I856" i="4"/>
  <c r="H856" i="4"/>
  <c r="G856" i="4"/>
  <c r="F856" i="4"/>
  <c r="E856" i="4"/>
  <c r="D856" i="4"/>
  <c r="C856" i="4"/>
  <c r="B856" i="4"/>
  <c r="A856" i="4"/>
  <c r="J855" i="4"/>
  <c r="I855" i="4"/>
  <c r="H855" i="4"/>
  <c r="G855" i="4"/>
  <c r="F855" i="4"/>
  <c r="E855" i="4"/>
  <c r="D855" i="4"/>
  <c r="C855" i="4"/>
  <c r="B855" i="4"/>
  <c r="A855" i="4"/>
  <c r="J854" i="4"/>
  <c r="I854" i="4"/>
  <c r="H854" i="4"/>
  <c r="G854" i="4"/>
  <c r="F854" i="4"/>
  <c r="E854" i="4"/>
  <c r="D854" i="4"/>
  <c r="C854" i="4"/>
  <c r="B854" i="4"/>
  <c r="A854" i="4"/>
  <c r="J853" i="4"/>
  <c r="I853" i="4"/>
  <c r="H853" i="4"/>
  <c r="G853" i="4"/>
  <c r="F853" i="4"/>
  <c r="E853" i="4"/>
  <c r="D853" i="4"/>
  <c r="C853" i="4"/>
  <c r="B853" i="4"/>
  <c r="A853" i="4"/>
  <c r="J852" i="4"/>
  <c r="I852" i="4"/>
  <c r="H852" i="4"/>
  <c r="G852" i="4"/>
  <c r="F852" i="4"/>
  <c r="E852" i="4"/>
  <c r="D852" i="4"/>
  <c r="C852" i="4"/>
  <c r="B852" i="4"/>
  <c r="A852" i="4"/>
  <c r="J851" i="4"/>
  <c r="I851" i="4"/>
  <c r="H851" i="4"/>
  <c r="G851" i="4"/>
  <c r="F851" i="4"/>
  <c r="E851" i="4"/>
  <c r="D851" i="4"/>
  <c r="C851" i="4"/>
  <c r="B851" i="4"/>
  <c r="A851" i="4"/>
  <c r="J850" i="4"/>
  <c r="I850" i="4"/>
  <c r="H850" i="4"/>
  <c r="G850" i="4"/>
  <c r="F850" i="4"/>
  <c r="E850" i="4"/>
  <c r="D850" i="4"/>
  <c r="C850" i="4"/>
  <c r="B850" i="4"/>
  <c r="A850" i="4"/>
  <c r="J849" i="4"/>
  <c r="I849" i="4"/>
  <c r="H849" i="4"/>
  <c r="G849" i="4"/>
  <c r="F849" i="4"/>
  <c r="E849" i="4"/>
  <c r="D849" i="4"/>
  <c r="C849" i="4"/>
  <c r="B849" i="4"/>
  <c r="A849" i="4"/>
  <c r="J848" i="4"/>
  <c r="I848" i="4"/>
  <c r="H848" i="4"/>
  <c r="G848" i="4"/>
  <c r="F848" i="4"/>
  <c r="E848" i="4"/>
  <c r="D848" i="4"/>
  <c r="C848" i="4"/>
  <c r="B848" i="4"/>
  <c r="A848" i="4"/>
  <c r="J847" i="4"/>
  <c r="I847" i="4"/>
  <c r="H847" i="4"/>
  <c r="G847" i="4"/>
  <c r="F847" i="4"/>
  <c r="E847" i="4"/>
  <c r="D847" i="4"/>
  <c r="C847" i="4"/>
  <c r="B847" i="4"/>
  <c r="A847" i="4"/>
  <c r="J846" i="4"/>
  <c r="I846" i="4"/>
  <c r="H846" i="4"/>
  <c r="G846" i="4"/>
  <c r="F846" i="4"/>
  <c r="E846" i="4"/>
  <c r="D846" i="4"/>
  <c r="C846" i="4"/>
  <c r="B846" i="4"/>
  <c r="A846" i="4"/>
  <c r="J845" i="4"/>
  <c r="I845" i="4"/>
  <c r="H845" i="4"/>
  <c r="G845" i="4"/>
  <c r="F845" i="4"/>
  <c r="E845" i="4"/>
  <c r="D845" i="4"/>
  <c r="C845" i="4"/>
  <c r="B845" i="4"/>
  <c r="A845" i="4"/>
  <c r="J844" i="4"/>
  <c r="I844" i="4"/>
  <c r="H844" i="4"/>
  <c r="G844" i="4"/>
  <c r="F844" i="4"/>
  <c r="E844" i="4"/>
  <c r="D844" i="4"/>
  <c r="C844" i="4"/>
  <c r="B844" i="4"/>
  <c r="A844" i="4"/>
  <c r="J843" i="4"/>
  <c r="I843" i="4"/>
  <c r="H843" i="4"/>
  <c r="G843" i="4"/>
  <c r="F843" i="4"/>
  <c r="E843" i="4"/>
  <c r="D843" i="4"/>
  <c r="C843" i="4"/>
  <c r="B843" i="4"/>
  <c r="A843" i="4"/>
  <c r="J842" i="4"/>
  <c r="I842" i="4"/>
  <c r="H842" i="4"/>
  <c r="G842" i="4"/>
  <c r="F842" i="4"/>
  <c r="E842" i="4"/>
  <c r="D842" i="4"/>
  <c r="C842" i="4"/>
  <c r="B842" i="4"/>
  <c r="A842" i="4"/>
  <c r="J841" i="4"/>
  <c r="I841" i="4"/>
  <c r="H841" i="4"/>
  <c r="G841" i="4"/>
  <c r="F841" i="4"/>
  <c r="E841" i="4"/>
  <c r="D841" i="4"/>
  <c r="C841" i="4"/>
  <c r="B841" i="4"/>
  <c r="A841" i="4"/>
  <c r="J840" i="4"/>
  <c r="I840" i="4"/>
  <c r="H840" i="4"/>
  <c r="G840" i="4"/>
  <c r="F840" i="4"/>
  <c r="E840" i="4"/>
  <c r="D840" i="4"/>
  <c r="C840" i="4"/>
  <c r="B840" i="4"/>
  <c r="A840" i="4"/>
  <c r="J839" i="4"/>
  <c r="I839" i="4"/>
  <c r="H839" i="4"/>
  <c r="G839" i="4"/>
  <c r="F839" i="4"/>
  <c r="E839" i="4"/>
  <c r="D839" i="4"/>
  <c r="C839" i="4"/>
  <c r="B839" i="4"/>
  <c r="A839" i="4"/>
  <c r="J838" i="4"/>
  <c r="I838" i="4"/>
  <c r="H838" i="4"/>
  <c r="G838" i="4"/>
  <c r="F838" i="4"/>
  <c r="E838" i="4"/>
  <c r="D838" i="4"/>
  <c r="C838" i="4"/>
  <c r="B838" i="4"/>
  <c r="A838" i="4"/>
  <c r="J837" i="4"/>
  <c r="I837" i="4"/>
  <c r="H837" i="4"/>
  <c r="G837" i="4"/>
  <c r="F837" i="4"/>
  <c r="E837" i="4"/>
  <c r="D837" i="4"/>
  <c r="C837" i="4"/>
  <c r="B837" i="4"/>
  <c r="A837" i="4"/>
  <c r="J836" i="4"/>
  <c r="I836" i="4"/>
  <c r="H836" i="4"/>
  <c r="G836" i="4"/>
  <c r="F836" i="4"/>
  <c r="E836" i="4"/>
  <c r="D836" i="4"/>
  <c r="C836" i="4"/>
  <c r="B836" i="4"/>
  <c r="A836" i="4"/>
  <c r="J835" i="4"/>
  <c r="I835" i="4"/>
  <c r="H835" i="4"/>
  <c r="G835" i="4"/>
  <c r="F835" i="4"/>
  <c r="E835" i="4"/>
  <c r="D835" i="4"/>
  <c r="C835" i="4"/>
  <c r="B835" i="4"/>
  <c r="A835" i="4"/>
  <c r="J834" i="4"/>
  <c r="I834" i="4"/>
  <c r="H834" i="4"/>
  <c r="G834" i="4"/>
  <c r="F834" i="4"/>
  <c r="E834" i="4"/>
  <c r="D834" i="4"/>
  <c r="C834" i="4"/>
  <c r="B834" i="4"/>
  <c r="A834" i="4"/>
  <c r="J833" i="4"/>
  <c r="I833" i="4"/>
  <c r="H833" i="4"/>
  <c r="G833" i="4"/>
  <c r="F833" i="4"/>
  <c r="E833" i="4"/>
  <c r="D833" i="4"/>
  <c r="C833" i="4"/>
  <c r="B833" i="4"/>
  <c r="A833" i="4"/>
  <c r="J832" i="4"/>
  <c r="I832" i="4"/>
  <c r="H832" i="4"/>
  <c r="G832" i="4"/>
  <c r="F832" i="4"/>
  <c r="E832" i="4"/>
  <c r="D832" i="4"/>
  <c r="C832" i="4"/>
  <c r="B832" i="4"/>
  <c r="A832" i="4"/>
  <c r="J831" i="4"/>
  <c r="I831" i="4"/>
  <c r="H831" i="4"/>
  <c r="G831" i="4"/>
  <c r="F831" i="4"/>
  <c r="E831" i="4"/>
  <c r="D831" i="4"/>
  <c r="C831" i="4"/>
  <c r="B831" i="4"/>
  <c r="A831" i="4"/>
  <c r="J830" i="4"/>
  <c r="I830" i="4"/>
  <c r="H830" i="4"/>
  <c r="G830" i="4"/>
  <c r="F830" i="4"/>
  <c r="E830" i="4"/>
  <c r="D830" i="4"/>
  <c r="C830" i="4"/>
  <c r="B830" i="4"/>
  <c r="A830" i="4"/>
  <c r="J829" i="4"/>
  <c r="I829" i="4"/>
  <c r="H829" i="4"/>
  <c r="G829" i="4"/>
  <c r="F829" i="4"/>
  <c r="E829" i="4"/>
  <c r="D829" i="4"/>
  <c r="C829" i="4"/>
  <c r="B829" i="4"/>
  <c r="A829" i="4"/>
  <c r="J828" i="4"/>
  <c r="I828" i="4"/>
  <c r="H828" i="4"/>
  <c r="G828" i="4"/>
  <c r="F828" i="4"/>
  <c r="E828" i="4"/>
  <c r="D828" i="4"/>
  <c r="C828" i="4"/>
  <c r="B828" i="4"/>
  <c r="A828" i="4"/>
  <c r="J827" i="4"/>
  <c r="I827" i="4"/>
  <c r="H827" i="4"/>
  <c r="G827" i="4"/>
  <c r="F827" i="4"/>
  <c r="E827" i="4"/>
  <c r="D827" i="4"/>
  <c r="C827" i="4"/>
  <c r="B827" i="4"/>
  <c r="A827" i="4"/>
  <c r="J826" i="4"/>
  <c r="I826" i="4"/>
  <c r="H826" i="4"/>
  <c r="G826" i="4"/>
  <c r="F826" i="4"/>
  <c r="E826" i="4"/>
  <c r="D826" i="4"/>
  <c r="C826" i="4"/>
  <c r="B826" i="4"/>
  <c r="A826" i="4"/>
  <c r="J825" i="4"/>
  <c r="I825" i="4"/>
  <c r="H825" i="4"/>
  <c r="G825" i="4"/>
  <c r="F825" i="4"/>
  <c r="E825" i="4"/>
  <c r="D825" i="4"/>
  <c r="C825" i="4"/>
  <c r="B825" i="4"/>
  <c r="A825" i="4"/>
  <c r="J824" i="4"/>
  <c r="I824" i="4"/>
  <c r="H824" i="4"/>
  <c r="G824" i="4"/>
  <c r="F824" i="4"/>
  <c r="E824" i="4"/>
  <c r="D824" i="4"/>
  <c r="C824" i="4"/>
  <c r="B824" i="4"/>
  <c r="A824" i="4"/>
  <c r="J823" i="4"/>
  <c r="I823" i="4"/>
  <c r="H823" i="4"/>
  <c r="G823" i="4"/>
  <c r="F823" i="4"/>
  <c r="E823" i="4"/>
  <c r="D823" i="4"/>
  <c r="C823" i="4"/>
  <c r="B823" i="4"/>
  <c r="A823" i="4"/>
  <c r="J822" i="4"/>
  <c r="I822" i="4"/>
  <c r="H822" i="4"/>
  <c r="G822" i="4"/>
  <c r="F822" i="4"/>
  <c r="E822" i="4"/>
  <c r="D822" i="4"/>
  <c r="C822" i="4"/>
  <c r="B822" i="4"/>
  <c r="A822" i="4"/>
  <c r="J821" i="4"/>
  <c r="I821" i="4"/>
  <c r="H821" i="4"/>
  <c r="G821" i="4"/>
  <c r="F821" i="4"/>
  <c r="E821" i="4"/>
  <c r="D821" i="4"/>
  <c r="C821" i="4"/>
  <c r="B821" i="4"/>
  <c r="A821" i="4"/>
  <c r="J820" i="4"/>
  <c r="I820" i="4"/>
  <c r="H820" i="4"/>
  <c r="G820" i="4"/>
  <c r="F820" i="4"/>
  <c r="E820" i="4"/>
  <c r="D820" i="4"/>
  <c r="C820" i="4"/>
  <c r="B820" i="4"/>
  <c r="A820" i="4"/>
  <c r="J819" i="4"/>
  <c r="I819" i="4"/>
  <c r="H819" i="4"/>
  <c r="G819" i="4"/>
  <c r="F819" i="4"/>
  <c r="E819" i="4"/>
  <c r="D819" i="4"/>
  <c r="C819" i="4"/>
  <c r="B819" i="4"/>
  <c r="A819" i="4"/>
  <c r="J818" i="4"/>
  <c r="I818" i="4"/>
  <c r="H818" i="4"/>
  <c r="G818" i="4"/>
  <c r="F818" i="4"/>
  <c r="E818" i="4"/>
  <c r="D818" i="4"/>
  <c r="C818" i="4"/>
  <c r="B818" i="4"/>
  <c r="A818" i="4"/>
  <c r="J817" i="4"/>
  <c r="I817" i="4"/>
  <c r="H817" i="4"/>
  <c r="G817" i="4"/>
  <c r="F817" i="4"/>
  <c r="E817" i="4"/>
  <c r="D817" i="4"/>
  <c r="C817" i="4"/>
  <c r="B817" i="4"/>
  <c r="A817" i="4"/>
  <c r="J816" i="4"/>
  <c r="I816" i="4"/>
  <c r="H816" i="4"/>
  <c r="G816" i="4"/>
  <c r="F816" i="4"/>
  <c r="E816" i="4"/>
  <c r="D816" i="4"/>
  <c r="C816" i="4"/>
  <c r="B816" i="4"/>
  <c r="A816" i="4"/>
  <c r="J815" i="4"/>
  <c r="I815" i="4"/>
  <c r="H815" i="4"/>
  <c r="G815" i="4"/>
  <c r="F815" i="4"/>
  <c r="E815" i="4"/>
  <c r="D815" i="4"/>
  <c r="C815" i="4"/>
  <c r="B815" i="4"/>
  <c r="A815" i="4"/>
  <c r="J814" i="4"/>
  <c r="I814" i="4"/>
  <c r="H814" i="4"/>
  <c r="G814" i="4"/>
  <c r="F814" i="4"/>
  <c r="E814" i="4"/>
  <c r="D814" i="4"/>
  <c r="C814" i="4"/>
  <c r="B814" i="4"/>
  <c r="A814" i="4"/>
  <c r="J813" i="4"/>
  <c r="I813" i="4"/>
  <c r="H813" i="4"/>
  <c r="G813" i="4"/>
  <c r="F813" i="4"/>
  <c r="E813" i="4"/>
  <c r="D813" i="4"/>
  <c r="C813" i="4"/>
  <c r="B813" i="4"/>
  <c r="A813" i="4"/>
  <c r="J812" i="4"/>
  <c r="I812" i="4"/>
  <c r="H812" i="4"/>
  <c r="G812" i="4"/>
  <c r="F812" i="4"/>
  <c r="E812" i="4"/>
  <c r="D812" i="4"/>
  <c r="C812" i="4"/>
  <c r="B812" i="4"/>
  <c r="A812" i="4"/>
  <c r="J811" i="4"/>
  <c r="I811" i="4"/>
  <c r="H811" i="4"/>
  <c r="G811" i="4"/>
  <c r="F811" i="4"/>
  <c r="E811" i="4"/>
  <c r="D811" i="4"/>
  <c r="C811" i="4"/>
  <c r="B811" i="4"/>
  <c r="A811" i="4"/>
  <c r="J810" i="4"/>
  <c r="I810" i="4"/>
  <c r="H810" i="4"/>
  <c r="G810" i="4"/>
  <c r="F810" i="4"/>
  <c r="E810" i="4"/>
  <c r="D810" i="4"/>
  <c r="C810" i="4"/>
  <c r="B810" i="4"/>
  <c r="A810" i="4"/>
  <c r="J809" i="4"/>
  <c r="I809" i="4"/>
  <c r="H809" i="4"/>
  <c r="G809" i="4"/>
  <c r="F809" i="4"/>
  <c r="E809" i="4"/>
  <c r="D809" i="4"/>
  <c r="C809" i="4"/>
  <c r="B809" i="4"/>
  <c r="A809" i="4"/>
  <c r="J808" i="4"/>
  <c r="I808" i="4"/>
  <c r="H808" i="4"/>
  <c r="G808" i="4"/>
  <c r="F808" i="4"/>
  <c r="E808" i="4"/>
  <c r="D808" i="4"/>
  <c r="C808" i="4"/>
  <c r="B808" i="4"/>
  <c r="A808" i="4"/>
  <c r="J807" i="4"/>
  <c r="I807" i="4"/>
  <c r="H807" i="4"/>
  <c r="G807" i="4"/>
  <c r="F807" i="4"/>
  <c r="E807" i="4"/>
  <c r="D807" i="4"/>
  <c r="C807" i="4"/>
  <c r="B807" i="4"/>
  <c r="A807" i="4"/>
  <c r="J806" i="4"/>
  <c r="I806" i="4"/>
  <c r="H806" i="4"/>
  <c r="G806" i="4"/>
  <c r="F806" i="4"/>
  <c r="E806" i="4"/>
  <c r="D806" i="4"/>
  <c r="C806" i="4"/>
  <c r="B806" i="4"/>
  <c r="A806" i="4"/>
  <c r="J805" i="4"/>
  <c r="I805" i="4"/>
  <c r="H805" i="4"/>
  <c r="G805" i="4"/>
  <c r="F805" i="4"/>
  <c r="E805" i="4"/>
  <c r="D805" i="4"/>
  <c r="C805" i="4"/>
  <c r="B805" i="4"/>
  <c r="A805" i="4"/>
  <c r="J804" i="4"/>
  <c r="I804" i="4"/>
  <c r="H804" i="4"/>
  <c r="G804" i="4"/>
  <c r="F804" i="4"/>
  <c r="E804" i="4"/>
  <c r="D804" i="4"/>
  <c r="C804" i="4"/>
  <c r="B804" i="4"/>
  <c r="A804" i="4"/>
  <c r="J803" i="4"/>
  <c r="I803" i="4"/>
  <c r="H803" i="4"/>
  <c r="G803" i="4"/>
  <c r="F803" i="4"/>
  <c r="E803" i="4"/>
  <c r="D803" i="4"/>
  <c r="C803" i="4"/>
  <c r="B803" i="4"/>
  <c r="A803" i="4"/>
  <c r="J802" i="4"/>
  <c r="I802" i="4"/>
  <c r="H802" i="4"/>
  <c r="G802" i="4"/>
  <c r="F802" i="4"/>
  <c r="E802" i="4"/>
  <c r="D802" i="4"/>
  <c r="C802" i="4"/>
  <c r="B802" i="4"/>
  <c r="A802" i="4"/>
  <c r="J801" i="4"/>
  <c r="I801" i="4"/>
  <c r="H801" i="4"/>
  <c r="G801" i="4"/>
  <c r="F801" i="4"/>
  <c r="E801" i="4"/>
  <c r="D801" i="4"/>
  <c r="C801" i="4"/>
  <c r="B801" i="4"/>
  <c r="A801" i="4"/>
  <c r="J800" i="4"/>
  <c r="I800" i="4"/>
  <c r="H800" i="4"/>
  <c r="G800" i="4"/>
  <c r="F800" i="4"/>
  <c r="E800" i="4"/>
  <c r="D800" i="4"/>
  <c r="C800" i="4"/>
  <c r="B800" i="4"/>
  <c r="A800" i="4"/>
  <c r="J799" i="4"/>
  <c r="I799" i="4"/>
  <c r="H799" i="4"/>
  <c r="G799" i="4"/>
  <c r="F799" i="4"/>
  <c r="E799" i="4"/>
  <c r="D799" i="4"/>
  <c r="C799" i="4"/>
  <c r="B799" i="4"/>
  <c r="A799" i="4"/>
  <c r="J798" i="4"/>
  <c r="I798" i="4"/>
  <c r="H798" i="4"/>
  <c r="G798" i="4"/>
  <c r="F798" i="4"/>
  <c r="E798" i="4"/>
  <c r="D798" i="4"/>
  <c r="C798" i="4"/>
  <c r="B798" i="4"/>
  <c r="A798" i="4"/>
  <c r="J797" i="4"/>
  <c r="I797" i="4"/>
  <c r="H797" i="4"/>
  <c r="G797" i="4"/>
  <c r="F797" i="4"/>
  <c r="E797" i="4"/>
  <c r="D797" i="4"/>
  <c r="C797" i="4"/>
  <c r="B797" i="4"/>
  <c r="A797" i="4"/>
  <c r="J796" i="4"/>
  <c r="I796" i="4"/>
  <c r="H796" i="4"/>
  <c r="G796" i="4"/>
  <c r="F796" i="4"/>
  <c r="E796" i="4"/>
  <c r="D796" i="4"/>
  <c r="C796" i="4"/>
  <c r="B796" i="4"/>
  <c r="A796" i="4"/>
  <c r="J795" i="4"/>
  <c r="I795" i="4"/>
  <c r="H795" i="4"/>
  <c r="G795" i="4"/>
  <c r="F795" i="4"/>
  <c r="E795" i="4"/>
  <c r="D795" i="4"/>
  <c r="C795" i="4"/>
  <c r="B795" i="4"/>
  <c r="A795" i="4"/>
  <c r="J794" i="4"/>
  <c r="I794" i="4"/>
  <c r="H794" i="4"/>
  <c r="G794" i="4"/>
  <c r="F794" i="4"/>
  <c r="E794" i="4"/>
  <c r="D794" i="4"/>
  <c r="C794" i="4"/>
  <c r="B794" i="4"/>
  <c r="A794" i="4"/>
  <c r="J793" i="4"/>
  <c r="I793" i="4"/>
  <c r="H793" i="4"/>
  <c r="G793" i="4"/>
  <c r="F793" i="4"/>
  <c r="E793" i="4"/>
  <c r="D793" i="4"/>
  <c r="C793" i="4"/>
  <c r="B793" i="4"/>
  <c r="A793" i="4"/>
  <c r="J792" i="4"/>
  <c r="I792" i="4"/>
  <c r="H792" i="4"/>
  <c r="G792" i="4"/>
  <c r="F792" i="4"/>
  <c r="E792" i="4"/>
  <c r="D792" i="4"/>
  <c r="C792" i="4"/>
  <c r="B792" i="4"/>
  <c r="A792" i="4"/>
  <c r="J791" i="4"/>
  <c r="I791" i="4"/>
  <c r="H791" i="4"/>
  <c r="G791" i="4"/>
  <c r="F791" i="4"/>
  <c r="E791" i="4"/>
  <c r="D791" i="4"/>
  <c r="C791" i="4"/>
  <c r="B791" i="4"/>
  <c r="A791" i="4"/>
  <c r="J790" i="4"/>
  <c r="I790" i="4"/>
  <c r="H790" i="4"/>
  <c r="G790" i="4"/>
  <c r="F790" i="4"/>
  <c r="E790" i="4"/>
  <c r="D790" i="4"/>
  <c r="C790" i="4"/>
  <c r="B790" i="4"/>
  <c r="A790" i="4"/>
  <c r="J789" i="4"/>
  <c r="I789" i="4"/>
  <c r="H789" i="4"/>
  <c r="G789" i="4"/>
  <c r="F789" i="4"/>
  <c r="E789" i="4"/>
  <c r="D789" i="4"/>
  <c r="C789" i="4"/>
  <c r="B789" i="4"/>
  <c r="A789" i="4"/>
  <c r="J788" i="4"/>
  <c r="I788" i="4"/>
  <c r="H788" i="4"/>
  <c r="G788" i="4"/>
  <c r="F788" i="4"/>
  <c r="E788" i="4"/>
  <c r="D788" i="4"/>
  <c r="C788" i="4"/>
  <c r="B788" i="4"/>
  <c r="A788" i="4"/>
  <c r="J787" i="4"/>
  <c r="I787" i="4"/>
  <c r="H787" i="4"/>
  <c r="G787" i="4"/>
  <c r="F787" i="4"/>
  <c r="E787" i="4"/>
  <c r="D787" i="4"/>
  <c r="C787" i="4"/>
  <c r="B787" i="4"/>
  <c r="A787" i="4"/>
  <c r="J786" i="4"/>
  <c r="I786" i="4"/>
  <c r="H786" i="4"/>
  <c r="G786" i="4"/>
  <c r="F786" i="4"/>
  <c r="E786" i="4"/>
  <c r="D786" i="4"/>
  <c r="C786" i="4"/>
  <c r="B786" i="4"/>
  <c r="A786" i="4"/>
  <c r="J785" i="4"/>
  <c r="I785" i="4"/>
  <c r="H785" i="4"/>
  <c r="G785" i="4"/>
  <c r="F785" i="4"/>
  <c r="E785" i="4"/>
  <c r="D785" i="4"/>
  <c r="C785" i="4"/>
  <c r="B785" i="4"/>
  <c r="A785" i="4"/>
  <c r="J784" i="4"/>
  <c r="I784" i="4"/>
  <c r="H784" i="4"/>
  <c r="G784" i="4"/>
  <c r="F784" i="4"/>
  <c r="E784" i="4"/>
  <c r="D784" i="4"/>
  <c r="C784" i="4"/>
  <c r="B784" i="4"/>
  <c r="A784" i="4"/>
  <c r="J783" i="4"/>
  <c r="I783" i="4"/>
  <c r="H783" i="4"/>
  <c r="G783" i="4"/>
  <c r="F783" i="4"/>
  <c r="E783" i="4"/>
  <c r="D783" i="4"/>
  <c r="C783" i="4"/>
  <c r="B783" i="4"/>
  <c r="A783" i="4"/>
  <c r="J782" i="4"/>
  <c r="I782" i="4"/>
  <c r="H782" i="4"/>
  <c r="G782" i="4"/>
  <c r="F782" i="4"/>
  <c r="E782" i="4"/>
  <c r="D782" i="4"/>
  <c r="C782" i="4"/>
  <c r="B782" i="4"/>
  <c r="A782" i="4"/>
  <c r="J781" i="4"/>
  <c r="I781" i="4"/>
  <c r="H781" i="4"/>
  <c r="G781" i="4"/>
  <c r="F781" i="4"/>
  <c r="E781" i="4"/>
  <c r="D781" i="4"/>
  <c r="C781" i="4"/>
  <c r="B781" i="4"/>
  <c r="A781" i="4"/>
  <c r="J780" i="4"/>
  <c r="I780" i="4"/>
  <c r="H780" i="4"/>
  <c r="G780" i="4"/>
  <c r="F780" i="4"/>
  <c r="E780" i="4"/>
  <c r="D780" i="4"/>
  <c r="C780" i="4"/>
  <c r="B780" i="4"/>
  <c r="A780" i="4"/>
  <c r="J779" i="4"/>
  <c r="I779" i="4"/>
  <c r="H779" i="4"/>
  <c r="G779" i="4"/>
  <c r="F779" i="4"/>
  <c r="E779" i="4"/>
  <c r="D779" i="4"/>
  <c r="C779" i="4"/>
  <c r="B779" i="4"/>
  <c r="A779" i="4"/>
  <c r="J778" i="4"/>
  <c r="I778" i="4"/>
  <c r="H778" i="4"/>
  <c r="G778" i="4"/>
  <c r="F778" i="4"/>
  <c r="E778" i="4"/>
  <c r="D778" i="4"/>
  <c r="C778" i="4"/>
  <c r="B778" i="4"/>
  <c r="A778" i="4"/>
  <c r="J777" i="4"/>
  <c r="I777" i="4"/>
  <c r="H777" i="4"/>
  <c r="G777" i="4"/>
  <c r="F777" i="4"/>
  <c r="E777" i="4"/>
  <c r="D777" i="4"/>
  <c r="C777" i="4"/>
  <c r="B777" i="4"/>
  <c r="A777" i="4"/>
  <c r="J776" i="4"/>
  <c r="I776" i="4"/>
  <c r="H776" i="4"/>
  <c r="G776" i="4"/>
  <c r="F776" i="4"/>
  <c r="E776" i="4"/>
  <c r="D776" i="4"/>
  <c r="C776" i="4"/>
  <c r="B776" i="4"/>
  <c r="A776" i="4"/>
  <c r="J775" i="4"/>
  <c r="I775" i="4"/>
  <c r="H775" i="4"/>
  <c r="G775" i="4"/>
  <c r="F775" i="4"/>
  <c r="E775" i="4"/>
  <c r="D775" i="4"/>
  <c r="C775" i="4"/>
  <c r="B775" i="4"/>
  <c r="A775" i="4"/>
  <c r="J774" i="4"/>
  <c r="I774" i="4"/>
  <c r="H774" i="4"/>
  <c r="G774" i="4"/>
  <c r="F774" i="4"/>
  <c r="E774" i="4"/>
  <c r="D774" i="4"/>
  <c r="C774" i="4"/>
  <c r="B774" i="4"/>
  <c r="A774" i="4"/>
  <c r="J773" i="4"/>
  <c r="I773" i="4"/>
  <c r="H773" i="4"/>
  <c r="G773" i="4"/>
  <c r="F773" i="4"/>
  <c r="E773" i="4"/>
  <c r="D773" i="4"/>
  <c r="C773" i="4"/>
  <c r="B773" i="4"/>
  <c r="A773" i="4"/>
  <c r="J772" i="4"/>
  <c r="I772" i="4"/>
  <c r="H772" i="4"/>
  <c r="G772" i="4"/>
  <c r="F772" i="4"/>
  <c r="E772" i="4"/>
  <c r="D772" i="4"/>
  <c r="C772" i="4"/>
  <c r="B772" i="4"/>
  <c r="A772" i="4"/>
  <c r="J771" i="4"/>
  <c r="I771" i="4"/>
  <c r="H771" i="4"/>
  <c r="G771" i="4"/>
  <c r="F771" i="4"/>
  <c r="E771" i="4"/>
  <c r="D771" i="4"/>
  <c r="C771" i="4"/>
  <c r="B771" i="4"/>
  <c r="A771" i="4"/>
  <c r="J770" i="4"/>
  <c r="I770" i="4"/>
  <c r="H770" i="4"/>
  <c r="G770" i="4"/>
  <c r="F770" i="4"/>
  <c r="E770" i="4"/>
  <c r="D770" i="4"/>
  <c r="C770" i="4"/>
  <c r="B770" i="4"/>
  <c r="A770" i="4"/>
  <c r="J769" i="4"/>
  <c r="I769" i="4"/>
  <c r="H769" i="4"/>
  <c r="G769" i="4"/>
  <c r="F769" i="4"/>
  <c r="E769" i="4"/>
  <c r="D769" i="4"/>
  <c r="C769" i="4"/>
  <c r="B769" i="4"/>
  <c r="A769" i="4"/>
  <c r="J768" i="4"/>
  <c r="I768" i="4"/>
  <c r="H768" i="4"/>
  <c r="G768" i="4"/>
  <c r="F768" i="4"/>
  <c r="E768" i="4"/>
  <c r="D768" i="4"/>
  <c r="C768" i="4"/>
  <c r="B768" i="4"/>
  <c r="A768" i="4"/>
  <c r="J767" i="4"/>
  <c r="I767" i="4"/>
  <c r="H767" i="4"/>
  <c r="G767" i="4"/>
  <c r="F767" i="4"/>
  <c r="E767" i="4"/>
  <c r="D767" i="4"/>
  <c r="C767" i="4"/>
  <c r="B767" i="4"/>
  <c r="A767" i="4"/>
  <c r="J766" i="4"/>
  <c r="I766" i="4"/>
  <c r="H766" i="4"/>
  <c r="G766" i="4"/>
  <c r="F766" i="4"/>
  <c r="E766" i="4"/>
  <c r="D766" i="4"/>
  <c r="C766" i="4"/>
  <c r="B766" i="4"/>
  <c r="A766" i="4"/>
  <c r="J765" i="4"/>
  <c r="I765" i="4"/>
  <c r="H765" i="4"/>
  <c r="G765" i="4"/>
  <c r="F765" i="4"/>
  <c r="E765" i="4"/>
  <c r="D765" i="4"/>
  <c r="C765" i="4"/>
  <c r="B765" i="4"/>
  <c r="A765" i="4"/>
  <c r="J764" i="4"/>
  <c r="I764" i="4"/>
  <c r="H764" i="4"/>
  <c r="G764" i="4"/>
  <c r="F764" i="4"/>
  <c r="E764" i="4"/>
  <c r="D764" i="4"/>
  <c r="C764" i="4"/>
  <c r="B764" i="4"/>
  <c r="A764" i="4"/>
  <c r="J763" i="4"/>
  <c r="I763" i="4"/>
  <c r="H763" i="4"/>
  <c r="G763" i="4"/>
  <c r="F763" i="4"/>
  <c r="E763" i="4"/>
  <c r="D763" i="4"/>
  <c r="C763" i="4"/>
  <c r="B763" i="4"/>
  <c r="A763" i="4"/>
  <c r="J762" i="4"/>
  <c r="I762" i="4"/>
  <c r="H762" i="4"/>
  <c r="G762" i="4"/>
  <c r="F762" i="4"/>
  <c r="E762" i="4"/>
  <c r="D762" i="4"/>
  <c r="C762" i="4"/>
  <c r="B762" i="4"/>
  <c r="A762" i="4"/>
  <c r="J761" i="4"/>
  <c r="I761" i="4"/>
  <c r="H761" i="4"/>
  <c r="G761" i="4"/>
  <c r="F761" i="4"/>
  <c r="E761" i="4"/>
  <c r="D761" i="4"/>
  <c r="C761" i="4"/>
  <c r="B761" i="4"/>
  <c r="A761" i="4"/>
  <c r="J760" i="4"/>
  <c r="I760" i="4"/>
  <c r="H760" i="4"/>
  <c r="G760" i="4"/>
  <c r="F760" i="4"/>
  <c r="E760" i="4"/>
  <c r="D760" i="4"/>
  <c r="C760" i="4"/>
  <c r="B760" i="4"/>
  <c r="A760" i="4"/>
  <c r="J759" i="4"/>
  <c r="I759" i="4"/>
  <c r="H759" i="4"/>
  <c r="G759" i="4"/>
  <c r="F759" i="4"/>
  <c r="E759" i="4"/>
  <c r="D759" i="4"/>
  <c r="C759" i="4"/>
  <c r="B759" i="4"/>
  <c r="A759" i="4"/>
  <c r="J758" i="4"/>
  <c r="I758" i="4"/>
  <c r="H758" i="4"/>
  <c r="G758" i="4"/>
  <c r="F758" i="4"/>
  <c r="E758" i="4"/>
  <c r="D758" i="4"/>
  <c r="C758" i="4"/>
  <c r="B758" i="4"/>
  <c r="A758" i="4"/>
  <c r="J757" i="4"/>
  <c r="I757" i="4"/>
  <c r="H757" i="4"/>
  <c r="G757" i="4"/>
  <c r="F757" i="4"/>
  <c r="E757" i="4"/>
  <c r="D757" i="4"/>
  <c r="C757" i="4"/>
  <c r="B757" i="4"/>
  <c r="A757" i="4"/>
  <c r="J756" i="4"/>
  <c r="I756" i="4"/>
  <c r="H756" i="4"/>
  <c r="G756" i="4"/>
  <c r="F756" i="4"/>
  <c r="E756" i="4"/>
  <c r="D756" i="4"/>
  <c r="C756" i="4"/>
  <c r="B756" i="4"/>
  <c r="A756" i="4"/>
  <c r="J755" i="4"/>
  <c r="I755" i="4"/>
  <c r="H755" i="4"/>
  <c r="G755" i="4"/>
  <c r="F755" i="4"/>
  <c r="E755" i="4"/>
  <c r="D755" i="4"/>
  <c r="C755" i="4"/>
  <c r="B755" i="4"/>
  <c r="A755" i="4"/>
  <c r="J754" i="4"/>
  <c r="I754" i="4"/>
  <c r="H754" i="4"/>
  <c r="G754" i="4"/>
  <c r="F754" i="4"/>
  <c r="E754" i="4"/>
  <c r="D754" i="4"/>
  <c r="C754" i="4"/>
  <c r="B754" i="4"/>
  <c r="A754" i="4"/>
  <c r="J753" i="4"/>
  <c r="I753" i="4"/>
  <c r="H753" i="4"/>
  <c r="G753" i="4"/>
  <c r="F753" i="4"/>
  <c r="E753" i="4"/>
  <c r="D753" i="4"/>
  <c r="C753" i="4"/>
  <c r="B753" i="4"/>
  <c r="A753" i="4"/>
  <c r="J752" i="4"/>
  <c r="I752" i="4"/>
  <c r="H752" i="4"/>
  <c r="G752" i="4"/>
  <c r="F752" i="4"/>
  <c r="E752" i="4"/>
  <c r="D752" i="4"/>
  <c r="C752" i="4"/>
  <c r="B752" i="4"/>
  <c r="A752" i="4"/>
  <c r="J751" i="4"/>
  <c r="I751" i="4"/>
  <c r="H751" i="4"/>
  <c r="G751" i="4"/>
  <c r="F751" i="4"/>
  <c r="E751" i="4"/>
  <c r="D751" i="4"/>
  <c r="C751" i="4"/>
  <c r="B751" i="4"/>
  <c r="A751" i="4"/>
  <c r="J750" i="4"/>
  <c r="I750" i="4"/>
  <c r="H750" i="4"/>
  <c r="G750" i="4"/>
  <c r="F750" i="4"/>
  <c r="E750" i="4"/>
  <c r="D750" i="4"/>
  <c r="C750" i="4"/>
  <c r="B750" i="4"/>
  <c r="A750" i="4"/>
  <c r="J749" i="4"/>
  <c r="I749" i="4"/>
  <c r="H749" i="4"/>
  <c r="G749" i="4"/>
  <c r="F749" i="4"/>
  <c r="E749" i="4"/>
  <c r="D749" i="4"/>
  <c r="C749" i="4"/>
  <c r="B749" i="4"/>
  <c r="A749" i="4"/>
  <c r="J748" i="4"/>
  <c r="I748" i="4"/>
  <c r="H748" i="4"/>
  <c r="G748" i="4"/>
  <c r="F748" i="4"/>
  <c r="E748" i="4"/>
  <c r="D748" i="4"/>
  <c r="C748" i="4"/>
  <c r="B748" i="4"/>
  <c r="A748" i="4"/>
  <c r="J747" i="4"/>
  <c r="I747" i="4"/>
  <c r="H747" i="4"/>
  <c r="G747" i="4"/>
  <c r="F747" i="4"/>
  <c r="E747" i="4"/>
  <c r="D747" i="4"/>
  <c r="C747" i="4"/>
  <c r="B747" i="4"/>
  <c r="A747" i="4"/>
  <c r="J746" i="4"/>
  <c r="I746" i="4"/>
  <c r="H746" i="4"/>
  <c r="G746" i="4"/>
  <c r="F746" i="4"/>
  <c r="E746" i="4"/>
  <c r="D746" i="4"/>
  <c r="C746" i="4"/>
  <c r="B746" i="4"/>
  <c r="A746" i="4"/>
  <c r="J745" i="4"/>
  <c r="I745" i="4"/>
  <c r="H745" i="4"/>
  <c r="G745" i="4"/>
  <c r="F745" i="4"/>
  <c r="E745" i="4"/>
  <c r="D745" i="4"/>
  <c r="C745" i="4"/>
  <c r="B745" i="4"/>
  <c r="A745" i="4"/>
  <c r="J744" i="4"/>
  <c r="I744" i="4"/>
  <c r="H744" i="4"/>
  <c r="G744" i="4"/>
  <c r="F744" i="4"/>
  <c r="E744" i="4"/>
  <c r="D744" i="4"/>
  <c r="C744" i="4"/>
  <c r="B744" i="4"/>
  <c r="A744" i="4"/>
  <c r="J743" i="4"/>
  <c r="I743" i="4"/>
  <c r="H743" i="4"/>
  <c r="G743" i="4"/>
  <c r="F743" i="4"/>
  <c r="E743" i="4"/>
  <c r="D743" i="4"/>
  <c r="C743" i="4"/>
  <c r="B743" i="4"/>
  <c r="A743" i="4"/>
  <c r="J742" i="4"/>
  <c r="I742" i="4"/>
  <c r="H742" i="4"/>
  <c r="G742" i="4"/>
  <c r="F742" i="4"/>
  <c r="E742" i="4"/>
  <c r="D742" i="4"/>
  <c r="C742" i="4"/>
  <c r="B742" i="4"/>
  <c r="A742" i="4"/>
  <c r="J741" i="4"/>
  <c r="I741" i="4"/>
  <c r="H741" i="4"/>
  <c r="G741" i="4"/>
  <c r="F741" i="4"/>
  <c r="E741" i="4"/>
  <c r="D741" i="4"/>
  <c r="C741" i="4"/>
  <c r="B741" i="4"/>
  <c r="A741" i="4"/>
  <c r="J740" i="4"/>
  <c r="I740" i="4"/>
  <c r="H740" i="4"/>
  <c r="G740" i="4"/>
  <c r="F740" i="4"/>
  <c r="E740" i="4"/>
  <c r="D740" i="4"/>
  <c r="C740" i="4"/>
  <c r="B740" i="4"/>
  <c r="A740" i="4"/>
  <c r="J739" i="4"/>
  <c r="I739" i="4"/>
  <c r="H739" i="4"/>
  <c r="G739" i="4"/>
  <c r="F739" i="4"/>
  <c r="E739" i="4"/>
  <c r="D739" i="4"/>
  <c r="C739" i="4"/>
  <c r="B739" i="4"/>
  <c r="A739" i="4"/>
  <c r="J738" i="4"/>
  <c r="I738" i="4"/>
  <c r="H738" i="4"/>
  <c r="G738" i="4"/>
  <c r="F738" i="4"/>
  <c r="E738" i="4"/>
  <c r="D738" i="4"/>
  <c r="C738" i="4"/>
  <c r="B738" i="4"/>
  <c r="A738" i="4"/>
  <c r="J737" i="4"/>
  <c r="I737" i="4"/>
  <c r="H737" i="4"/>
  <c r="G737" i="4"/>
  <c r="F737" i="4"/>
  <c r="E737" i="4"/>
  <c r="D737" i="4"/>
  <c r="C737" i="4"/>
  <c r="B737" i="4"/>
  <c r="A737" i="4"/>
  <c r="J736" i="4"/>
  <c r="I736" i="4"/>
  <c r="H736" i="4"/>
  <c r="G736" i="4"/>
  <c r="F736" i="4"/>
  <c r="E736" i="4"/>
  <c r="D736" i="4"/>
  <c r="C736" i="4"/>
  <c r="B736" i="4"/>
  <c r="A736" i="4"/>
  <c r="J735" i="4"/>
  <c r="I735" i="4"/>
  <c r="H735" i="4"/>
  <c r="G735" i="4"/>
  <c r="F735" i="4"/>
  <c r="E735" i="4"/>
  <c r="D735" i="4"/>
  <c r="C735" i="4"/>
  <c r="B735" i="4"/>
  <c r="A735" i="4"/>
  <c r="J734" i="4"/>
  <c r="I734" i="4"/>
  <c r="H734" i="4"/>
  <c r="G734" i="4"/>
  <c r="F734" i="4"/>
  <c r="E734" i="4"/>
  <c r="D734" i="4"/>
  <c r="C734" i="4"/>
  <c r="B734" i="4"/>
  <c r="A734" i="4"/>
  <c r="J733" i="4"/>
  <c r="I733" i="4"/>
  <c r="H733" i="4"/>
  <c r="G733" i="4"/>
  <c r="F733" i="4"/>
  <c r="E733" i="4"/>
  <c r="D733" i="4"/>
  <c r="C733" i="4"/>
  <c r="B733" i="4"/>
  <c r="A733" i="4"/>
  <c r="J732" i="4"/>
  <c r="I732" i="4"/>
  <c r="H732" i="4"/>
  <c r="G732" i="4"/>
  <c r="F732" i="4"/>
  <c r="E732" i="4"/>
  <c r="D732" i="4"/>
  <c r="C732" i="4"/>
  <c r="B732" i="4"/>
  <c r="A732" i="4"/>
  <c r="J731" i="4"/>
  <c r="I731" i="4"/>
  <c r="H731" i="4"/>
  <c r="G731" i="4"/>
  <c r="F731" i="4"/>
  <c r="E731" i="4"/>
  <c r="D731" i="4"/>
  <c r="C731" i="4"/>
  <c r="B731" i="4"/>
  <c r="A731" i="4"/>
  <c r="J730" i="4"/>
  <c r="I730" i="4"/>
  <c r="H730" i="4"/>
  <c r="G730" i="4"/>
  <c r="F730" i="4"/>
  <c r="E730" i="4"/>
  <c r="D730" i="4"/>
  <c r="C730" i="4"/>
  <c r="B730" i="4"/>
  <c r="A730" i="4"/>
  <c r="J729" i="4"/>
  <c r="I729" i="4"/>
  <c r="H729" i="4"/>
  <c r="G729" i="4"/>
  <c r="F729" i="4"/>
  <c r="E729" i="4"/>
  <c r="D729" i="4"/>
  <c r="C729" i="4"/>
  <c r="B729" i="4"/>
  <c r="A729" i="4"/>
  <c r="J728" i="4"/>
  <c r="I728" i="4"/>
  <c r="H728" i="4"/>
  <c r="G728" i="4"/>
  <c r="F728" i="4"/>
  <c r="E728" i="4"/>
  <c r="D728" i="4"/>
  <c r="C728" i="4"/>
  <c r="B728" i="4"/>
  <c r="A728" i="4"/>
  <c r="J727" i="4"/>
  <c r="I727" i="4"/>
  <c r="H727" i="4"/>
  <c r="G727" i="4"/>
  <c r="F727" i="4"/>
  <c r="E727" i="4"/>
  <c r="D727" i="4"/>
  <c r="C727" i="4"/>
  <c r="B727" i="4"/>
  <c r="A727" i="4"/>
  <c r="J726" i="4"/>
  <c r="I726" i="4"/>
  <c r="H726" i="4"/>
  <c r="G726" i="4"/>
  <c r="F726" i="4"/>
  <c r="E726" i="4"/>
  <c r="D726" i="4"/>
  <c r="C726" i="4"/>
  <c r="B726" i="4"/>
  <c r="A726" i="4"/>
  <c r="J725" i="4"/>
  <c r="I725" i="4"/>
  <c r="H725" i="4"/>
  <c r="G725" i="4"/>
  <c r="F725" i="4"/>
  <c r="E725" i="4"/>
  <c r="D725" i="4"/>
  <c r="C725" i="4"/>
  <c r="B725" i="4"/>
  <c r="A725" i="4"/>
  <c r="J724" i="4"/>
  <c r="I724" i="4"/>
  <c r="H724" i="4"/>
  <c r="G724" i="4"/>
  <c r="F724" i="4"/>
  <c r="E724" i="4"/>
  <c r="D724" i="4"/>
  <c r="C724" i="4"/>
  <c r="B724" i="4"/>
  <c r="A724" i="4"/>
  <c r="J723" i="4"/>
  <c r="I723" i="4"/>
  <c r="H723" i="4"/>
  <c r="G723" i="4"/>
  <c r="F723" i="4"/>
  <c r="E723" i="4"/>
  <c r="D723" i="4"/>
  <c r="C723" i="4"/>
  <c r="B723" i="4"/>
  <c r="A723" i="4"/>
  <c r="J722" i="4"/>
  <c r="I722" i="4"/>
  <c r="H722" i="4"/>
  <c r="G722" i="4"/>
  <c r="F722" i="4"/>
  <c r="E722" i="4"/>
  <c r="D722" i="4"/>
  <c r="C722" i="4"/>
  <c r="B722" i="4"/>
  <c r="A722" i="4"/>
  <c r="J721" i="4"/>
  <c r="I721" i="4"/>
  <c r="H721" i="4"/>
  <c r="G721" i="4"/>
  <c r="F721" i="4"/>
  <c r="E721" i="4"/>
  <c r="D721" i="4"/>
  <c r="C721" i="4"/>
  <c r="B721" i="4"/>
  <c r="A721" i="4"/>
  <c r="J720" i="4"/>
  <c r="I720" i="4"/>
  <c r="H720" i="4"/>
  <c r="G720" i="4"/>
  <c r="F720" i="4"/>
  <c r="E720" i="4"/>
  <c r="D720" i="4"/>
  <c r="C720" i="4"/>
  <c r="B720" i="4"/>
  <c r="A720" i="4"/>
  <c r="J719" i="4"/>
  <c r="I719" i="4"/>
  <c r="H719" i="4"/>
  <c r="G719" i="4"/>
  <c r="F719" i="4"/>
  <c r="E719" i="4"/>
  <c r="D719" i="4"/>
  <c r="C719" i="4"/>
  <c r="B719" i="4"/>
  <c r="A719" i="4"/>
  <c r="J718" i="4"/>
  <c r="I718" i="4"/>
  <c r="H718" i="4"/>
  <c r="G718" i="4"/>
  <c r="F718" i="4"/>
  <c r="E718" i="4"/>
  <c r="D718" i="4"/>
  <c r="C718" i="4"/>
  <c r="B718" i="4"/>
  <c r="A718" i="4"/>
  <c r="J717" i="4"/>
  <c r="I717" i="4"/>
  <c r="H717" i="4"/>
  <c r="G717" i="4"/>
  <c r="F717" i="4"/>
  <c r="E717" i="4"/>
  <c r="D717" i="4"/>
  <c r="C717" i="4"/>
  <c r="B717" i="4"/>
  <c r="A717" i="4"/>
  <c r="J716" i="4"/>
  <c r="I716" i="4"/>
  <c r="H716" i="4"/>
  <c r="G716" i="4"/>
  <c r="F716" i="4"/>
  <c r="E716" i="4"/>
  <c r="D716" i="4"/>
  <c r="C716" i="4"/>
  <c r="B716" i="4"/>
  <c r="A716" i="4"/>
  <c r="J715" i="4"/>
  <c r="I715" i="4"/>
  <c r="H715" i="4"/>
  <c r="G715" i="4"/>
  <c r="F715" i="4"/>
  <c r="E715" i="4"/>
  <c r="D715" i="4"/>
  <c r="C715" i="4"/>
  <c r="B715" i="4"/>
  <c r="A715" i="4"/>
  <c r="J714" i="4"/>
  <c r="I714" i="4"/>
  <c r="H714" i="4"/>
  <c r="G714" i="4"/>
  <c r="F714" i="4"/>
  <c r="E714" i="4"/>
  <c r="D714" i="4"/>
  <c r="C714" i="4"/>
  <c r="B714" i="4"/>
  <c r="A714" i="4"/>
  <c r="J713" i="4"/>
  <c r="I713" i="4"/>
  <c r="H713" i="4"/>
  <c r="G713" i="4"/>
  <c r="F713" i="4"/>
  <c r="E713" i="4"/>
  <c r="D713" i="4"/>
  <c r="C713" i="4"/>
  <c r="B713" i="4"/>
  <c r="A713" i="4"/>
  <c r="J712" i="4"/>
  <c r="I712" i="4"/>
  <c r="H712" i="4"/>
  <c r="G712" i="4"/>
  <c r="F712" i="4"/>
  <c r="E712" i="4"/>
  <c r="D712" i="4"/>
  <c r="C712" i="4"/>
  <c r="B712" i="4"/>
  <c r="A712" i="4"/>
  <c r="J711" i="4"/>
  <c r="I711" i="4"/>
  <c r="H711" i="4"/>
  <c r="G711" i="4"/>
  <c r="F711" i="4"/>
  <c r="E711" i="4"/>
  <c r="D711" i="4"/>
  <c r="C711" i="4"/>
  <c r="B711" i="4"/>
  <c r="A711" i="4"/>
  <c r="J710" i="4"/>
  <c r="I710" i="4"/>
  <c r="H710" i="4"/>
  <c r="G710" i="4"/>
  <c r="F710" i="4"/>
  <c r="E710" i="4"/>
  <c r="D710" i="4"/>
  <c r="C710" i="4"/>
  <c r="B710" i="4"/>
  <c r="A710" i="4"/>
  <c r="J709" i="4"/>
  <c r="I709" i="4"/>
  <c r="H709" i="4"/>
  <c r="G709" i="4"/>
  <c r="F709" i="4"/>
  <c r="E709" i="4"/>
  <c r="D709" i="4"/>
  <c r="C709" i="4"/>
  <c r="B709" i="4"/>
  <c r="A709" i="4"/>
  <c r="J708" i="4"/>
  <c r="I708" i="4"/>
  <c r="H708" i="4"/>
  <c r="G708" i="4"/>
  <c r="F708" i="4"/>
  <c r="E708" i="4"/>
  <c r="D708" i="4"/>
  <c r="C708" i="4"/>
  <c r="B708" i="4"/>
  <c r="A708" i="4"/>
  <c r="J707" i="4"/>
  <c r="I707" i="4"/>
  <c r="H707" i="4"/>
  <c r="G707" i="4"/>
  <c r="F707" i="4"/>
  <c r="E707" i="4"/>
  <c r="D707" i="4"/>
  <c r="C707" i="4"/>
  <c r="B707" i="4"/>
  <c r="A707" i="4"/>
  <c r="J706" i="4"/>
  <c r="I706" i="4"/>
  <c r="H706" i="4"/>
  <c r="G706" i="4"/>
  <c r="F706" i="4"/>
  <c r="E706" i="4"/>
  <c r="D706" i="4"/>
  <c r="C706" i="4"/>
  <c r="B706" i="4"/>
  <c r="A706" i="4"/>
  <c r="J705" i="4"/>
  <c r="I705" i="4"/>
  <c r="H705" i="4"/>
  <c r="G705" i="4"/>
  <c r="F705" i="4"/>
  <c r="E705" i="4"/>
  <c r="D705" i="4"/>
  <c r="C705" i="4"/>
  <c r="B705" i="4"/>
  <c r="A705" i="4"/>
  <c r="J704" i="4"/>
  <c r="I704" i="4"/>
  <c r="H704" i="4"/>
  <c r="G704" i="4"/>
  <c r="F704" i="4"/>
  <c r="E704" i="4"/>
  <c r="D704" i="4"/>
  <c r="C704" i="4"/>
  <c r="B704" i="4"/>
  <c r="A704" i="4"/>
  <c r="J703" i="4"/>
  <c r="I703" i="4"/>
  <c r="H703" i="4"/>
  <c r="G703" i="4"/>
  <c r="F703" i="4"/>
  <c r="E703" i="4"/>
  <c r="D703" i="4"/>
  <c r="C703" i="4"/>
  <c r="B703" i="4"/>
  <c r="A703" i="4"/>
  <c r="J702" i="4"/>
  <c r="I702" i="4"/>
  <c r="H702" i="4"/>
  <c r="G702" i="4"/>
  <c r="F702" i="4"/>
  <c r="E702" i="4"/>
  <c r="D702" i="4"/>
  <c r="C702" i="4"/>
  <c r="B702" i="4"/>
  <c r="A702" i="4"/>
  <c r="J701" i="4"/>
  <c r="I701" i="4"/>
  <c r="H701" i="4"/>
  <c r="G701" i="4"/>
  <c r="F701" i="4"/>
  <c r="E701" i="4"/>
  <c r="D701" i="4"/>
  <c r="C701" i="4"/>
  <c r="B701" i="4"/>
  <c r="A701" i="4"/>
  <c r="J700" i="4"/>
  <c r="I700" i="4"/>
  <c r="H700" i="4"/>
  <c r="G700" i="4"/>
  <c r="F700" i="4"/>
  <c r="E700" i="4"/>
  <c r="D700" i="4"/>
  <c r="C700" i="4"/>
  <c r="B700" i="4"/>
  <c r="A700" i="4"/>
  <c r="J699" i="4"/>
  <c r="I699" i="4"/>
  <c r="H699" i="4"/>
  <c r="G699" i="4"/>
  <c r="F699" i="4"/>
  <c r="E699" i="4"/>
  <c r="D699" i="4"/>
  <c r="C699" i="4"/>
  <c r="B699" i="4"/>
  <c r="A699" i="4"/>
  <c r="J698" i="4"/>
  <c r="I698" i="4"/>
  <c r="H698" i="4"/>
  <c r="G698" i="4"/>
  <c r="F698" i="4"/>
  <c r="E698" i="4"/>
  <c r="D698" i="4"/>
  <c r="C698" i="4"/>
  <c r="B698" i="4"/>
  <c r="A698" i="4"/>
  <c r="J697" i="4"/>
  <c r="I697" i="4"/>
  <c r="H697" i="4"/>
  <c r="G697" i="4"/>
  <c r="F697" i="4"/>
  <c r="E697" i="4"/>
  <c r="D697" i="4"/>
  <c r="C697" i="4"/>
  <c r="B697" i="4"/>
  <c r="A697" i="4"/>
  <c r="J696" i="4"/>
  <c r="I696" i="4"/>
  <c r="H696" i="4"/>
  <c r="G696" i="4"/>
  <c r="F696" i="4"/>
  <c r="E696" i="4"/>
  <c r="D696" i="4"/>
  <c r="C696" i="4"/>
  <c r="B696" i="4"/>
  <c r="A696" i="4"/>
  <c r="J695" i="4"/>
  <c r="I695" i="4"/>
  <c r="H695" i="4"/>
  <c r="G695" i="4"/>
  <c r="F695" i="4"/>
  <c r="E695" i="4"/>
  <c r="D695" i="4"/>
  <c r="C695" i="4"/>
  <c r="B695" i="4"/>
  <c r="A695" i="4"/>
  <c r="J694" i="4"/>
  <c r="I694" i="4"/>
  <c r="H694" i="4"/>
  <c r="G694" i="4"/>
  <c r="F694" i="4"/>
  <c r="E694" i="4"/>
  <c r="D694" i="4"/>
  <c r="C694" i="4"/>
  <c r="B694" i="4"/>
  <c r="A694" i="4"/>
  <c r="J693" i="4"/>
  <c r="I693" i="4"/>
  <c r="H693" i="4"/>
  <c r="G693" i="4"/>
  <c r="F693" i="4"/>
  <c r="E693" i="4"/>
  <c r="D693" i="4"/>
  <c r="C693" i="4"/>
  <c r="B693" i="4"/>
  <c r="A693" i="4"/>
  <c r="J692" i="4"/>
  <c r="I692" i="4"/>
  <c r="H692" i="4"/>
  <c r="G692" i="4"/>
  <c r="F692" i="4"/>
  <c r="E692" i="4"/>
  <c r="D692" i="4"/>
  <c r="C692" i="4"/>
  <c r="B692" i="4"/>
  <c r="A692" i="4"/>
  <c r="J691" i="4"/>
  <c r="I691" i="4"/>
  <c r="H691" i="4"/>
  <c r="G691" i="4"/>
  <c r="F691" i="4"/>
  <c r="E691" i="4"/>
  <c r="D691" i="4"/>
  <c r="C691" i="4"/>
  <c r="B691" i="4"/>
  <c r="A691" i="4"/>
  <c r="J690" i="4"/>
  <c r="I690" i="4"/>
  <c r="H690" i="4"/>
  <c r="G690" i="4"/>
  <c r="F690" i="4"/>
  <c r="E690" i="4"/>
  <c r="D690" i="4"/>
  <c r="C690" i="4"/>
  <c r="B690" i="4"/>
  <c r="A690" i="4"/>
  <c r="J689" i="4"/>
  <c r="I689" i="4"/>
  <c r="H689" i="4"/>
  <c r="G689" i="4"/>
  <c r="F689" i="4"/>
  <c r="E689" i="4"/>
  <c r="D689" i="4"/>
  <c r="C689" i="4"/>
  <c r="B689" i="4"/>
  <c r="A689" i="4"/>
  <c r="J688" i="4"/>
  <c r="I688" i="4"/>
  <c r="H688" i="4"/>
  <c r="G688" i="4"/>
  <c r="F688" i="4"/>
  <c r="E688" i="4"/>
  <c r="D688" i="4"/>
  <c r="C688" i="4"/>
  <c r="B688" i="4"/>
  <c r="A688" i="4"/>
  <c r="J687" i="4"/>
  <c r="I687" i="4"/>
  <c r="H687" i="4"/>
  <c r="G687" i="4"/>
  <c r="F687" i="4"/>
  <c r="E687" i="4"/>
  <c r="D687" i="4"/>
  <c r="C687" i="4"/>
  <c r="B687" i="4"/>
  <c r="A687" i="4"/>
  <c r="J686" i="4"/>
  <c r="I686" i="4"/>
  <c r="H686" i="4"/>
  <c r="G686" i="4"/>
  <c r="F686" i="4"/>
  <c r="E686" i="4"/>
  <c r="D686" i="4"/>
  <c r="C686" i="4"/>
  <c r="B686" i="4"/>
  <c r="A686" i="4"/>
  <c r="J685" i="4"/>
  <c r="I685" i="4"/>
  <c r="H685" i="4"/>
  <c r="G685" i="4"/>
  <c r="F685" i="4"/>
  <c r="E685" i="4"/>
  <c r="D685" i="4"/>
  <c r="C685" i="4"/>
  <c r="B685" i="4"/>
  <c r="A685" i="4"/>
  <c r="J684" i="4"/>
  <c r="I684" i="4"/>
  <c r="H684" i="4"/>
  <c r="G684" i="4"/>
  <c r="F684" i="4"/>
  <c r="E684" i="4"/>
  <c r="D684" i="4"/>
  <c r="C684" i="4"/>
  <c r="B684" i="4"/>
  <c r="A684" i="4"/>
  <c r="J683" i="4"/>
  <c r="I683" i="4"/>
  <c r="H683" i="4"/>
  <c r="G683" i="4"/>
  <c r="F683" i="4"/>
  <c r="E683" i="4"/>
  <c r="D683" i="4"/>
  <c r="C683" i="4"/>
  <c r="B683" i="4"/>
  <c r="A683" i="4"/>
  <c r="J682" i="4"/>
  <c r="I682" i="4"/>
  <c r="H682" i="4"/>
  <c r="G682" i="4"/>
  <c r="F682" i="4"/>
  <c r="E682" i="4"/>
  <c r="D682" i="4"/>
  <c r="C682" i="4"/>
  <c r="B682" i="4"/>
  <c r="A682" i="4"/>
  <c r="J681" i="4"/>
  <c r="I681" i="4"/>
  <c r="H681" i="4"/>
  <c r="G681" i="4"/>
  <c r="F681" i="4"/>
  <c r="E681" i="4"/>
  <c r="D681" i="4"/>
  <c r="C681" i="4"/>
  <c r="B681" i="4"/>
  <c r="A681" i="4"/>
  <c r="J680" i="4"/>
  <c r="I680" i="4"/>
  <c r="H680" i="4"/>
  <c r="G680" i="4"/>
  <c r="F680" i="4"/>
  <c r="E680" i="4"/>
  <c r="D680" i="4"/>
  <c r="C680" i="4"/>
  <c r="B680" i="4"/>
  <c r="A680" i="4"/>
  <c r="J679" i="4"/>
  <c r="I679" i="4"/>
  <c r="H679" i="4"/>
  <c r="G679" i="4"/>
  <c r="F679" i="4"/>
  <c r="E679" i="4"/>
  <c r="D679" i="4"/>
  <c r="C679" i="4"/>
  <c r="B679" i="4"/>
  <c r="A679" i="4"/>
  <c r="J678" i="4"/>
  <c r="I678" i="4"/>
  <c r="H678" i="4"/>
  <c r="G678" i="4"/>
  <c r="F678" i="4"/>
  <c r="E678" i="4"/>
  <c r="D678" i="4"/>
  <c r="C678" i="4"/>
  <c r="B678" i="4"/>
  <c r="A678" i="4"/>
  <c r="J677" i="4"/>
  <c r="I677" i="4"/>
  <c r="H677" i="4"/>
  <c r="G677" i="4"/>
  <c r="F677" i="4"/>
  <c r="E677" i="4"/>
  <c r="D677" i="4"/>
  <c r="C677" i="4"/>
  <c r="B677" i="4"/>
  <c r="A677" i="4"/>
  <c r="J676" i="4"/>
  <c r="I676" i="4"/>
  <c r="H676" i="4"/>
  <c r="G676" i="4"/>
  <c r="F676" i="4"/>
  <c r="E676" i="4"/>
  <c r="D676" i="4"/>
  <c r="C676" i="4"/>
  <c r="B676" i="4"/>
  <c r="A676" i="4"/>
  <c r="J675" i="4"/>
  <c r="I675" i="4"/>
  <c r="H675" i="4"/>
  <c r="G675" i="4"/>
  <c r="F675" i="4"/>
  <c r="E675" i="4"/>
  <c r="D675" i="4"/>
  <c r="C675" i="4"/>
  <c r="B675" i="4"/>
  <c r="A675" i="4"/>
  <c r="J674" i="4"/>
  <c r="I674" i="4"/>
  <c r="H674" i="4"/>
  <c r="G674" i="4"/>
  <c r="F674" i="4"/>
  <c r="E674" i="4"/>
  <c r="D674" i="4"/>
  <c r="C674" i="4"/>
  <c r="B674" i="4"/>
  <c r="A674" i="4"/>
  <c r="J673" i="4"/>
  <c r="I673" i="4"/>
  <c r="H673" i="4"/>
  <c r="G673" i="4"/>
  <c r="F673" i="4"/>
  <c r="E673" i="4"/>
  <c r="D673" i="4"/>
  <c r="C673" i="4"/>
  <c r="B673" i="4"/>
  <c r="A673" i="4"/>
  <c r="J672" i="4"/>
  <c r="I672" i="4"/>
  <c r="H672" i="4"/>
  <c r="G672" i="4"/>
  <c r="F672" i="4"/>
  <c r="E672" i="4"/>
  <c r="D672" i="4"/>
  <c r="C672" i="4"/>
  <c r="B672" i="4"/>
  <c r="A672" i="4"/>
  <c r="J671" i="4"/>
  <c r="I671" i="4"/>
  <c r="H671" i="4"/>
  <c r="G671" i="4"/>
  <c r="F671" i="4"/>
  <c r="E671" i="4"/>
  <c r="D671" i="4"/>
  <c r="C671" i="4"/>
  <c r="B671" i="4"/>
  <c r="A671" i="4"/>
  <c r="J670" i="4"/>
  <c r="I670" i="4"/>
  <c r="H670" i="4"/>
  <c r="G670" i="4"/>
  <c r="F670" i="4"/>
  <c r="E670" i="4"/>
  <c r="D670" i="4"/>
  <c r="C670" i="4"/>
  <c r="B670" i="4"/>
  <c r="A670" i="4"/>
  <c r="J669" i="4"/>
  <c r="I669" i="4"/>
  <c r="H669" i="4"/>
  <c r="G669" i="4"/>
  <c r="F669" i="4"/>
  <c r="E669" i="4"/>
  <c r="D669" i="4"/>
  <c r="C669" i="4"/>
  <c r="B669" i="4"/>
  <c r="A669" i="4"/>
  <c r="J668" i="4"/>
  <c r="I668" i="4"/>
  <c r="H668" i="4"/>
  <c r="G668" i="4"/>
  <c r="F668" i="4"/>
  <c r="E668" i="4"/>
  <c r="D668" i="4"/>
  <c r="C668" i="4"/>
  <c r="B668" i="4"/>
  <c r="A668" i="4"/>
  <c r="J667" i="4"/>
  <c r="I667" i="4"/>
  <c r="H667" i="4"/>
  <c r="G667" i="4"/>
  <c r="F667" i="4"/>
  <c r="E667" i="4"/>
  <c r="D667" i="4"/>
  <c r="C667" i="4"/>
  <c r="B667" i="4"/>
  <c r="A667" i="4"/>
  <c r="J666" i="4"/>
  <c r="I666" i="4"/>
  <c r="H666" i="4"/>
  <c r="G666" i="4"/>
  <c r="F666" i="4"/>
  <c r="E666" i="4"/>
  <c r="D666" i="4"/>
  <c r="C666" i="4"/>
  <c r="B666" i="4"/>
  <c r="A666" i="4"/>
  <c r="J665" i="4"/>
  <c r="I665" i="4"/>
  <c r="H665" i="4"/>
  <c r="G665" i="4"/>
  <c r="F665" i="4"/>
  <c r="E665" i="4"/>
  <c r="D665" i="4"/>
  <c r="C665" i="4"/>
  <c r="B665" i="4"/>
  <c r="A665" i="4"/>
  <c r="J664" i="4"/>
  <c r="I664" i="4"/>
  <c r="H664" i="4"/>
  <c r="G664" i="4"/>
  <c r="F664" i="4"/>
  <c r="E664" i="4"/>
  <c r="D664" i="4"/>
  <c r="C664" i="4"/>
  <c r="B664" i="4"/>
  <c r="A664" i="4"/>
  <c r="J663" i="4"/>
  <c r="I663" i="4"/>
  <c r="H663" i="4"/>
  <c r="G663" i="4"/>
  <c r="F663" i="4"/>
  <c r="E663" i="4"/>
  <c r="D663" i="4"/>
  <c r="C663" i="4"/>
  <c r="B663" i="4"/>
  <c r="A663" i="4"/>
  <c r="J662" i="4"/>
  <c r="I662" i="4"/>
  <c r="H662" i="4"/>
  <c r="G662" i="4"/>
  <c r="F662" i="4"/>
  <c r="E662" i="4"/>
  <c r="D662" i="4"/>
  <c r="C662" i="4"/>
  <c r="B662" i="4"/>
  <c r="A662" i="4"/>
  <c r="J661" i="4"/>
  <c r="I661" i="4"/>
  <c r="H661" i="4"/>
  <c r="G661" i="4"/>
  <c r="F661" i="4"/>
  <c r="E661" i="4"/>
  <c r="D661" i="4"/>
  <c r="C661" i="4"/>
  <c r="B661" i="4"/>
  <c r="A661" i="4"/>
  <c r="J660" i="4"/>
  <c r="I660" i="4"/>
  <c r="H660" i="4"/>
  <c r="G660" i="4"/>
  <c r="F660" i="4"/>
  <c r="E660" i="4"/>
  <c r="D660" i="4"/>
  <c r="C660" i="4"/>
  <c r="B660" i="4"/>
  <c r="A660" i="4"/>
  <c r="J659" i="4"/>
  <c r="I659" i="4"/>
  <c r="H659" i="4"/>
  <c r="G659" i="4"/>
  <c r="F659" i="4"/>
  <c r="E659" i="4"/>
  <c r="D659" i="4"/>
  <c r="C659" i="4"/>
  <c r="B659" i="4"/>
  <c r="A659" i="4"/>
  <c r="J658" i="4"/>
  <c r="I658" i="4"/>
  <c r="H658" i="4"/>
  <c r="G658" i="4"/>
  <c r="F658" i="4"/>
  <c r="E658" i="4"/>
  <c r="D658" i="4"/>
  <c r="C658" i="4"/>
  <c r="B658" i="4"/>
  <c r="A658" i="4"/>
  <c r="J657" i="4"/>
  <c r="I657" i="4"/>
  <c r="H657" i="4"/>
  <c r="G657" i="4"/>
  <c r="F657" i="4"/>
  <c r="E657" i="4"/>
  <c r="D657" i="4"/>
  <c r="C657" i="4"/>
  <c r="B657" i="4"/>
  <c r="A657" i="4"/>
  <c r="J656" i="4"/>
  <c r="I656" i="4"/>
  <c r="H656" i="4"/>
  <c r="G656" i="4"/>
  <c r="F656" i="4"/>
  <c r="E656" i="4"/>
  <c r="D656" i="4"/>
  <c r="C656" i="4"/>
  <c r="B656" i="4"/>
  <c r="A656" i="4"/>
  <c r="J655" i="4"/>
  <c r="I655" i="4"/>
  <c r="H655" i="4"/>
  <c r="G655" i="4"/>
  <c r="F655" i="4"/>
  <c r="E655" i="4"/>
  <c r="D655" i="4"/>
  <c r="C655" i="4"/>
  <c r="B655" i="4"/>
  <c r="A655" i="4"/>
  <c r="J654" i="4"/>
  <c r="I654" i="4"/>
  <c r="H654" i="4"/>
  <c r="G654" i="4"/>
  <c r="F654" i="4"/>
  <c r="E654" i="4"/>
  <c r="D654" i="4"/>
  <c r="C654" i="4"/>
  <c r="B654" i="4"/>
  <c r="A654" i="4"/>
  <c r="J653" i="4"/>
  <c r="I653" i="4"/>
  <c r="H653" i="4"/>
  <c r="G653" i="4"/>
  <c r="F653" i="4"/>
  <c r="E653" i="4"/>
  <c r="D653" i="4"/>
  <c r="C653" i="4"/>
  <c r="B653" i="4"/>
  <c r="A653" i="4"/>
  <c r="J652" i="4"/>
  <c r="I652" i="4"/>
  <c r="H652" i="4"/>
  <c r="G652" i="4"/>
  <c r="F652" i="4"/>
  <c r="E652" i="4"/>
  <c r="D652" i="4"/>
  <c r="C652" i="4"/>
  <c r="B652" i="4"/>
  <c r="A652" i="4"/>
  <c r="J651" i="4"/>
  <c r="I651" i="4"/>
  <c r="H651" i="4"/>
  <c r="G651" i="4"/>
  <c r="F651" i="4"/>
  <c r="E651" i="4"/>
  <c r="D651" i="4"/>
  <c r="C651" i="4"/>
  <c r="B651" i="4"/>
  <c r="A651" i="4"/>
  <c r="J650" i="4"/>
  <c r="I650" i="4"/>
  <c r="H650" i="4"/>
  <c r="G650" i="4"/>
  <c r="F650" i="4"/>
  <c r="E650" i="4"/>
  <c r="D650" i="4"/>
  <c r="C650" i="4"/>
  <c r="B650" i="4"/>
  <c r="A650" i="4"/>
  <c r="J649" i="4"/>
  <c r="I649" i="4"/>
  <c r="H649" i="4"/>
  <c r="G649" i="4"/>
  <c r="F649" i="4"/>
  <c r="E649" i="4"/>
  <c r="D649" i="4"/>
  <c r="C649" i="4"/>
  <c r="B649" i="4"/>
  <c r="A649" i="4"/>
  <c r="J648" i="4"/>
  <c r="I648" i="4"/>
  <c r="H648" i="4"/>
  <c r="G648" i="4"/>
  <c r="F648" i="4"/>
  <c r="E648" i="4"/>
  <c r="D648" i="4"/>
  <c r="C648" i="4"/>
  <c r="B648" i="4"/>
  <c r="A648" i="4"/>
  <c r="J647" i="4"/>
  <c r="I647" i="4"/>
  <c r="H647" i="4"/>
  <c r="G647" i="4"/>
  <c r="F647" i="4"/>
  <c r="E647" i="4"/>
  <c r="D647" i="4"/>
  <c r="C647" i="4"/>
  <c r="B647" i="4"/>
  <c r="A647" i="4"/>
  <c r="J646" i="4"/>
  <c r="I646" i="4"/>
  <c r="H646" i="4"/>
  <c r="G646" i="4"/>
  <c r="F646" i="4"/>
  <c r="E646" i="4"/>
  <c r="D646" i="4"/>
  <c r="C646" i="4"/>
  <c r="B646" i="4"/>
  <c r="A646" i="4"/>
  <c r="J645" i="4"/>
  <c r="I645" i="4"/>
  <c r="H645" i="4"/>
  <c r="G645" i="4"/>
  <c r="F645" i="4"/>
  <c r="E645" i="4"/>
  <c r="D645" i="4"/>
  <c r="C645" i="4"/>
  <c r="B645" i="4"/>
  <c r="A645" i="4"/>
  <c r="J644" i="4"/>
  <c r="I644" i="4"/>
  <c r="H644" i="4"/>
  <c r="G644" i="4"/>
  <c r="F644" i="4"/>
  <c r="E644" i="4"/>
  <c r="D644" i="4"/>
  <c r="C644" i="4"/>
  <c r="B644" i="4"/>
  <c r="A644" i="4"/>
  <c r="J643" i="4"/>
  <c r="I643" i="4"/>
  <c r="H643" i="4"/>
  <c r="G643" i="4"/>
  <c r="F643" i="4"/>
  <c r="E643" i="4"/>
  <c r="D643" i="4"/>
  <c r="C643" i="4"/>
  <c r="B643" i="4"/>
  <c r="A643" i="4"/>
  <c r="J642" i="4"/>
  <c r="I642" i="4"/>
  <c r="H642" i="4"/>
  <c r="G642" i="4"/>
  <c r="F642" i="4"/>
  <c r="E642" i="4"/>
  <c r="D642" i="4"/>
  <c r="C642" i="4"/>
  <c r="B642" i="4"/>
  <c r="A642" i="4"/>
  <c r="J641" i="4"/>
  <c r="I641" i="4"/>
  <c r="H641" i="4"/>
  <c r="G641" i="4"/>
  <c r="F641" i="4"/>
  <c r="E641" i="4"/>
  <c r="D641" i="4"/>
  <c r="C641" i="4"/>
  <c r="B641" i="4"/>
  <c r="A641" i="4"/>
  <c r="J640" i="4"/>
  <c r="I640" i="4"/>
  <c r="H640" i="4"/>
  <c r="G640" i="4"/>
  <c r="F640" i="4"/>
  <c r="E640" i="4"/>
  <c r="D640" i="4"/>
  <c r="C640" i="4"/>
  <c r="B640" i="4"/>
  <c r="A640" i="4"/>
  <c r="J639" i="4"/>
  <c r="I639" i="4"/>
  <c r="H639" i="4"/>
  <c r="G639" i="4"/>
  <c r="F639" i="4"/>
  <c r="E639" i="4"/>
  <c r="D639" i="4"/>
  <c r="C639" i="4"/>
  <c r="B639" i="4"/>
  <c r="A639" i="4"/>
  <c r="J638" i="4"/>
  <c r="I638" i="4"/>
  <c r="H638" i="4"/>
  <c r="G638" i="4"/>
  <c r="F638" i="4"/>
  <c r="E638" i="4"/>
  <c r="D638" i="4"/>
  <c r="C638" i="4"/>
  <c r="B638" i="4"/>
  <c r="A638" i="4"/>
  <c r="J637" i="4"/>
  <c r="I637" i="4"/>
  <c r="H637" i="4"/>
  <c r="G637" i="4"/>
  <c r="F637" i="4"/>
  <c r="E637" i="4"/>
  <c r="D637" i="4"/>
  <c r="C637" i="4"/>
  <c r="B637" i="4"/>
  <c r="A637" i="4"/>
  <c r="J636" i="4"/>
  <c r="I636" i="4"/>
  <c r="H636" i="4"/>
  <c r="G636" i="4"/>
  <c r="F636" i="4"/>
  <c r="E636" i="4"/>
  <c r="D636" i="4"/>
  <c r="C636" i="4"/>
  <c r="B636" i="4"/>
  <c r="A636" i="4"/>
  <c r="J635" i="4"/>
  <c r="I635" i="4"/>
  <c r="H635" i="4"/>
  <c r="G635" i="4"/>
  <c r="F635" i="4"/>
  <c r="E635" i="4"/>
  <c r="D635" i="4"/>
  <c r="C635" i="4"/>
  <c r="B635" i="4"/>
  <c r="A635" i="4"/>
  <c r="J634" i="4"/>
  <c r="I634" i="4"/>
  <c r="H634" i="4"/>
  <c r="G634" i="4"/>
  <c r="F634" i="4"/>
  <c r="E634" i="4"/>
  <c r="D634" i="4"/>
  <c r="C634" i="4"/>
  <c r="B634" i="4"/>
  <c r="A634" i="4"/>
  <c r="J633" i="4"/>
  <c r="I633" i="4"/>
  <c r="H633" i="4"/>
  <c r="G633" i="4"/>
  <c r="F633" i="4"/>
  <c r="E633" i="4"/>
  <c r="D633" i="4"/>
  <c r="C633" i="4"/>
  <c r="B633" i="4"/>
  <c r="A633" i="4"/>
  <c r="J632" i="4"/>
  <c r="I632" i="4"/>
  <c r="H632" i="4"/>
  <c r="G632" i="4"/>
  <c r="F632" i="4"/>
  <c r="E632" i="4"/>
  <c r="D632" i="4"/>
  <c r="C632" i="4"/>
  <c r="B632" i="4"/>
  <c r="A632" i="4"/>
  <c r="J631" i="4"/>
  <c r="I631" i="4"/>
  <c r="H631" i="4"/>
  <c r="G631" i="4"/>
  <c r="F631" i="4"/>
  <c r="E631" i="4"/>
  <c r="D631" i="4"/>
  <c r="C631" i="4"/>
  <c r="B631" i="4"/>
  <c r="A631" i="4"/>
  <c r="J630" i="4"/>
  <c r="I630" i="4"/>
  <c r="H630" i="4"/>
  <c r="G630" i="4"/>
  <c r="F630" i="4"/>
  <c r="E630" i="4"/>
  <c r="D630" i="4"/>
  <c r="C630" i="4"/>
  <c r="B630" i="4"/>
  <c r="A630" i="4"/>
  <c r="J629" i="4"/>
  <c r="I629" i="4"/>
  <c r="H629" i="4"/>
  <c r="G629" i="4"/>
  <c r="F629" i="4"/>
  <c r="E629" i="4"/>
  <c r="D629" i="4"/>
  <c r="C629" i="4"/>
  <c r="B629" i="4"/>
  <c r="A629" i="4"/>
  <c r="J628" i="4"/>
  <c r="I628" i="4"/>
  <c r="H628" i="4"/>
  <c r="G628" i="4"/>
  <c r="F628" i="4"/>
  <c r="E628" i="4"/>
  <c r="D628" i="4"/>
  <c r="C628" i="4"/>
  <c r="B628" i="4"/>
  <c r="A628" i="4"/>
  <c r="J627" i="4"/>
  <c r="I627" i="4"/>
  <c r="H627" i="4"/>
  <c r="G627" i="4"/>
  <c r="F627" i="4"/>
  <c r="E627" i="4"/>
  <c r="D627" i="4"/>
  <c r="C627" i="4"/>
  <c r="B627" i="4"/>
  <c r="A627" i="4"/>
  <c r="J626" i="4"/>
  <c r="I626" i="4"/>
  <c r="H626" i="4"/>
  <c r="G626" i="4"/>
  <c r="F626" i="4"/>
  <c r="E626" i="4"/>
  <c r="D626" i="4"/>
  <c r="C626" i="4"/>
  <c r="B626" i="4"/>
  <c r="A626" i="4"/>
  <c r="J625" i="4"/>
  <c r="I625" i="4"/>
  <c r="H625" i="4"/>
  <c r="G625" i="4"/>
  <c r="F625" i="4"/>
  <c r="E625" i="4"/>
  <c r="D625" i="4"/>
  <c r="C625" i="4"/>
  <c r="B625" i="4"/>
  <c r="A625" i="4"/>
  <c r="J624" i="4"/>
  <c r="I624" i="4"/>
  <c r="H624" i="4"/>
  <c r="G624" i="4"/>
  <c r="F624" i="4"/>
  <c r="E624" i="4"/>
  <c r="D624" i="4"/>
  <c r="C624" i="4"/>
  <c r="B624" i="4"/>
  <c r="A624" i="4"/>
  <c r="J623" i="4"/>
  <c r="I623" i="4"/>
  <c r="H623" i="4"/>
  <c r="G623" i="4"/>
  <c r="F623" i="4"/>
  <c r="E623" i="4"/>
  <c r="D623" i="4"/>
  <c r="C623" i="4"/>
  <c r="B623" i="4"/>
  <c r="A623" i="4"/>
  <c r="J622" i="4"/>
  <c r="I622" i="4"/>
  <c r="H622" i="4"/>
  <c r="G622" i="4"/>
  <c r="F622" i="4"/>
  <c r="E622" i="4"/>
  <c r="D622" i="4"/>
  <c r="C622" i="4"/>
  <c r="B622" i="4"/>
  <c r="A622" i="4"/>
  <c r="J621" i="4"/>
  <c r="I621" i="4"/>
  <c r="H621" i="4"/>
  <c r="G621" i="4"/>
  <c r="F621" i="4"/>
  <c r="E621" i="4"/>
  <c r="D621" i="4"/>
  <c r="C621" i="4"/>
  <c r="B621" i="4"/>
  <c r="A621" i="4"/>
  <c r="J620" i="4"/>
  <c r="I620" i="4"/>
  <c r="H620" i="4"/>
  <c r="G620" i="4"/>
  <c r="F620" i="4"/>
  <c r="E620" i="4"/>
  <c r="D620" i="4"/>
  <c r="C620" i="4"/>
  <c r="B620" i="4"/>
  <c r="A620" i="4"/>
  <c r="J619" i="4"/>
  <c r="I619" i="4"/>
  <c r="H619" i="4"/>
  <c r="G619" i="4"/>
  <c r="F619" i="4"/>
  <c r="E619" i="4"/>
  <c r="D619" i="4"/>
  <c r="C619" i="4"/>
  <c r="B619" i="4"/>
  <c r="A619" i="4"/>
  <c r="J618" i="4"/>
  <c r="I618" i="4"/>
  <c r="H618" i="4"/>
  <c r="G618" i="4"/>
  <c r="F618" i="4"/>
  <c r="E618" i="4"/>
  <c r="D618" i="4"/>
  <c r="C618" i="4"/>
  <c r="B618" i="4"/>
  <c r="A618" i="4"/>
  <c r="J617" i="4"/>
  <c r="I617" i="4"/>
  <c r="H617" i="4"/>
  <c r="G617" i="4"/>
  <c r="F617" i="4"/>
  <c r="E617" i="4"/>
  <c r="D617" i="4"/>
  <c r="C617" i="4"/>
  <c r="B617" i="4"/>
  <c r="A617" i="4"/>
  <c r="J616" i="4"/>
  <c r="I616" i="4"/>
  <c r="H616" i="4"/>
  <c r="G616" i="4"/>
  <c r="F616" i="4"/>
  <c r="E616" i="4"/>
  <c r="D616" i="4"/>
  <c r="C616" i="4"/>
  <c r="B616" i="4"/>
  <c r="A616" i="4"/>
  <c r="J615" i="4"/>
  <c r="I615" i="4"/>
  <c r="H615" i="4"/>
  <c r="G615" i="4"/>
  <c r="F615" i="4"/>
  <c r="E615" i="4"/>
  <c r="D615" i="4"/>
  <c r="C615" i="4"/>
  <c r="B615" i="4"/>
  <c r="A615" i="4"/>
  <c r="J614" i="4"/>
  <c r="I614" i="4"/>
  <c r="H614" i="4"/>
  <c r="G614" i="4"/>
  <c r="F614" i="4"/>
  <c r="E614" i="4"/>
  <c r="D614" i="4"/>
  <c r="C614" i="4"/>
  <c r="B614" i="4"/>
  <c r="A614" i="4"/>
  <c r="J613" i="4"/>
  <c r="I613" i="4"/>
  <c r="H613" i="4"/>
  <c r="G613" i="4"/>
  <c r="F613" i="4"/>
  <c r="E613" i="4"/>
  <c r="D613" i="4"/>
  <c r="C613" i="4"/>
  <c r="B613" i="4"/>
  <c r="A613" i="4"/>
  <c r="J612" i="4"/>
  <c r="I612" i="4"/>
  <c r="H612" i="4"/>
  <c r="G612" i="4"/>
  <c r="F612" i="4"/>
  <c r="E612" i="4"/>
  <c r="D612" i="4"/>
  <c r="C612" i="4"/>
  <c r="B612" i="4"/>
  <c r="A612" i="4"/>
  <c r="J611" i="4"/>
  <c r="I611" i="4"/>
  <c r="H611" i="4"/>
  <c r="G611" i="4"/>
  <c r="F611" i="4"/>
  <c r="E611" i="4"/>
  <c r="D611" i="4"/>
  <c r="C611" i="4"/>
  <c r="B611" i="4"/>
  <c r="A611" i="4"/>
  <c r="J610" i="4"/>
  <c r="I610" i="4"/>
  <c r="H610" i="4"/>
  <c r="G610" i="4"/>
  <c r="F610" i="4"/>
  <c r="E610" i="4"/>
  <c r="D610" i="4"/>
  <c r="C610" i="4"/>
  <c r="B610" i="4"/>
  <c r="A610" i="4"/>
  <c r="J609" i="4"/>
  <c r="I609" i="4"/>
  <c r="H609" i="4"/>
  <c r="G609" i="4"/>
  <c r="F609" i="4"/>
  <c r="E609" i="4"/>
  <c r="D609" i="4"/>
  <c r="C609" i="4"/>
  <c r="B609" i="4"/>
  <c r="A609" i="4"/>
  <c r="J608" i="4"/>
  <c r="I608" i="4"/>
  <c r="H608" i="4"/>
  <c r="G608" i="4"/>
  <c r="F608" i="4"/>
  <c r="E608" i="4"/>
  <c r="D608" i="4"/>
  <c r="C608" i="4"/>
  <c r="B608" i="4"/>
  <c r="A608" i="4"/>
  <c r="J607" i="4"/>
  <c r="I607" i="4"/>
  <c r="H607" i="4"/>
  <c r="G607" i="4"/>
  <c r="F607" i="4"/>
  <c r="E607" i="4"/>
  <c r="D607" i="4"/>
  <c r="C607" i="4"/>
  <c r="B607" i="4"/>
  <c r="A607" i="4"/>
  <c r="J606" i="4"/>
  <c r="I606" i="4"/>
  <c r="H606" i="4"/>
  <c r="G606" i="4"/>
  <c r="F606" i="4"/>
  <c r="E606" i="4"/>
  <c r="D606" i="4"/>
  <c r="C606" i="4"/>
  <c r="B606" i="4"/>
  <c r="A606" i="4"/>
  <c r="J605" i="4"/>
  <c r="I605" i="4"/>
  <c r="H605" i="4"/>
  <c r="G605" i="4"/>
  <c r="F605" i="4"/>
  <c r="E605" i="4"/>
  <c r="D605" i="4"/>
  <c r="C605" i="4"/>
  <c r="B605" i="4"/>
  <c r="A605" i="4"/>
  <c r="J604" i="4"/>
  <c r="I604" i="4"/>
  <c r="H604" i="4"/>
  <c r="G604" i="4"/>
  <c r="F604" i="4"/>
  <c r="E604" i="4"/>
  <c r="D604" i="4"/>
  <c r="C604" i="4"/>
  <c r="B604" i="4"/>
  <c r="A604" i="4"/>
  <c r="J603" i="4"/>
  <c r="I603" i="4"/>
  <c r="H603" i="4"/>
  <c r="G603" i="4"/>
  <c r="F603" i="4"/>
  <c r="E603" i="4"/>
  <c r="D603" i="4"/>
  <c r="C603" i="4"/>
  <c r="B603" i="4"/>
  <c r="A603" i="4"/>
  <c r="J602" i="4"/>
  <c r="I602" i="4"/>
  <c r="H602" i="4"/>
  <c r="G602" i="4"/>
  <c r="F602" i="4"/>
  <c r="E602" i="4"/>
  <c r="D602" i="4"/>
  <c r="C602" i="4"/>
  <c r="B602" i="4"/>
  <c r="A602" i="4"/>
  <c r="J601" i="4"/>
  <c r="I601" i="4"/>
  <c r="H601" i="4"/>
  <c r="G601" i="4"/>
  <c r="F601" i="4"/>
  <c r="E601" i="4"/>
  <c r="D601" i="4"/>
  <c r="C601" i="4"/>
  <c r="B601" i="4"/>
  <c r="A601" i="4"/>
  <c r="J600" i="4"/>
  <c r="I600" i="4"/>
  <c r="H600" i="4"/>
  <c r="G600" i="4"/>
  <c r="F600" i="4"/>
  <c r="E600" i="4"/>
  <c r="D600" i="4"/>
  <c r="C600" i="4"/>
  <c r="B600" i="4"/>
  <c r="A600" i="4"/>
  <c r="J599" i="4"/>
  <c r="I599" i="4"/>
  <c r="H599" i="4"/>
  <c r="G599" i="4"/>
  <c r="F599" i="4"/>
  <c r="E599" i="4"/>
  <c r="D599" i="4"/>
  <c r="C599" i="4"/>
  <c r="B599" i="4"/>
  <c r="A599" i="4"/>
  <c r="J598" i="4"/>
  <c r="I598" i="4"/>
  <c r="H598" i="4"/>
  <c r="G598" i="4"/>
  <c r="F598" i="4"/>
  <c r="E598" i="4"/>
  <c r="D598" i="4"/>
  <c r="C598" i="4"/>
  <c r="B598" i="4"/>
  <c r="A598" i="4"/>
  <c r="J597" i="4"/>
  <c r="I597" i="4"/>
  <c r="H597" i="4"/>
  <c r="G597" i="4"/>
  <c r="F597" i="4"/>
  <c r="E597" i="4"/>
  <c r="D597" i="4"/>
  <c r="C597" i="4"/>
  <c r="B597" i="4"/>
  <c r="A597" i="4"/>
  <c r="J596" i="4"/>
  <c r="I596" i="4"/>
  <c r="H596" i="4"/>
  <c r="G596" i="4"/>
  <c r="F596" i="4"/>
  <c r="E596" i="4"/>
  <c r="D596" i="4"/>
  <c r="C596" i="4"/>
  <c r="B596" i="4"/>
  <c r="A596" i="4"/>
  <c r="J595" i="4"/>
  <c r="I595" i="4"/>
  <c r="H595" i="4"/>
  <c r="G595" i="4"/>
  <c r="F595" i="4"/>
  <c r="E595" i="4"/>
  <c r="D595" i="4"/>
  <c r="C595" i="4"/>
  <c r="B595" i="4"/>
  <c r="A595" i="4"/>
  <c r="J594" i="4"/>
  <c r="I594" i="4"/>
  <c r="H594" i="4"/>
  <c r="G594" i="4"/>
  <c r="F594" i="4"/>
  <c r="E594" i="4"/>
  <c r="D594" i="4"/>
  <c r="C594" i="4"/>
  <c r="B594" i="4"/>
  <c r="A594" i="4"/>
  <c r="J593" i="4"/>
  <c r="I593" i="4"/>
  <c r="H593" i="4"/>
  <c r="G593" i="4"/>
  <c r="F593" i="4"/>
  <c r="E593" i="4"/>
  <c r="D593" i="4"/>
  <c r="C593" i="4"/>
  <c r="B593" i="4"/>
  <c r="A593" i="4"/>
  <c r="J592" i="4"/>
  <c r="I592" i="4"/>
  <c r="H592" i="4"/>
  <c r="G592" i="4"/>
  <c r="F592" i="4"/>
  <c r="E592" i="4"/>
  <c r="D592" i="4"/>
  <c r="C592" i="4"/>
  <c r="B592" i="4"/>
  <c r="A592" i="4"/>
  <c r="J591" i="4"/>
  <c r="I591" i="4"/>
  <c r="H591" i="4"/>
  <c r="G591" i="4"/>
  <c r="F591" i="4"/>
  <c r="E591" i="4"/>
  <c r="D591" i="4"/>
  <c r="C591" i="4"/>
  <c r="B591" i="4"/>
  <c r="A591" i="4"/>
  <c r="J590" i="4"/>
  <c r="I590" i="4"/>
  <c r="H590" i="4"/>
  <c r="G590" i="4"/>
  <c r="F590" i="4"/>
  <c r="E590" i="4"/>
  <c r="D590" i="4"/>
  <c r="C590" i="4"/>
  <c r="B590" i="4"/>
  <c r="A590" i="4"/>
  <c r="J589" i="4"/>
  <c r="I589" i="4"/>
  <c r="H589" i="4"/>
  <c r="G589" i="4"/>
  <c r="F589" i="4"/>
  <c r="E589" i="4"/>
  <c r="D589" i="4"/>
  <c r="C589" i="4"/>
  <c r="B589" i="4"/>
  <c r="A589" i="4"/>
  <c r="J588" i="4"/>
  <c r="I588" i="4"/>
  <c r="H588" i="4"/>
  <c r="G588" i="4"/>
  <c r="F588" i="4"/>
  <c r="E588" i="4"/>
  <c r="D588" i="4"/>
  <c r="C588" i="4"/>
  <c r="B588" i="4"/>
  <c r="A588" i="4"/>
  <c r="J587" i="4"/>
  <c r="I587" i="4"/>
  <c r="H587" i="4"/>
  <c r="G587" i="4"/>
  <c r="F587" i="4"/>
  <c r="E587" i="4"/>
  <c r="D587" i="4"/>
  <c r="C587" i="4"/>
  <c r="B587" i="4"/>
  <c r="A587" i="4"/>
  <c r="J586" i="4"/>
  <c r="I586" i="4"/>
  <c r="H586" i="4"/>
  <c r="G586" i="4"/>
  <c r="F586" i="4"/>
  <c r="E586" i="4"/>
  <c r="D586" i="4"/>
  <c r="C586" i="4"/>
  <c r="B586" i="4"/>
  <c r="A586" i="4"/>
  <c r="J585" i="4"/>
  <c r="I585" i="4"/>
  <c r="H585" i="4"/>
  <c r="G585" i="4"/>
  <c r="F585" i="4"/>
  <c r="E585" i="4"/>
  <c r="D585" i="4"/>
  <c r="C585" i="4"/>
  <c r="B585" i="4"/>
  <c r="A585" i="4"/>
  <c r="J584" i="4"/>
  <c r="I584" i="4"/>
  <c r="H584" i="4"/>
  <c r="G584" i="4"/>
  <c r="F584" i="4"/>
  <c r="E584" i="4"/>
  <c r="D584" i="4"/>
  <c r="C584" i="4"/>
  <c r="B584" i="4"/>
  <c r="A584" i="4"/>
  <c r="J583" i="4"/>
  <c r="I583" i="4"/>
  <c r="H583" i="4"/>
  <c r="G583" i="4"/>
  <c r="F583" i="4"/>
  <c r="E583" i="4"/>
  <c r="D583" i="4"/>
  <c r="C583" i="4"/>
  <c r="B583" i="4"/>
  <c r="A583" i="4"/>
  <c r="J582" i="4"/>
  <c r="I582" i="4"/>
  <c r="H582" i="4"/>
  <c r="G582" i="4"/>
  <c r="F582" i="4"/>
  <c r="E582" i="4"/>
  <c r="D582" i="4"/>
  <c r="C582" i="4"/>
  <c r="B582" i="4"/>
  <c r="A582" i="4"/>
  <c r="J581" i="4"/>
  <c r="I581" i="4"/>
  <c r="H581" i="4"/>
  <c r="G581" i="4"/>
  <c r="F581" i="4"/>
  <c r="E581" i="4"/>
  <c r="D581" i="4"/>
  <c r="C581" i="4"/>
  <c r="B581" i="4"/>
  <c r="A581" i="4"/>
  <c r="J580" i="4"/>
  <c r="I580" i="4"/>
  <c r="H580" i="4"/>
  <c r="G580" i="4"/>
  <c r="F580" i="4"/>
  <c r="E580" i="4"/>
  <c r="D580" i="4"/>
  <c r="C580" i="4"/>
  <c r="B580" i="4"/>
  <c r="A580" i="4"/>
  <c r="J579" i="4"/>
  <c r="I579" i="4"/>
  <c r="H579" i="4"/>
  <c r="G579" i="4"/>
  <c r="F579" i="4"/>
  <c r="E579" i="4"/>
  <c r="D579" i="4"/>
  <c r="C579" i="4"/>
  <c r="B579" i="4"/>
  <c r="A579" i="4"/>
  <c r="J578" i="4"/>
  <c r="I578" i="4"/>
  <c r="H578" i="4"/>
  <c r="G578" i="4"/>
  <c r="F578" i="4"/>
  <c r="E578" i="4"/>
  <c r="D578" i="4"/>
  <c r="C578" i="4"/>
  <c r="B578" i="4"/>
  <c r="A578" i="4"/>
  <c r="J577" i="4"/>
  <c r="I577" i="4"/>
  <c r="H577" i="4"/>
  <c r="G577" i="4"/>
  <c r="F577" i="4"/>
  <c r="E577" i="4"/>
  <c r="D577" i="4"/>
  <c r="C577" i="4"/>
  <c r="B577" i="4"/>
  <c r="A577" i="4"/>
  <c r="J576" i="4"/>
  <c r="I576" i="4"/>
  <c r="H576" i="4"/>
  <c r="G576" i="4"/>
  <c r="F576" i="4"/>
  <c r="E576" i="4"/>
  <c r="D576" i="4"/>
  <c r="C576" i="4"/>
  <c r="B576" i="4"/>
  <c r="A576" i="4"/>
  <c r="J575" i="4"/>
  <c r="I575" i="4"/>
  <c r="H575" i="4"/>
  <c r="G575" i="4"/>
  <c r="F575" i="4"/>
  <c r="E575" i="4"/>
  <c r="D575" i="4"/>
  <c r="C575" i="4"/>
  <c r="B575" i="4"/>
  <c r="A575" i="4"/>
  <c r="J574" i="4"/>
  <c r="I574" i="4"/>
  <c r="H574" i="4"/>
  <c r="G574" i="4"/>
  <c r="F574" i="4"/>
  <c r="E574" i="4"/>
  <c r="D574" i="4"/>
  <c r="C574" i="4"/>
  <c r="B574" i="4"/>
  <c r="A574" i="4"/>
  <c r="J573" i="4"/>
  <c r="I573" i="4"/>
  <c r="H573" i="4"/>
  <c r="G573" i="4"/>
  <c r="F573" i="4"/>
  <c r="E573" i="4"/>
  <c r="D573" i="4"/>
  <c r="C573" i="4"/>
  <c r="B573" i="4"/>
  <c r="A573" i="4"/>
  <c r="J572" i="4"/>
  <c r="I572" i="4"/>
  <c r="H572" i="4"/>
  <c r="G572" i="4"/>
  <c r="F572" i="4"/>
  <c r="E572" i="4"/>
  <c r="D572" i="4"/>
  <c r="C572" i="4"/>
  <c r="B572" i="4"/>
  <c r="A572" i="4"/>
  <c r="J571" i="4"/>
  <c r="I571" i="4"/>
  <c r="H571" i="4"/>
  <c r="G571" i="4"/>
  <c r="F571" i="4"/>
  <c r="E571" i="4"/>
  <c r="D571" i="4"/>
  <c r="C571" i="4"/>
  <c r="B571" i="4"/>
  <c r="A571" i="4"/>
  <c r="J570" i="4"/>
  <c r="I570" i="4"/>
  <c r="H570" i="4"/>
  <c r="G570" i="4"/>
  <c r="F570" i="4"/>
  <c r="E570" i="4"/>
  <c r="D570" i="4"/>
  <c r="C570" i="4"/>
  <c r="B570" i="4"/>
  <c r="A570" i="4"/>
  <c r="J569" i="4"/>
  <c r="I569" i="4"/>
  <c r="H569" i="4"/>
  <c r="G569" i="4"/>
  <c r="F569" i="4"/>
  <c r="E569" i="4"/>
  <c r="D569" i="4"/>
  <c r="C569" i="4"/>
  <c r="B569" i="4"/>
  <c r="A569" i="4"/>
  <c r="J568" i="4"/>
  <c r="I568" i="4"/>
  <c r="H568" i="4"/>
  <c r="G568" i="4"/>
  <c r="F568" i="4"/>
  <c r="E568" i="4"/>
  <c r="D568" i="4"/>
  <c r="C568" i="4"/>
  <c r="B568" i="4"/>
  <c r="A568" i="4"/>
  <c r="J567" i="4"/>
  <c r="I567" i="4"/>
  <c r="H567" i="4"/>
  <c r="G567" i="4"/>
  <c r="F567" i="4"/>
  <c r="E567" i="4"/>
  <c r="D567" i="4"/>
  <c r="C567" i="4"/>
  <c r="B567" i="4"/>
  <c r="A567" i="4"/>
  <c r="J566" i="4"/>
  <c r="I566" i="4"/>
  <c r="H566" i="4"/>
  <c r="G566" i="4"/>
  <c r="F566" i="4"/>
  <c r="E566" i="4"/>
  <c r="D566" i="4"/>
  <c r="C566" i="4"/>
  <c r="B566" i="4"/>
  <c r="A566" i="4"/>
  <c r="J565" i="4"/>
  <c r="I565" i="4"/>
  <c r="H565" i="4"/>
  <c r="G565" i="4"/>
  <c r="F565" i="4"/>
  <c r="E565" i="4"/>
  <c r="D565" i="4"/>
  <c r="C565" i="4"/>
  <c r="B565" i="4"/>
  <c r="A565" i="4"/>
  <c r="J564" i="4"/>
  <c r="I564" i="4"/>
  <c r="H564" i="4"/>
  <c r="G564" i="4"/>
  <c r="F564" i="4"/>
  <c r="E564" i="4"/>
  <c r="D564" i="4"/>
  <c r="C564" i="4"/>
  <c r="B564" i="4"/>
  <c r="A564" i="4"/>
  <c r="J563" i="4"/>
  <c r="I563" i="4"/>
  <c r="H563" i="4"/>
  <c r="G563" i="4"/>
  <c r="F563" i="4"/>
  <c r="E563" i="4"/>
  <c r="D563" i="4"/>
  <c r="C563" i="4"/>
  <c r="B563" i="4"/>
  <c r="A563" i="4"/>
  <c r="J562" i="4"/>
  <c r="I562" i="4"/>
  <c r="H562" i="4"/>
  <c r="G562" i="4"/>
  <c r="F562" i="4"/>
  <c r="E562" i="4"/>
  <c r="D562" i="4"/>
  <c r="C562" i="4"/>
  <c r="B562" i="4"/>
  <c r="A562" i="4"/>
  <c r="J561" i="4"/>
  <c r="I561" i="4"/>
  <c r="H561" i="4"/>
  <c r="G561" i="4"/>
  <c r="F561" i="4"/>
  <c r="E561" i="4"/>
  <c r="D561" i="4"/>
  <c r="C561" i="4"/>
  <c r="B561" i="4"/>
  <c r="A561" i="4"/>
  <c r="J560" i="4"/>
  <c r="I560" i="4"/>
  <c r="H560" i="4"/>
  <c r="G560" i="4"/>
  <c r="F560" i="4"/>
  <c r="E560" i="4"/>
  <c r="D560" i="4"/>
  <c r="C560" i="4"/>
  <c r="B560" i="4"/>
  <c r="A560" i="4"/>
  <c r="J559" i="4"/>
  <c r="I559" i="4"/>
  <c r="H559" i="4"/>
  <c r="G559" i="4"/>
  <c r="F559" i="4"/>
  <c r="E559" i="4"/>
  <c r="D559" i="4"/>
  <c r="C559" i="4"/>
  <c r="B559" i="4"/>
  <c r="A559" i="4"/>
  <c r="J558" i="4"/>
  <c r="I558" i="4"/>
  <c r="H558" i="4"/>
  <c r="G558" i="4"/>
  <c r="F558" i="4"/>
  <c r="E558" i="4"/>
  <c r="D558" i="4"/>
  <c r="C558" i="4"/>
  <c r="B558" i="4"/>
  <c r="A558" i="4"/>
  <c r="J557" i="4"/>
  <c r="I557" i="4"/>
  <c r="H557" i="4"/>
  <c r="G557" i="4"/>
  <c r="F557" i="4"/>
  <c r="E557" i="4"/>
  <c r="D557" i="4"/>
  <c r="C557" i="4"/>
  <c r="B557" i="4"/>
  <c r="A557" i="4"/>
  <c r="J556" i="4"/>
  <c r="I556" i="4"/>
  <c r="H556" i="4"/>
  <c r="G556" i="4"/>
  <c r="F556" i="4"/>
  <c r="E556" i="4"/>
  <c r="D556" i="4"/>
  <c r="C556" i="4"/>
  <c r="B556" i="4"/>
  <c r="A556" i="4"/>
  <c r="J555" i="4"/>
  <c r="I555" i="4"/>
  <c r="H555" i="4"/>
  <c r="G555" i="4"/>
  <c r="F555" i="4"/>
  <c r="E555" i="4"/>
  <c r="D555" i="4"/>
  <c r="C555" i="4"/>
  <c r="B555" i="4"/>
  <c r="A555" i="4"/>
  <c r="J554" i="4"/>
  <c r="I554" i="4"/>
  <c r="H554" i="4"/>
  <c r="G554" i="4"/>
  <c r="F554" i="4"/>
  <c r="E554" i="4"/>
  <c r="D554" i="4"/>
  <c r="C554" i="4"/>
  <c r="B554" i="4"/>
  <c r="A554" i="4"/>
  <c r="J553" i="4"/>
  <c r="I553" i="4"/>
  <c r="H553" i="4"/>
  <c r="G553" i="4"/>
  <c r="F553" i="4"/>
  <c r="E553" i="4"/>
  <c r="D553" i="4"/>
  <c r="C553" i="4"/>
  <c r="B553" i="4"/>
  <c r="A553" i="4"/>
  <c r="J552" i="4"/>
  <c r="I552" i="4"/>
  <c r="H552" i="4"/>
  <c r="G552" i="4"/>
  <c r="F552" i="4"/>
  <c r="E552" i="4"/>
  <c r="D552" i="4"/>
  <c r="C552" i="4"/>
  <c r="B552" i="4"/>
  <c r="A552" i="4"/>
  <c r="J551" i="4"/>
  <c r="I551" i="4"/>
  <c r="H551" i="4"/>
  <c r="G551" i="4"/>
  <c r="F551" i="4"/>
  <c r="E551" i="4"/>
  <c r="D551" i="4"/>
  <c r="C551" i="4"/>
  <c r="B551" i="4"/>
  <c r="A551" i="4"/>
  <c r="J550" i="4"/>
  <c r="I550" i="4"/>
  <c r="H550" i="4"/>
  <c r="G550" i="4"/>
  <c r="F550" i="4"/>
  <c r="E550" i="4"/>
  <c r="D550" i="4"/>
  <c r="C550" i="4"/>
  <c r="B550" i="4"/>
  <c r="A550" i="4"/>
  <c r="J549" i="4"/>
  <c r="I549" i="4"/>
  <c r="H549" i="4"/>
  <c r="G549" i="4"/>
  <c r="F549" i="4"/>
  <c r="E549" i="4"/>
  <c r="D549" i="4"/>
  <c r="C549" i="4"/>
  <c r="B549" i="4"/>
  <c r="A549" i="4"/>
  <c r="J548" i="4"/>
  <c r="I548" i="4"/>
  <c r="H548" i="4"/>
  <c r="G548" i="4"/>
  <c r="F548" i="4"/>
  <c r="E548" i="4"/>
  <c r="D548" i="4"/>
  <c r="C548" i="4"/>
  <c r="B548" i="4"/>
  <c r="A548" i="4"/>
  <c r="J547" i="4"/>
  <c r="I547" i="4"/>
  <c r="H547" i="4"/>
  <c r="G547" i="4"/>
  <c r="F547" i="4"/>
  <c r="E547" i="4"/>
  <c r="D547" i="4"/>
  <c r="C547" i="4"/>
  <c r="B547" i="4"/>
  <c r="A547" i="4"/>
  <c r="J546" i="4"/>
  <c r="I546" i="4"/>
  <c r="H546" i="4"/>
  <c r="G546" i="4"/>
  <c r="F546" i="4"/>
  <c r="E546" i="4"/>
  <c r="D546" i="4"/>
  <c r="C546" i="4"/>
  <c r="B546" i="4"/>
  <c r="A546" i="4"/>
  <c r="J545" i="4"/>
  <c r="I545" i="4"/>
  <c r="H545" i="4"/>
  <c r="G545" i="4"/>
  <c r="F545" i="4"/>
  <c r="E545" i="4"/>
  <c r="D545" i="4"/>
  <c r="C545" i="4"/>
  <c r="B545" i="4"/>
  <c r="A545" i="4"/>
  <c r="J544" i="4"/>
  <c r="I544" i="4"/>
  <c r="H544" i="4"/>
  <c r="G544" i="4"/>
  <c r="F544" i="4"/>
  <c r="E544" i="4"/>
  <c r="D544" i="4"/>
  <c r="C544" i="4"/>
  <c r="B544" i="4"/>
  <c r="A544" i="4"/>
  <c r="J543" i="4"/>
  <c r="I543" i="4"/>
  <c r="H543" i="4"/>
  <c r="G543" i="4"/>
  <c r="F543" i="4"/>
  <c r="E543" i="4"/>
  <c r="D543" i="4"/>
  <c r="C543" i="4"/>
  <c r="B543" i="4"/>
  <c r="A543" i="4"/>
  <c r="J542" i="4"/>
  <c r="I542" i="4"/>
  <c r="H542" i="4"/>
  <c r="G542" i="4"/>
  <c r="F542" i="4"/>
  <c r="E542" i="4"/>
  <c r="D542" i="4"/>
  <c r="C542" i="4"/>
  <c r="B542" i="4"/>
  <c r="A542" i="4"/>
  <c r="J541" i="4"/>
  <c r="I541" i="4"/>
  <c r="H541" i="4"/>
  <c r="G541" i="4"/>
  <c r="F541" i="4"/>
  <c r="E541" i="4"/>
  <c r="D541" i="4"/>
  <c r="C541" i="4"/>
  <c r="B541" i="4"/>
  <c r="A541" i="4"/>
  <c r="J540" i="4"/>
  <c r="I540" i="4"/>
  <c r="H540" i="4"/>
  <c r="G540" i="4"/>
  <c r="F540" i="4"/>
  <c r="E540" i="4"/>
  <c r="D540" i="4"/>
  <c r="C540" i="4"/>
  <c r="B540" i="4"/>
  <c r="A540" i="4"/>
  <c r="J539" i="4"/>
  <c r="I539" i="4"/>
  <c r="H539" i="4"/>
  <c r="G539" i="4"/>
  <c r="F539" i="4"/>
  <c r="E539" i="4"/>
  <c r="D539" i="4"/>
  <c r="C539" i="4"/>
  <c r="B539" i="4"/>
  <c r="A539" i="4"/>
  <c r="J538" i="4"/>
  <c r="I538" i="4"/>
  <c r="H538" i="4"/>
  <c r="G538" i="4"/>
  <c r="F538" i="4"/>
  <c r="E538" i="4"/>
  <c r="D538" i="4"/>
  <c r="C538" i="4"/>
  <c r="B538" i="4"/>
  <c r="A538" i="4"/>
  <c r="J537" i="4"/>
  <c r="I537" i="4"/>
  <c r="H537" i="4"/>
  <c r="G537" i="4"/>
  <c r="F537" i="4"/>
  <c r="E537" i="4"/>
  <c r="D537" i="4"/>
  <c r="C537" i="4"/>
  <c r="B537" i="4"/>
  <c r="A537" i="4"/>
  <c r="J536" i="4"/>
  <c r="I536" i="4"/>
  <c r="H536" i="4"/>
  <c r="G536" i="4"/>
  <c r="F536" i="4"/>
  <c r="E536" i="4"/>
  <c r="D536" i="4"/>
  <c r="C536" i="4"/>
  <c r="B536" i="4"/>
  <c r="A536" i="4"/>
  <c r="J535" i="4"/>
  <c r="I535" i="4"/>
  <c r="H535" i="4"/>
  <c r="G535" i="4"/>
  <c r="F535" i="4"/>
  <c r="E535" i="4"/>
  <c r="D535" i="4"/>
  <c r="C535" i="4"/>
  <c r="B535" i="4"/>
  <c r="A535" i="4"/>
  <c r="J534" i="4"/>
  <c r="I534" i="4"/>
  <c r="H534" i="4"/>
  <c r="G534" i="4"/>
  <c r="F534" i="4"/>
  <c r="E534" i="4"/>
  <c r="D534" i="4"/>
  <c r="C534" i="4"/>
  <c r="B534" i="4"/>
  <c r="A534" i="4"/>
  <c r="J533" i="4"/>
  <c r="I533" i="4"/>
  <c r="H533" i="4"/>
  <c r="G533" i="4"/>
  <c r="F533" i="4"/>
  <c r="E533" i="4"/>
  <c r="D533" i="4"/>
  <c r="C533" i="4"/>
  <c r="B533" i="4"/>
  <c r="A533" i="4"/>
  <c r="J532" i="4"/>
  <c r="I532" i="4"/>
  <c r="H532" i="4"/>
  <c r="G532" i="4"/>
  <c r="F532" i="4"/>
  <c r="E532" i="4"/>
  <c r="D532" i="4"/>
  <c r="C532" i="4"/>
  <c r="B532" i="4"/>
  <c r="A532" i="4"/>
  <c r="J531" i="4"/>
  <c r="I531" i="4"/>
  <c r="H531" i="4"/>
  <c r="G531" i="4"/>
  <c r="F531" i="4"/>
  <c r="E531" i="4"/>
  <c r="D531" i="4"/>
  <c r="C531" i="4"/>
  <c r="B531" i="4"/>
  <c r="A531" i="4"/>
  <c r="J530" i="4"/>
  <c r="I530" i="4"/>
  <c r="H530" i="4"/>
  <c r="G530" i="4"/>
  <c r="F530" i="4"/>
  <c r="E530" i="4"/>
  <c r="D530" i="4"/>
  <c r="C530" i="4"/>
  <c r="B530" i="4"/>
  <c r="A530" i="4"/>
  <c r="J529" i="4"/>
  <c r="I529" i="4"/>
  <c r="H529" i="4"/>
  <c r="G529" i="4"/>
  <c r="F529" i="4"/>
  <c r="E529" i="4"/>
  <c r="D529" i="4"/>
  <c r="C529" i="4"/>
  <c r="B529" i="4"/>
  <c r="A529" i="4"/>
  <c r="J528" i="4"/>
  <c r="I528" i="4"/>
  <c r="H528" i="4"/>
  <c r="G528" i="4"/>
  <c r="F528" i="4"/>
  <c r="E528" i="4"/>
  <c r="D528" i="4"/>
  <c r="C528" i="4"/>
  <c r="B528" i="4"/>
  <c r="A528" i="4"/>
  <c r="J527" i="4"/>
  <c r="I527" i="4"/>
  <c r="H527" i="4"/>
  <c r="G527" i="4"/>
  <c r="F527" i="4"/>
  <c r="E527" i="4"/>
  <c r="D527" i="4"/>
  <c r="C527" i="4"/>
  <c r="B527" i="4"/>
  <c r="A527" i="4"/>
  <c r="J526" i="4"/>
  <c r="I526" i="4"/>
  <c r="H526" i="4"/>
  <c r="G526" i="4"/>
  <c r="F526" i="4"/>
  <c r="E526" i="4"/>
  <c r="D526" i="4"/>
  <c r="C526" i="4"/>
  <c r="B526" i="4"/>
  <c r="A526" i="4"/>
  <c r="J525" i="4"/>
  <c r="I525" i="4"/>
  <c r="H525" i="4"/>
  <c r="G525" i="4"/>
  <c r="F525" i="4"/>
  <c r="E525" i="4"/>
  <c r="D525" i="4"/>
  <c r="C525" i="4"/>
  <c r="B525" i="4"/>
  <c r="A525" i="4"/>
  <c r="J524" i="4"/>
  <c r="I524" i="4"/>
  <c r="H524" i="4"/>
  <c r="G524" i="4"/>
  <c r="F524" i="4"/>
  <c r="E524" i="4"/>
  <c r="D524" i="4"/>
  <c r="C524" i="4"/>
  <c r="B524" i="4"/>
  <c r="A524" i="4"/>
  <c r="J523" i="4"/>
  <c r="I523" i="4"/>
  <c r="H523" i="4"/>
  <c r="G523" i="4"/>
  <c r="F523" i="4"/>
  <c r="E523" i="4"/>
  <c r="D523" i="4"/>
  <c r="C523" i="4"/>
  <c r="B523" i="4"/>
  <c r="A523" i="4"/>
  <c r="J522" i="4"/>
  <c r="I522" i="4"/>
  <c r="H522" i="4"/>
  <c r="G522" i="4"/>
  <c r="F522" i="4"/>
  <c r="E522" i="4"/>
  <c r="D522" i="4"/>
  <c r="C522" i="4"/>
  <c r="B522" i="4"/>
  <c r="A522" i="4"/>
  <c r="J521" i="4"/>
  <c r="I521" i="4"/>
  <c r="H521" i="4"/>
  <c r="G521" i="4"/>
  <c r="F521" i="4"/>
  <c r="E521" i="4"/>
  <c r="D521" i="4"/>
  <c r="C521" i="4"/>
  <c r="B521" i="4"/>
  <c r="A521" i="4"/>
  <c r="J520" i="4"/>
  <c r="I520" i="4"/>
  <c r="H520" i="4"/>
  <c r="G520" i="4"/>
  <c r="F520" i="4"/>
  <c r="E520" i="4"/>
  <c r="D520" i="4"/>
  <c r="C520" i="4"/>
  <c r="B520" i="4"/>
  <c r="A520" i="4"/>
  <c r="J519" i="4"/>
  <c r="I519" i="4"/>
  <c r="H519" i="4"/>
  <c r="G519" i="4"/>
  <c r="F519" i="4"/>
  <c r="E519" i="4"/>
  <c r="D519" i="4"/>
  <c r="C519" i="4"/>
  <c r="B519" i="4"/>
  <c r="A519" i="4"/>
  <c r="J518" i="4"/>
  <c r="I518" i="4"/>
  <c r="H518" i="4"/>
  <c r="G518" i="4"/>
  <c r="F518" i="4"/>
  <c r="E518" i="4"/>
  <c r="D518" i="4"/>
  <c r="C518" i="4"/>
  <c r="B518" i="4"/>
  <c r="A518" i="4"/>
  <c r="J517" i="4"/>
  <c r="I517" i="4"/>
  <c r="H517" i="4"/>
  <c r="G517" i="4"/>
  <c r="F517" i="4"/>
  <c r="E517" i="4"/>
  <c r="D517" i="4"/>
  <c r="C517" i="4"/>
  <c r="B517" i="4"/>
  <c r="A517" i="4"/>
  <c r="J516" i="4"/>
  <c r="I516" i="4"/>
  <c r="H516" i="4"/>
  <c r="G516" i="4"/>
  <c r="F516" i="4"/>
  <c r="E516" i="4"/>
  <c r="D516" i="4"/>
  <c r="C516" i="4"/>
  <c r="B516" i="4"/>
  <c r="A516" i="4"/>
  <c r="J515" i="4"/>
  <c r="I515" i="4"/>
  <c r="H515" i="4"/>
  <c r="G515" i="4"/>
  <c r="F515" i="4"/>
  <c r="E515" i="4"/>
  <c r="D515" i="4"/>
  <c r="C515" i="4"/>
  <c r="B515" i="4"/>
  <c r="A515" i="4"/>
  <c r="J514" i="4"/>
  <c r="I514" i="4"/>
  <c r="H514" i="4"/>
  <c r="G514" i="4"/>
  <c r="F514" i="4"/>
  <c r="E514" i="4"/>
  <c r="D514" i="4"/>
  <c r="C514" i="4"/>
  <c r="B514" i="4"/>
  <c r="A514" i="4"/>
  <c r="J513" i="4"/>
  <c r="I513" i="4"/>
  <c r="H513" i="4"/>
  <c r="G513" i="4"/>
  <c r="F513" i="4"/>
  <c r="E513" i="4"/>
  <c r="D513" i="4"/>
  <c r="C513" i="4"/>
  <c r="B513" i="4"/>
  <c r="A513" i="4"/>
  <c r="J512" i="4"/>
  <c r="I512" i="4"/>
  <c r="H512" i="4"/>
  <c r="G512" i="4"/>
  <c r="F512" i="4"/>
  <c r="E512" i="4"/>
  <c r="D512" i="4"/>
  <c r="C512" i="4"/>
  <c r="B512" i="4"/>
  <c r="A512" i="4"/>
  <c r="J511" i="4"/>
  <c r="I511" i="4"/>
  <c r="H511" i="4"/>
  <c r="G511" i="4"/>
  <c r="F511" i="4"/>
  <c r="E511" i="4"/>
  <c r="D511" i="4"/>
  <c r="C511" i="4"/>
  <c r="B511" i="4"/>
  <c r="A511" i="4"/>
  <c r="J510" i="4"/>
  <c r="I510" i="4"/>
  <c r="H510" i="4"/>
  <c r="G510" i="4"/>
  <c r="F510" i="4"/>
  <c r="E510" i="4"/>
  <c r="D510" i="4"/>
  <c r="C510" i="4"/>
  <c r="B510" i="4"/>
  <c r="A510" i="4"/>
  <c r="J509" i="4"/>
  <c r="I509" i="4"/>
  <c r="H509" i="4"/>
  <c r="G509" i="4"/>
  <c r="F509" i="4"/>
  <c r="E509" i="4"/>
  <c r="D509" i="4"/>
  <c r="C509" i="4"/>
  <c r="B509" i="4"/>
  <c r="A509" i="4"/>
  <c r="J508" i="4"/>
  <c r="I508" i="4"/>
  <c r="H508" i="4"/>
  <c r="G508" i="4"/>
  <c r="F508" i="4"/>
  <c r="E508" i="4"/>
  <c r="D508" i="4"/>
  <c r="C508" i="4"/>
  <c r="B508" i="4"/>
  <c r="A508" i="4"/>
  <c r="J507" i="4"/>
  <c r="I507" i="4"/>
  <c r="H507" i="4"/>
  <c r="G507" i="4"/>
  <c r="F507" i="4"/>
  <c r="E507" i="4"/>
  <c r="D507" i="4"/>
  <c r="C507" i="4"/>
  <c r="B507" i="4"/>
  <c r="A507" i="4"/>
  <c r="J506" i="4"/>
  <c r="I506" i="4"/>
  <c r="H506" i="4"/>
  <c r="G506" i="4"/>
  <c r="F506" i="4"/>
  <c r="E506" i="4"/>
  <c r="D506" i="4"/>
  <c r="C506" i="4"/>
  <c r="B506" i="4"/>
  <c r="A506" i="4"/>
  <c r="J505" i="4"/>
  <c r="I505" i="4"/>
  <c r="H505" i="4"/>
  <c r="G505" i="4"/>
  <c r="F505" i="4"/>
  <c r="E505" i="4"/>
  <c r="D505" i="4"/>
  <c r="C505" i="4"/>
  <c r="B505" i="4"/>
  <c r="A505" i="4"/>
  <c r="J504" i="4"/>
  <c r="I504" i="4"/>
  <c r="H504" i="4"/>
  <c r="G504" i="4"/>
  <c r="F504" i="4"/>
  <c r="E504" i="4"/>
  <c r="D504" i="4"/>
  <c r="C504" i="4"/>
  <c r="B504" i="4"/>
  <c r="A504" i="4"/>
  <c r="J503" i="4"/>
  <c r="I503" i="4"/>
  <c r="H503" i="4"/>
  <c r="G503" i="4"/>
  <c r="F503" i="4"/>
  <c r="E503" i="4"/>
  <c r="D503" i="4"/>
  <c r="C503" i="4"/>
  <c r="B503" i="4"/>
  <c r="A503" i="4"/>
  <c r="J502" i="4"/>
  <c r="I502" i="4"/>
  <c r="H502" i="4"/>
  <c r="G502" i="4"/>
  <c r="F502" i="4"/>
  <c r="E502" i="4"/>
  <c r="D502" i="4"/>
  <c r="C502" i="4"/>
  <c r="B502" i="4"/>
  <c r="A502" i="4"/>
  <c r="J501" i="4"/>
  <c r="I501" i="4"/>
  <c r="H501" i="4"/>
  <c r="G501" i="4"/>
  <c r="F501" i="4"/>
  <c r="E501" i="4"/>
  <c r="D501" i="4"/>
  <c r="C501" i="4"/>
  <c r="B501" i="4"/>
  <c r="A501" i="4"/>
  <c r="J500" i="4"/>
  <c r="I500" i="4"/>
  <c r="H500" i="4"/>
  <c r="G500" i="4"/>
  <c r="F500" i="4"/>
  <c r="E500" i="4"/>
  <c r="D500" i="4"/>
  <c r="C500" i="4"/>
  <c r="B500" i="4"/>
  <c r="A500" i="4"/>
  <c r="J499" i="4"/>
  <c r="I499" i="4"/>
  <c r="H499" i="4"/>
  <c r="G499" i="4"/>
  <c r="F499" i="4"/>
  <c r="E499" i="4"/>
  <c r="D499" i="4"/>
  <c r="C499" i="4"/>
  <c r="B499" i="4"/>
  <c r="A499" i="4"/>
  <c r="J498" i="4"/>
  <c r="I498" i="4"/>
  <c r="H498" i="4"/>
  <c r="G498" i="4"/>
  <c r="F498" i="4"/>
  <c r="E498" i="4"/>
  <c r="D498" i="4"/>
  <c r="C498" i="4"/>
  <c r="B498" i="4"/>
  <c r="A498" i="4"/>
  <c r="J497" i="4"/>
  <c r="I497" i="4"/>
  <c r="H497" i="4"/>
  <c r="G497" i="4"/>
  <c r="F497" i="4"/>
  <c r="E497" i="4"/>
  <c r="D497" i="4"/>
  <c r="C497" i="4"/>
  <c r="B497" i="4"/>
  <c r="A497" i="4"/>
  <c r="J496" i="4"/>
  <c r="I496" i="4"/>
  <c r="H496" i="4"/>
  <c r="G496" i="4"/>
  <c r="F496" i="4"/>
  <c r="E496" i="4"/>
  <c r="D496" i="4"/>
  <c r="C496" i="4"/>
  <c r="B496" i="4"/>
  <c r="A496" i="4"/>
  <c r="J495" i="4"/>
  <c r="I495" i="4"/>
  <c r="H495" i="4"/>
  <c r="G495" i="4"/>
  <c r="F495" i="4"/>
  <c r="E495" i="4"/>
  <c r="D495" i="4"/>
  <c r="C495" i="4"/>
  <c r="B495" i="4"/>
  <c r="A495" i="4"/>
  <c r="J494" i="4"/>
  <c r="I494" i="4"/>
  <c r="H494" i="4"/>
  <c r="G494" i="4"/>
  <c r="F494" i="4"/>
  <c r="E494" i="4"/>
  <c r="D494" i="4"/>
  <c r="C494" i="4"/>
  <c r="B494" i="4"/>
  <c r="A494" i="4"/>
  <c r="J493" i="4"/>
  <c r="I493" i="4"/>
  <c r="H493" i="4"/>
  <c r="G493" i="4"/>
  <c r="F493" i="4"/>
  <c r="E493" i="4"/>
  <c r="D493" i="4"/>
  <c r="C493" i="4"/>
  <c r="B493" i="4"/>
  <c r="A493" i="4"/>
  <c r="J492" i="4"/>
  <c r="I492" i="4"/>
  <c r="H492" i="4"/>
  <c r="G492" i="4"/>
  <c r="F492" i="4"/>
  <c r="E492" i="4"/>
  <c r="D492" i="4"/>
  <c r="C492" i="4"/>
  <c r="B492" i="4"/>
  <c r="A492" i="4"/>
  <c r="J491" i="4"/>
  <c r="I491" i="4"/>
  <c r="H491" i="4"/>
  <c r="G491" i="4"/>
  <c r="F491" i="4"/>
  <c r="E491" i="4"/>
  <c r="D491" i="4"/>
  <c r="C491" i="4"/>
  <c r="B491" i="4"/>
  <c r="A491" i="4"/>
  <c r="J490" i="4"/>
  <c r="I490" i="4"/>
  <c r="H490" i="4"/>
  <c r="G490" i="4"/>
  <c r="F490" i="4"/>
  <c r="E490" i="4"/>
  <c r="D490" i="4"/>
  <c r="C490" i="4"/>
  <c r="B490" i="4"/>
  <c r="A490" i="4"/>
  <c r="J489" i="4"/>
  <c r="I489" i="4"/>
  <c r="H489" i="4"/>
  <c r="G489" i="4"/>
  <c r="F489" i="4"/>
  <c r="E489" i="4"/>
  <c r="D489" i="4"/>
  <c r="C489" i="4"/>
  <c r="B489" i="4"/>
  <c r="A489" i="4"/>
  <c r="J488" i="4"/>
  <c r="I488" i="4"/>
  <c r="H488" i="4"/>
  <c r="G488" i="4"/>
  <c r="F488" i="4"/>
  <c r="E488" i="4"/>
  <c r="D488" i="4"/>
  <c r="C488" i="4"/>
  <c r="B488" i="4"/>
  <c r="A488" i="4"/>
  <c r="J487" i="4"/>
  <c r="I487" i="4"/>
  <c r="H487" i="4"/>
  <c r="G487" i="4"/>
  <c r="F487" i="4"/>
  <c r="E487" i="4"/>
  <c r="D487" i="4"/>
  <c r="C487" i="4"/>
  <c r="B487" i="4"/>
  <c r="A487" i="4"/>
  <c r="J486" i="4"/>
  <c r="I486" i="4"/>
  <c r="H486" i="4"/>
  <c r="G486" i="4"/>
  <c r="F486" i="4"/>
  <c r="E486" i="4"/>
  <c r="D486" i="4"/>
  <c r="C486" i="4"/>
  <c r="B486" i="4"/>
  <c r="A486" i="4"/>
  <c r="J485" i="4"/>
  <c r="I485" i="4"/>
  <c r="H485" i="4"/>
  <c r="G485" i="4"/>
  <c r="F485" i="4"/>
  <c r="E485" i="4"/>
  <c r="D485" i="4"/>
  <c r="C485" i="4"/>
  <c r="B485" i="4"/>
  <c r="A485" i="4"/>
  <c r="J484" i="4"/>
  <c r="I484" i="4"/>
  <c r="H484" i="4"/>
  <c r="G484" i="4"/>
  <c r="F484" i="4"/>
  <c r="E484" i="4"/>
  <c r="D484" i="4"/>
  <c r="C484" i="4"/>
  <c r="B484" i="4"/>
  <c r="A484" i="4"/>
  <c r="J483" i="4"/>
  <c r="I483" i="4"/>
  <c r="H483" i="4"/>
  <c r="G483" i="4"/>
  <c r="F483" i="4"/>
  <c r="E483" i="4"/>
  <c r="D483" i="4"/>
  <c r="C483" i="4"/>
  <c r="B483" i="4"/>
  <c r="A483" i="4"/>
  <c r="J482" i="4"/>
  <c r="I482" i="4"/>
  <c r="H482" i="4"/>
  <c r="G482" i="4"/>
  <c r="F482" i="4"/>
  <c r="E482" i="4"/>
  <c r="D482" i="4"/>
  <c r="C482" i="4"/>
  <c r="B482" i="4"/>
  <c r="A482" i="4"/>
  <c r="J481" i="4"/>
  <c r="I481" i="4"/>
  <c r="H481" i="4"/>
  <c r="G481" i="4"/>
  <c r="F481" i="4"/>
  <c r="E481" i="4"/>
  <c r="D481" i="4"/>
  <c r="C481" i="4"/>
  <c r="B481" i="4"/>
  <c r="A481" i="4"/>
  <c r="J480" i="4"/>
  <c r="I480" i="4"/>
  <c r="H480" i="4"/>
  <c r="G480" i="4"/>
  <c r="F480" i="4"/>
  <c r="E480" i="4"/>
  <c r="D480" i="4"/>
  <c r="C480" i="4"/>
  <c r="B480" i="4"/>
  <c r="A480" i="4"/>
  <c r="J479" i="4"/>
  <c r="I479" i="4"/>
  <c r="H479" i="4"/>
  <c r="G479" i="4"/>
  <c r="F479" i="4"/>
  <c r="E479" i="4"/>
  <c r="D479" i="4"/>
  <c r="C479" i="4"/>
  <c r="B479" i="4"/>
  <c r="A479" i="4"/>
  <c r="J478" i="4"/>
  <c r="I478" i="4"/>
  <c r="H478" i="4"/>
  <c r="G478" i="4"/>
  <c r="F478" i="4"/>
  <c r="E478" i="4"/>
  <c r="D478" i="4"/>
  <c r="C478" i="4"/>
  <c r="B478" i="4"/>
  <c r="A478" i="4"/>
  <c r="J477" i="4"/>
  <c r="I477" i="4"/>
  <c r="H477" i="4"/>
  <c r="G477" i="4"/>
  <c r="F477" i="4"/>
  <c r="E477" i="4"/>
  <c r="D477" i="4"/>
  <c r="C477" i="4"/>
  <c r="B477" i="4"/>
  <c r="A477" i="4"/>
  <c r="J476" i="4"/>
  <c r="I476" i="4"/>
  <c r="H476" i="4"/>
  <c r="G476" i="4"/>
  <c r="F476" i="4"/>
  <c r="E476" i="4"/>
  <c r="D476" i="4"/>
  <c r="C476" i="4"/>
  <c r="B476" i="4"/>
  <c r="A476" i="4"/>
  <c r="J475" i="4"/>
  <c r="I475" i="4"/>
  <c r="H475" i="4"/>
  <c r="G475" i="4"/>
  <c r="F475" i="4"/>
  <c r="E475" i="4"/>
  <c r="D475" i="4"/>
  <c r="C475" i="4"/>
  <c r="B475" i="4"/>
  <c r="A475" i="4"/>
  <c r="J474" i="4"/>
  <c r="I474" i="4"/>
  <c r="H474" i="4"/>
  <c r="G474" i="4"/>
  <c r="F474" i="4"/>
  <c r="E474" i="4"/>
  <c r="D474" i="4"/>
  <c r="C474" i="4"/>
  <c r="B474" i="4"/>
  <c r="A474" i="4"/>
  <c r="J473" i="4"/>
  <c r="I473" i="4"/>
  <c r="H473" i="4"/>
  <c r="G473" i="4"/>
  <c r="F473" i="4"/>
  <c r="E473" i="4"/>
  <c r="D473" i="4"/>
  <c r="C473" i="4"/>
  <c r="B473" i="4"/>
  <c r="A473" i="4"/>
  <c r="J472" i="4"/>
  <c r="I472" i="4"/>
  <c r="H472" i="4"/>
  <c r="G472" i="4"/>
  <c r="F472" i="4"/>
  <c r="E472" i="4"/>
  <c r="D472" i="4"/>
  <c r="C472" i="4"/>
  <c r="B472" i="4"/>
  <c r="A472" i="4"/>
  <c r="J471" i="4"/>
  <c r="I471" i="4"/>
  <c r="H471" i="4"/>
  <c r="G471" i="4"/>
  <c r="F471" i="4"/>
  <c r="E471" i="4"/>
  <c r="D471" i="4"/>
  <c r="C471" i="4"/>
  <c r="B471" i="4"/>
  <c r="A471" i="4"/>
  <c r="J470" i="4"/>
  <c r="I470" i="4"/>
  <c r="H470" i="4"/>
  <c r="G470" i="4"/>
  <c r="F470" i="4"/>
  <c r="E470" i="4"/>
  <c r="D470" i="4"/>
  <c r="C470" i="4"/>
  <c r="B470" i="4"/>
  <c r="A470" i="4"/>
  <c r="J469" i="4"/>
  <c r="I469" i="4"/>
  <c r="H469" i="4"/>
  <c r="G469" i="4"/>
  <c r="F469" i="4"/>
  <c r="E469" i="4"/>
  <c r="D469" i="4"/>
  <c r="C469" i="4"/>
  <c r="B469" i="4"/>
  <c r="A469" i="4"/>
  <c r="J468" i="4"/>
  <c r="I468" i="4"/>
  <c r="H468" i="4"/>
  <c r="G468" i="4"/>
  <c r="F468" i="4"/>
  <c r="E468" i="4"/>
  <c r="D468" i="4"/>
  <c r="C468" i="4"/>
  <c r="B468" i="4"/>
  <c r="A468" i="4"/>
  <c r="J467" i="4"/>
  <c r="I467" i="4"/>
  <c r="H467" i="4"/>
  <c r="G467" i="4"/>
  <c r="F467" i="4"/>
  <c r="E467" i="4"/>
  <c r="D467" i="4"/>
  <c r="C467" i="4"/>
  <c r="B467" i="4"/>
  <c r="A467" i="4"/>
  <c r="J466" i="4"/>
  <c r="I466" i="4"/>
  <c r="H466" i="4"/>
  <c r="G466" i="4"/>
  <c r="F466" i="4"/>
  <c r="E466" i="4"/>
  <c r="D466" i="4"/>
  <c r="C466" i="4"/>
  <c r="B466" i="4"/>
  <c r="A466" i="4"/>
  <c r="J465" i="4"/>
  <c r="I465" i="4"/>
  <c r="H465" i="4"/>
  <c r="G465" i="4"/>
  <c r="F465" i="4"/>
  <c r="E465" i="4"/>
  <c r="D465" i="4"/>
  <c r="C465" i="4"/>
  <c r="B465" i="4"/>
  <c r="A465" i="4"/>
  <c r="J464" i="4"/>
  <c r="I464" i="4"/>
  <c r="H464" i="4"/>
  <c r="G464" i="4"/>
  <c r="F464" i="4"/>
  <c r="E464" i="4"/>
  <c r="D464" i="4"/>
  <c r="C464" i="4"/>
  <c r="B464" i="4"/>
  <c r="A464" i="4"/>
  <c r="J463" i="4"/>
  <c r="I463" i="4"/>
  <c r="H463" i="4"/>
  <c r="G463" i="4"/>
  <c r="F463" i="4"/>
  <c r="E463" i="4"/>
  <c r="D463" i="4"/>
  <c r="C463" i="4"/>
  <c r="B463" i="4"/>
  <c r="A463" i="4"/>
  <c r="J462" i="4"/>
  <c r="I462" i="4"/>
  <c r="H462" i="4"/>
  <c r="G462" i="4"/>
  <c r="F462" i="4"/>
  <c r="E462" i="4"/>
  <c r="D462" i="4"/>
  <c r="C462" i="4"/>
  <c r="B462" i="4"/>
  <c r="A462" i="4"/>
  <c r="J461" i="4"/>
  <c r="I461" i="4"/>
  <c r="H461" i="4"/>
  <c r="G461" i="4"/>
  <c r="F461" i="4"/>
  <c r="E461" i="4"/>
  <c r="D461" i="4"/>
  <c r="C461" i="4"/>
  <c r="B461" i="4"/>
  <c r="A461" i="4"/>
  <c r="J460" i="4"/>
  <c r="I460" i="4"/>
  <c r="H460" i="4"/>
  <c r="G460" i="4"/>
  <c r="F460" i="4"/>
  <c r="E460" i="4"/>
  <c r="D460" i="4"/>
  <c r="C460" i="4"/>
  <c r="B460" i="4"/>
  <c r="A460" i="4"/>
  <c r="J459" i="4"/>
  <c r="I459" i="4"/>
  <c r="H459" i="4"/>
  <c r="G459" i="4"/>
  <c r="F459" i="4"/>
  <c r="E459" i="4"/>
  <c r="D459" i="4"/>
  <c r="C459" i="4"/>
  <c r="B459" i="4"/>
  <c r="A459" i="4"/>
  <c r="J458" i="4"/>
  <c r="I458" i="4"/>
  <c r="H458" i="4"/>
  <c r="G458" i="4"/>
  <c r="F458" i="4"/>
  <c r="E458" i="4"/>
  <c r="D458" i="4"/>
  <c r="C458" i="4"/>
  <c r="B458" i="4"/>
  <c r="A458" i="4"/>
  <c r="J457" i="4"/>
  <c r="I457" i="4"/>
  <c r="H457" i="4"/>
  <c r="G457" i="4"/>
  <c r="F457" i="4"/>
  <c r="E457" i="4"/>
  <c r="D457" i="4"/>
  <c r="C457" i="4"/>
  <c r="B457" i="4"/>
  <c r="A457" i="4"/>
  <c r="J456" i="4"/>
  <c r="I456" i="4"/>
  <c r="H456" i="4"/>
  <c r="G456" i="4"/>
  <c r="F456" i="4"/>
  <c r="E456" i="4"/>
  <c r="D456" i="4"/>
  <c r="C456" i="4"/>
  <c r="B456" i="4"/>
  <c r="A456" i="4"/>
  <c r="J455" i="4"/>
  <c r="I455" i="4"/>
  <c r="H455" i="4"/>
  <c r="G455" i="4"/>
  <c r="F455" i="4"/>
  <c r="E455" i="4"/>
  <c r="D455" i="4"/>
  <c r="C455" i="4"/>
  <c r="B455" i="4"/>
  <c r="A455" i="4"/>
  <c r="J454" i="4"/>
  <c r="I454" i="4"/>
  <c r="H454" i="4"/>
  <c r="G454" i="4"/>
  <c r="F454" i="4"/>
  <c r="E454" i="4"/>
  <c r="D454" i="4"/>
  <c r="C454" i="4"/>
  <c r="B454" i="4"/>
  <c r="A454" i="4"/>
  <c r="J453" i="4"/>
  <c r="I453" i="4"/>
  <c r="H453" i="4"/>
  <c r="G453" i="4"/>
  <c r="F453" i="4"/>
  <c r="E453" i="4"/>
  <c r="D453" i="4"/>
  <c r="C453" i="4"/>
  <c r="B453" i="4"/>
  <c r="A453" i="4"/>
  <c r="J452" i="4"/>
  <c r="I452" i="4"/>
  <c r="H452" i="4"/>
  <c r="G452" i="4"/>
  <c r="F452" i="4"/>
  <c r="E452" i="4"/>
  <c r="D452" i="4"/>
  <c r="C452" i="4"/>
  <c r="B452" i="4"/>
  <c r="A452" i="4"/>
  <c r="J451" i="4"/>
  <c r="I451" i="4"/>
  <c r="H451" i="4"/>
  <c r="G451" i="4"/>
  <c r="F451" i="4"/>
  <c r="E451" i="4"/>
  <c r="D451" i="4"/>
  <c r="C451" i="4"/>
  <c r="B451" i="4"/>
  <c r="A451" i="4"/>
  <c r="J450" i="4"/>
  <c r="I450" i="4"/>
  <c r="H450" i="4"/>
  <c r="G450" i="4"/>
  <c r="F450" i="4"/>
  <c r="E450" i="4"/>
  <c r="D450" i="4"/>
  <c r="C450" i="4"/>
  <c r="B450" i="4"/>
  <c r="A450" i="4"/>
  <c r="J449" i="4"/>
  <c r="I449" i="4"/>
  <c r="H449" i="4"/>
  <c r="G449" i="4"/>
  <c r="F449" i="4"/>
  <c r="E449" i="4"/>
  <c r="D449" i="4"/>
  <c r="C449" i="4"/>
  <c r="B449" i="4"/>
  <c r="A449" i="4"/>
  <c r="J448" i="4"/>
  <c r="I448" i="4"/>
  <c r="H448" i="4"/>
  <c r="G448" i="4"/>
  <c r="F448" i="4"/>
  <c r="E448" i="4"/>
  <c r="D448" i="4"/>
  <c r="C448" i="4"/>
  <c r="B448" i="4"/>
  <c r="A448" i="4"/>
  <c r="J447" i="4"/>
  <c r="I447" i="4"/>
  <c r="H447" i="4"/>
  <c r="G447" i="4"/>
  <c r="F447" i="4"/>
  <c r="E447" i="4"/>
  <c r="D447" i="4"/>
  <c r="C447" i="4"/>
  <c r="B447" i="4"/>
  <c r="A447" i="4"/>
  <c r="J446" i="4"/>
  <c r="I446" i="4"/>
  <c r="H446" i="4"/>
  <c r="G446" i="4"/>
  <c r="F446" i="4"/>
  <c r="E446" i="4"/>
  <c r="D446" i="4"/>
  <c r="C446" i="4"/>
  <c r="B446" i="4"/>
  <c r="A446" i="4"/>
  <c r="J445" i="4"/>
  <c r="I445" i="4"/>
  <c r="H445" i="4"/>
  <c r="G445" i="4"/>
  <c r="F445" i="4"/>
  <c r="E445" i="4"/>
  <c r="D445" i="4"/>
  <c r="C445" i="4"/>
  <c r="B445" i="4"/>
  <c r="A445" i="4"/>
  <c r="J444" i="4"/>
  <c r="I444" i="4"/>
  <c r="H444" i="4"/>
  <c r="G444" i="4"/>
  <c r="F444" i="4"/>
  <c r="E444" i="4"/>
  <c r="D444" i="4"/>
  <c r="C444" i="4"/>
  <c r="B444" i="4"/>
  <c r="A444" i="4"/>
  <c r="J443" i="4"/>
  <c r="I443" i="4"/>
  <c r="H443" i="4"/>
  <c r="G443" i="4"/>
  <c r="F443" i="4"/>
  <c r="E443" i="4"/>
  <c r="D443" i="4"/>
  <c r="C443" i="4"/>
  <c r="B443" i="4"/>
  <c r="A443" i="4"/>
  <c r="J442" i="4"/>
  <c r="I442" i="4"/>
  <c r="H442" i="4"/>
  <c r="G442" i="4"/>
  <c r="F442" i="4"/>
  <c r="E442" i="4"/>
  <c r="D442" i="4"/>
  <c r="C442" i="4"/>
  <c r="B442" i="4"/>
  <c r="A442" i="4"/>
  <c r="J441" i="4"/>
  <c r="I441" i="4"/>
  <c r="H441" i="4"/>
  <c r="G441" i="4"/>
  <c r="F441" i="4"/>
  <c r="E441" i="4"/>
  <c r="D441" i="4"/>
  <c r="C441" i="4"/>
  <c r="B441" i="4"/>
  <c r="A441" i="4"/>
  <c r="J440" i="4"/>
  <c r="I440" i="4"/>
  <c r="H440" i="4"/>
  <c r="G440" i="4"/>
  <c r="F440" i="4"/>
  <c r="E440" i="4"/>
  <c r="D440" i="4"/>
  <c r="C440" i="4"/>
  <c r="B440" i="4"/>
  <c r="A440" i="4"/>
  <c r="J439" i="4"/>
  <c r="I439" i="4"/>
  <c r="H439" i="4"/>
  <c r="G439" i="4"/>
  <c r="F439" i="4"/>
  <c r="E439" i="4"/>
  <c r="D439" i="4"/>
  <c r="C439" i="4"/>
  <c r="B439" i="4"/>
  <c r="A439" i="4"/>
  <c r="J438" i="4"/>
  <c r="I438" i="4"/>
  <c r="H438" i="4"/>
  <c r="G438" i="4"/>
  <c r="F438" i="4"/>
  <c r="E438" i="4"/>
  <c r="D438" i="4"/>
  <c r="C438" i="4"/>
  <c r="B438" i="4"/>
  <c r="A438" i="4"/>
  <c r="J437" i="4"/>
  <c r="I437" i="4"/>
  <c r="H437" i="4"/>
  <c r="G437" i="4"/>
  <c r="F437" i="4"/>
  <c r="E437" i="4"/>
  <c r="D437" i="4"/>
  <c r="C437" i="4"/>
  <c r="B437" i="4"/>
  <c r="A437" i="4"/>
  <c r="J436" i="4"/>
  <c r="I436" i="4"/>
  <c r="H436" i="4"/>
  <c r="G436" i="4"/>
  <c r="F436" i="4"/>
  <c r="E436" i="4"/>
  <c r="D436" i="4"/>
  <c r="C436" i="4"/>
  <c r="B436" i="4"/>
  <c r="A436" i="4"/>
  <c r="J435" i="4"/>
  <c r="I435" i="4"/>
  <c r="H435" i="4"/>
  <c r="G435" i="4"/>
  <c r="F435" i="4"/>
  <c r="E435" i="4"/>
  <c r="D435" i="4"/>
  <c r="C435" i="4"/>
  <c r="B435" i="4"/>
  <c r="A435" i="4"/>
  <c r="J434" i="4"/>
  <c r="I434" i="4"/>
  <c r="H434" i="4"/>
  <c r="G434" i="4"/>
  <c r="F434" i="4"/>
  <c r="E434" i="4"/>
  <c r="D434" i="4"/>
  <c r="C434" i="4"/>
  <c r="B434" i="4"/>
  <c r="A434" i="4"/>
  <c r="J433" i="4"/>
  <c r="I433" i="4"/>
  <c r="H433" i="4"/>
  <c r="G433" i="4"/>
  <c r="F433" i="4"/>
  <c r="E433" i="4"/>
  <c r="D433" i="4"/>
  <c r="C433" i="4"/>
  <c r="B433" i="4"/>
  <c r="A433" i="4"/>
  <c r="J432" i="4"/>
  <c r="I432" i="4"/>
  <c r="H432" i="4"/>
  <c r="G432" i="4"/>
  <c r="F432" i="4"/>
  <c r="E432" i="4"/>
  <c r="D432" i="4"/>
  <c r="C432" i="4"/>
  <c r="B432" i="4"/>
  <c r="A432" i="4"/>
  <c r="J431" i="4"/>
  <c r="I431" i="4"/>
  <c r="H431" i="4"/>
  <c r="G431" i="4"/>
  <c r="F431" i="4"/>
  <c r="E431" i="4"/>
  <c r="D431" i="4"/>
  <c r="C431" i="4"/>
  <c r="B431" i="4"/>
  <c r="A431" i="4"/>
  <c r="J430" i="4"/>
  <c r="I430" i="4"/>
  <c r="H430" i="4"/>
  <c r="G430" i="4"/>
  <c r="F430" i="4"/>
  <c r="E430" i="4"/>
  <c r="D430" i="4"/>
  <c r="C430" i="4"/>
  <c r="B430" i="4"/>
  <c r="A430" i="4"/>
  <c r="J429" i="4"/>
  <c r="I429" i="4"/>
  <c r="H429" i="4"/>
  <c r="G429" i="4"/>
  <c r="F429" i="4"/>
  <c r="E429" i="4"/>
  <c r="D429" i="4"/>
  <c r="C429" i="4"/>
  <c r="B429" i="4"/>
  <c r="A429" i="4"/>
  <c r="J428" i="4"/>
  <c r="I428" i="4"/>
  <c r="H428" i="4"/>
  <c r="G428" i="4"/>
  <c r="F428" i="4"/>
  <c r="E428" i="4"/>
  <c r="D428" i="4"/>
  <c r="C428" i="4"/>
  <c r="B428" i="4"/>
  <c r="A428" i="4"/>
  <c r="J427" i="4"/>
  <c r="I427" i="4"/>
  <c r="H427" i="4"/>
  <c r="G427" i="4"/>
  <c r="F427" i="4"/>
  <c r="E427" i="4"/>
  <c r="D427" i="4"/>
  <c r="C427" i="4"/>
  <c r="B427" i="4"/>
  <c r="A427" i="4"/>
  <c r="J426" i="4"/>
  <c r="I426" i="4"/>
  <c r="H426" i="4"/>
  <c r="G426" i="4"/>
  <c r="F426" i="4"/>
  <c r="E426" i="4"/>
  <c r="D426" i="4"/>
  <c r="C426" i="4"/>
  <c r="B426" i="4"/>
  <c r="A426" i="4"/>
  <c r="J425" i="4"/>
  <c r="I425" i="4"/>
  <c r="H425" i="4"/>
  <c r="G425" i="4"/>
  <c r="F425" i="4"/>
  <c r="E425" i="4"/>
  <c r="D425" i="4"/>
  <c r="C425" i="4"/>
  <c r="B425" i="4"/>
  <c r="A425" i="4"/>
  <c r="J424" i="4"/>
  <c r="I424" i="4"/>
  <c r="H424" i="4"/>
  <c r="G424" i="4"/>
  <c r="F424" i="4"/>
  <c r="E424" i="4"/>
  <c r="D424" i="4"/>
  <c r="C424" i="4"/>
  <c r="B424" i="4"/>
  <c r="A424" i="4"/>
  <c r="J423" i="4"/>
  <c r="I423" i="4"/>
  <c r="H423" i="4"/>
  <c r="G423" i="4"/>
  <c r="F423" i="4"/>
  <c r="E423" i="4"/>
  <c r="D423" i="4"/>
  <c r="C423" i="4"/>
  <c r="B423" i="4"/>
  <c r="A423" i="4"/>
  <c r="J422" i="4"/>
  <c r="I422" i="4"/>
  <c r="H422" i="4"/>
  <c r="G422" i="4"/>
  <c r="F422" i="4"/>
  <c r="E422" i="4"/>
  <c r="D422" i="4"/>
  <c r="C422" i="4"/>
  <c r="B422" i="4"/>
  <c r="A422" i="4"/>
  <c r="J421" i="4"/>
  <c r="I421" i="4"/>
  <c r="H421" i="4"/>
  <c r="G421" i="4"/>
  <c r="F421" i="4"/>
  <c r="E421" i="4"/>
  <c r="D421" i="4"/>
  <c r="C421" i="4"/>
  <c r="B421" i="4"/>
  <c r="A421" i="4"/>
  <c r="J420" i="4"/>
  <c r="I420" i="4"/>
  <c r="H420" i="4"/>
  <c r="G420" i="4"/>
  <c r="F420" i="4"/>
  <c r="E420" i="4"/>
  <c r="D420" i="4"/>
  <c r="C420" i="4"/>
  <c r="B420" i="4"/>
  <c r="A420" i="4"/>
  <c r="J419" i="4"/>
  <c r="I419" i="4"/>
  <c r="H419" i="4"/>
  <c r="G419" i="4"/>
  <c r="F419" i="4"/>
  <c r="E419" i="4"/>
  <c r="D419" i="4"/>
  <c r="C419" i="4"/>
  <c r="B419" i="4"/>
  <c r="A419" i="4"/>
  <c r="J418" i="4"/>
  <c r="I418" i="4"/>
  <c r="H418" i="4"/>
  <c r="G418" i="4"/>
  <c r="F418" i="4"/>
  <c r="E418" i="4"/>
  <c r="D418" i="4"/>
  <c r="C418" i="4"/>
  <c r="B418" i="4"/>
  <c r="A418" i="4"/>
  <c r="J417" i="4"/>
  <c r="I417" i="4"/>
  <c r="H417" i="4"/>
  <c r="G417" i="4"/>
  <c r="F417" i="4"/>
  <c r="E417" i="4"/>
  <c r="D417" i="4"/>
  <c r="C417" i="4"/>
  <c r="B417" i="4"/>
  <c r="A417" i="4"/>
  <c r="J416" i="4"/>
  <c r="I416" i="4"/>
  <c r="H416" i="4"/>
  <c r="G416" i="4"/>
  <c r="F416" i="4"/>
  <c r="E416" i="4"/>
  <c r="D416" i="4"/>
  <c r="C416" i="4"/>
  <c r="B416" i="4"/>
  <c r="A416" i="4"/>
  <c r="J415" i="4"/>
  <c r="I415" i="4"/>
  <c r="H415" i="4"/>
  <c r="G415" i="4"/>
  <c r="F415" i="4"/>
  <c r="E415" i="4"/>
  <c r="D415" i="4"/>
  <c r="C415" i="4"/>
  <c r="B415" i="4"/>
  <c r="A415" i="4"/>
  <c r="J414" i="4"/>
  <c r="I414" i="4"/>
  <c r="H414" i="4"/>
  <c r="G414" i="4"/>
  <c r="F414" i="4"/>
  <c r="E414" i="4"/>
  <c r="D414" i="4"/>
  <c r="C414" i="4"/>
  <c r="B414" i="4"/>
  <c r="A414" i="4"/>
  <c r="J413" i="4"/>
  <c r="I413" i="4"/>
  <c r="H413" i="4"/>
  <c r="G413" i="4"/>
  <c r="F413" i="4"/>
  <c r="E413" i="4"/>
  <c r="D413" i="4"/>
  <c r="C413" i="4"/>
  <c r="B413" i="4"/>
  <c r="A413" i="4"/>
  <c r="J412" i="4"/>
  <c r="I412" i="4"/>
  <c r="H412" i="4"/>
  <c r="G412" i="4"/>
  <c r="F412" i="4"/>
  <c r="E412" i="4"/>
  <c r="D412" i="4"/>
  <c r="C412" i="4"/>
  <c r="B412" i="4"/>
  <c r="A412" i="4"/>
  <c r="J411" i="4"/>
  <c r="I411" i="4"/>
  <c r="H411" i="4"/>
  <c r="G411" i="4"/>
  <c r="F411" i="4"/>
  <c r="E411" i="4"/>
  <c r="D411" i="4"/>
  <c r="C411" i="4"/>
  <c r="B411" i="4"/>
  <c r="A411" i="4"/>
  <c r="J410" i="4"/>
  <c r="I410" i="4"/>
  <c r="H410" i="4"/>
  <c r="G410" i="4"/>
  <c r="F410" i="4"/>
  <c r="E410" i="4"/>
  <c r="D410" i="4"/>
  <c r="C410" i="4"/>
  <c r="B410" i="4"/>
  <c r="A410" i="4"/>
  <c r="J409" i="4"/>
  <c r="I409" i="4"/>
  <c r="H409" i="4"/>
  <c r="G409" i="4"/>
  <c r="F409" i="4"/>
  <c r="E409" i="4"/>
  <c r="D409" i="4"/>
  <c r="C409" i="4"/>
  <c r="B409" i="4"/>
  <c r="A409" i="4"/>
  <c r="J408" i="4"/>
  <c r="I408" i="4"/>
  <c r="H408" i="4"/>
  <c r="G408" i="4"/>
  <c r="F408" i="4"/>
  <c r="E408" i="4"/>
  <c r="D408" i="4"/>
  <c r="C408" i="4"/>
  <c r="B408" i="4"/>
  <c r="A408" i="4"/>
  <c r="J407" i="4"/>
  <c r="I407" i="4"/>
  <c r="H407" i="4"/>
  <c r="G407" i="4"/>
  <c r="F407" i="4"/>
  <c r="E407" i="4"/>
  <c r="D407" i="4"/>
  <c r="C407" i="4"/>
  <c r="B407" i="4"/>
  <c r="A407" i="4"/>
  <c r="J406" i="4"/>
  <c r="I406" i="4"/>
  <c r="H406" i="4"/>
  <c r="G406" i="4"/>
  <c r="F406" i="4"/>
  <c r="E406" i="4"/>
  <c r="D406" i="4"/>
  <c r="C406" i="4"/>
  <c r="B406" i="4"/>
  <c r="A406" i="4"/>
  <c r="J405" i="4"/>
  <c r="I405" i="4"/>
  <c r="H405" i="4"/>
  <c r="G405" i="4"/>
  <c r="F405" i="4"/>
  <c r="E405" i="4"/>
  <c r="D405" i="4"/>
  <c r="C405" i="4"/>
  <c r="B405" i="4"/>
  <c r="A405" i="4"/>
  <c r="J404" i="4"/>
  <c r="I404" i="4"/>
  <c r="H404" i="4"/>
  <c r="G404" i="4"/>
  <c r="F404" i="4"/>
  <c r="E404" i="4"/>
  <c r="D404" i="4"/>
  <c r="C404" i="4"/>
  <c r="B404" i="4"/>
  <c r="A404" i="4"/>
  <c r="J403" i="4"/>
  <c r="I403" i="4"/>
  <c r="H403" i="4"/>
  <c r="G403" i="4"/>
  <c r="F403" i="4"/>
  <c r="E403" i="4"/>
  <c r="D403" i="4"/>
  <c r="C403" i="4"/>
  <c r="B403" i="4"/>
  <c r="A403" i="4"/>
  <c r="J402" i="4"/>
  <c r="I402" i="4"/>
  <c r="H402" i="4"/>
  <c r="G402" i="4"/>
  <c r="F402" i="4"/>
  <c r="E402" i="4"/>
  <c r="D402" i="4"/>
  <c r="C402" i="4"/>
  <c r="B402" i="4"/>
  <c r="A402" i="4"/>
  <c r="J401" i="4"/>
  <c r="I401" i="4"/>
  <c r="H401" i="4"/>
  <c r="G401" i="4"/>
  <c r="F401" i="4"/>
  <c r="E401" i="4"/>
  <c r="D401" i="4"/>
  <c r="C401" i="4"/>
  <c r="B401" i="4"/>
  <c r="A401" i="4"/>
  <c r="J400" i="4"/>
  <c r="I400" i="4"/>
  <c r="H400" i="4"/>
  <c r="G400" i="4"/>
  <c r="F400" i="4"/>
  <c r="E400" i="4"/>
  <c r="D400" i="4"/>
  <c r="C400" i="4"/>
  <c r="B400" i="4"/>
  <c r="A400" i="4"/>
  <c r="J399" i="4"/>
  <c r="I399" i="4"/>
  <c r="H399" i="4"/>
  <c r="G399" i="4"/>
  <c r="F399" i="4"/>
  <c r="E399" i="4"/>
  <c r="D399" i="4"/>
  <c r="C399" i="4"/>
  <c r="B399" i="4"/>
  <c r="A399" i="4"/>
  <c r="J398" i="4"/>
  <c r="I398" i="4"/>
  <c r="H398" i="4"/>
  <c r="G398" i="4"/>
  <c r="F398" i="4"/>
  <c r="E398" i="4"/>
  <c r="D398" i="4"/>
  <c r="C398" i="4"/>
  <c r="B398" i="4"/>
  <c r="A398" i="4"/>
  <c r="J397" i="4"/>
  <c r="I397" i="4"/>
  <c r="H397" i="4"/>
  <c r="G397" i="4"/>
  <c r="F397" i="4"/>
  <c r="E397" i="4"/>
  <c r="D397" i="4"/>
  <c r="C397" i="4"/>
  <c r="B397" i="4"/>
  <c r="A397" i="4"/>
  <c r="J396" i="4"/>
  <c r="I396" i="4"/>
  <c r="H396" i="4"/>
  <c r="G396" i="4"/>
  <c r="F396" i="4"/>
  <c r="E396" i="4"/>
  <c r="D396" i="4"/>
  <c r="C396" i="4"/>
  <c r="B396" i="4"/>
  <c r="A396" i="4"/>
  <c r="J395" i="4"/>
  <c r="I395" i="4"/>
  <c r="H395" i="4"/>
  <c r="G395" i="4"/>
  <c r="F395" i="4"/>
  <c r="E395" i="4"/>
  <c r="D395" i="4"/>
  <c r="C395" i="4"/>
  <c r="B395" i="4"/>
  <c r="A395" i="4"/>
  <c r="J394" i="4"/>
  <c r="I394" i="4"/>
  <c r="H394" i="4"/>
  <c r="G394" i="4"/>
  <c r="F394" i="4"/>
  <c r="E394" i="4"/>
  <c r="D394" i="4"/>
  <c r="C394" i="4"/>
  <c r="B394" i="4"/>
  <c r="A394" i="4"/>
  <c r="J393" i="4"/>
  <c r="I393" i="4"/>
  <c r="H393" i="4"/>
  <c r="G393" i="4"/>
  <c r="F393" i="4"/>
  <c r="E393" i="4"/>
  <c r="D393" i="4"/>
  <c r="C393" i="4"/>
  <c r="B393" i="4"/>
  <c r="A393" i="4"/>
  <c r="J392" i="4"/>
  <c r="I392" i="4"/>
  <c r="H392" i="4"/>
  <c r="G392" i="4"/>
  <c r="F392" i="4"/>
  <c r="E392" i="4"/>
  <c r="D392" i="4"/>
  <c r="C392" i="4"/>
  <c r="B392" i="4"/>
  <c r="A392" i="4"/>
  <c r="J391" i="4"/>
  <c r="I391" i="4"/>
  <c r="H391" i="4"/>
  <c r="G391" i="4"/>
  <c r="F391" i="4"/>
  <c r="E391" i="4"/>
  <c r="D391" i="4"/>
  <c r="C391" i="4"/>
  <c r="B391" i="4"/>
  <c r="A391" i="4"/>
  <c r="J390" i="4"/>
  <c r="I390" i="4"/>
  <c r="H390" i="4"/>
  <c r="G390" i="4"/>
  <c r="F390" i="4"/>
  <c r="E390" i="4"/>
  <c r="D390" i="4"/>
  <c r="C390" i="4"/>
  <c r="B390" i="4"/>
  <c r="A390" i="4"/>
  <c r="J389" i="4"/>
  <c r="I389" i="4"/>
  <c r="H389" i="4"/>
  <c r="G389" i="4"/>
  <c r="F389" i="4"/>
  <c r="E389" i="4"/>
  <c r="D389" i="4"/>
  <c r="C389" i="4"/>
  <c r="B389" i="4"/>
  <c r="A389" i="4"/>
  <c r="J388" i="4"/>
  <c r="I388" i="4"/>
  <c r="H388" i="4"/>
  <c r="G388" i="4"/>
  <c r="F388" i="4"/>
  <c r="E388" i="4"/>
  <c r="D388" i="4"/>
  <c r="C388" i="4"/>
  <c r="B388" i="4"/>
  <c r="A388" i="4"/>
  <c r="J387" i="4"/>
  <c r="I387" i="4"/>
  <c r="H387" i="4"/>
  <c r="G387" i="4"/>
  <c r="F387" i="4"/>
  <c r="E387" i="4"/>
  <c r="D387" i="4"/>
  <c r="C387" i="4"/>
  <c r="B387" i="4"/>
  <c r="A387" i="4"/>
  <c r="J386" i="4"/>
  <c r="I386" i="4"/>
  <c r="H386" i="4"/>
  <c r="G386" i="4"/>
  <c r="F386" i="4"/>
  <c r="E386" i="4"/>
  <c r="D386" i="4"/>
  <c r="C386" i="4"/>
  <c r="B386" i="4"/>
  <c r="A386" i="4"/>
  <c r="J385" i="4"/>
  <c r="I385" i="4"/>
  <c r="H385" i="4"/>
  <c r="G385" i="4"/>
  <c r="F385" i="4"/>
  <c r="E385" i="4"/>
  <c r="D385" i="4"/>
  <c r="C385" i="4"/>
  <c r="B385" i="4"/>
  <c r="A385" i="4"/>
  <c r="J384" i="4"/>
  <c r="I384" i="4"/>
  <c r="H384" i="4"/>
  <c r="G384" i="4"/>
  <c r="F384" i="4"/>
  <c r="E384" i="4"/>
  <c r="D384" i="4"/>
  <c r="C384" i="4"/>
  <c r="B384" i="4"/>
  <c r="A384" i="4"/>
  <c r="J383" i="4"/>
  <c r="I383" i="4"/>
  <c r="H383" i="4"/>
  <c r="G383" i="4"/>
  <c r="F383" i="4"/>
  <c r="E383" i="4"/>
  <c r="D383" i="4"/>
  <c r="C383" i="4"/>
  <c r="B383" i="4"/>
  <c r="A383" i="4"/>
  <c r="J382" i="4"/>
  <c r="I382" i="4"/>
  <c r="H382" i="4"/>
  <c r="G382" i="4"/>
  <c r="F382" i="4"/>
  <c r="E382" i="4"/>
  <c r="D382" i="4"/>
  <c r="C382" i="4"/>
  <c r="B382" i="4"/>
  <c r="A382" i="4"/>
  <c r="J381" i="4"/>
  <c r="I381" i="4"/>
  <c r="H381" i="4"/>
  <c r="G381" i="4"/>
  <c r="F381" i="4"/>
  <c r="E381" i="4"/>
  <c r="D381" i="4"/>
  <c r="C381" i="4"/>
  <c r="B381" i="4"/>
  <c r="A381" i="4"/>
  <c r="J380" i="4"/>
  <c r="I380" i="4"/>
  <c r="H380" i="4"/>
  <c r="G380" i="4"/>
  <c r="F380" i="4"/>
  <c r="E380" i="4"/>
  <c r="D380" i="4"/>
  <c r="C380" i="4"/>
  <c r="B380" i="4"/>
  <c r="A380" i="4"/>
  <c r="J379" i="4"/>
  <c r="I379" i="4"/>
  <c r="H379" i="4"/>
  <c r="G379" i="4"/>
  <c r="F379" i="4"/>
  <c r="E379" i="4"/>
  <c r="D379" i="4"/>
  <c r="C379" i="4"/>
  <c r="B379" i="4"/>
  <c r="A379" i="4"/>
  <c r="J378" i="4"/>
  <c r="I378" i="4"/>
  <c r="H378" i="4"/>
  <c r="G378" i="4"/>
  <c r="F378" i="4"/>
  <c r="E378" i="4"/>
  <c r="D378" i="4"/>
  <c r="C378" i="4"/>
  <c r="B378" i="4"/>
  <c r="A378" i="4"/>
  <c r="J377" i="4"/>
  <c r="I377" i="4"/>
  <c r="H377" i="4"/>
  <c r="G377" i="4"/>
  <c r="F377" i="4"/>
  <c r="E377" i="4"/>
  <c r="D377" i="4"/>
  <c r="C377" i="4"/>
  <c r="B377" i="4"/>
  <c r="A377" i="4"/>
  <c r="J376" i="4"/>
  <c r="I376" i="4"/>
  <c r="H376" i="4"/>
  <c r="G376" i="4"/>
  <c r="F376" i="4"/>
  <c r="E376" i="4"/>
  <c r="D376" i="4"/>
  <c r="C376" i="4"/>
  <c r="B376" i="4"/>
  <c r="A376" i="4"/>
  <c r="J375" i="4"/>
  <c r="I375" i="4"/>
  <c r="H375" i="4"/>
  <c r="G375" i="4"/>
  <c r="F375" i="4"/>
  <c r="E375" i="4"/>
  <c r="D375" i="4"/>
  <c r="C375" i="4"/>
  <c r="B375" i="4"/>
  <c r="A375" i="4"/>
  <c r="J374" i="4"/>
  <c r="I374" i="4"/>
  <c r="H374" i="4"/>
  <c r="G374" i="4"/>
  <c r="F374" i="4"/>
  <c r="E374" i="4"/>
  <c r="D374" i="4"/>
  <c r="C374" i="4"/>
  <c r="B374" i="4"/>
  <c r="A374" i="4"/>
  <c r="J373" i="4"/>
  <c r="I373" i="4"/>
  <c r="H373" i="4"/>
  <c r="G373" i="4"/>
  <c r="F373" i="4"/>
  <c r="E373" i="4"/>
  <c r="D373" i="4"/>
  <c r="C373" i="4"/>
  <c r="B373" i="4"/>
  <c r="A373" i="4"/>
  <c r="J372" i="4"/>
  <c r="I372" i="4"/>
  <c r="H372" i="4"/>
  <c r="G372" i="4"/>
  <c r="F372" i="4"/>
  <c r="E372" i="4"/>
  <c r="D372" i="4"/>
  <c r="C372" i="4"/>
  <c r="B372" i="4"/>
  <c r="A372" i="4"/>
  <c r="J371" i="4"/>
  <c r="I371" i="4"/>
  <c r="H371" i="4"/>
  <c r="G371" i="4"/>
  <c r="F371" i="4"/>
  <c r="E371" i="4"/>
  <c r="D371" i="4"/>
  <c r="C371" i="4"/>
  <c r="B371" i="4"/>
  <c r="A371" i="4"/>
  <c r="J370" i="4"/>
  <c r="I370" i="4"/>
  <c r="H370" i="4"/>
  <c r="G370" i="4"/>
  <c r="F370" i="4"/>
  <c r="E370" i="4"/>
  <c r="D370" i="4"/>
  <c r="C370" i="4"/>
  <c r="B370" i="4"/>
  <c r="A370" i="4"/>
  <c r="J369" i="4"/>
  <c r="I369" i="4"/>
  <c r="H369" i="4"/>
  <c r="G369" i="4"/>
  <c r="F369" i="4"/>
  <c r="E369" i="4"/>
  <c r="D369" i="4"/>
  <c r="C369" i="4"/>
  <c r="B369" i="4"/>
  <c r="A369" i="4"/>
  <c r="J368" i="4"/>
  <c r="I368" i="4"/>
  <c r="H368" i="4"/>
  <c r="G368" i="4"/>
  <c r="F368" i="4"/>
  <c r="E368" i="4"/>
  <c r="D368" i="4"/>
  <c r="C368" i="4"/>
  <c r="B368" i="4"/>
  <c r="A368" i="4"/>
  <c r="J367" i="4"/>
  <c r="I367" i="4"/>
  <c r="H367" i="4"/>
  <c r="G367" i="4"/>
  <c r="F367" i="4"/>
  <c r="E367" i="4"/>
  <c r="D367" i="4"/>
  <c r="C367" i="4"/>
  <c r="B367" i="4"/>
  <c r="A367" i="4"/>
  <c r="J366" i="4"/>
  <c r="I366" i="4"/>
  <c r="H366" i="4"/>
  <c r="G366" i="4"/>
  <c r="F366" i="4"/>
  <c r="E366" i="4"/>
  <c r="D366" i="4"/>
  <c r="C366" i="4"/>
  <c r="B366" i="4"/>
  <c r="A366" i="4"/>
  <c r="J365" i="4"/>
  <c r="I365" i="4"/>
  <c r="H365" i="4"/>
  <c r="G365" i="4"/>
  <c r="F365" i="4"/>
  <c r="E365" i="4"/>
  <c r="D365" i="4"/>
  <c r="C365" i="4"/>
  <c r="B365" i="4"/>
  <c r="A365" i="4"/>
  <c r="J364" i="4"/>
  <c r="I364" i="4"/>
  <c r="H364" i="4"/>
  <c r="G364" i="4"/>
  <c r="F364" i="4"/>
  <c r="E364" i="4"/>
  <c r="D364" i="4"/>
  <c r="C364" i="4"/>
  <c r="B364" i="4"/>
  <c r="A364" i="4"/>
  <c r="J363" i="4"/>
  <c r="I363" i="4"/>
  <c r="H363" i="4"/>
  <c r="G363" i="4"/>
  <c r="F363" i="4"/>
  <c r="E363" i="4"/>
  <c r="D363" i="4"/>
  <c r="C363" i="4"/>
  <c r="B363" i="4"/>
  <c r="A363" i="4"/>
  <c r="J362" i="4"/>
  <c r="I362" i="4"/>
  <c r="H362" i="4"/>
  <c r="G362" i="4"/>
  <c r="F362" i="4"/>
  <c r="E362" i="4"/>
  <c r="D362" i="4"/>
  <c r="C362" i="4"/>
  <c r="B362" i="4"/>
  <c r="A362" i="4"/>
  <c r="J361" i="4"/>
  <c r="I361" i="4"/>
  <c r="H361" i="4"/>
  <c r="G361" i="4"/>
  <c r="F361" i="4"/>
  <c r="E361" i="4"/>
  <c r="D361" i="4"/>
  <c r="C361" i="4"/>
  <c r="B361" i="4"/>
  <c r="A361" i="4"/>
  <c r="J360" i="4"/>
  <c r="I360" i="4"/>
  <c r="H360" i="4"/>
  <c r="G360" i="4"/>
  <c r="F360" i="4"/>
  <c r="E360" i="4"/>
  <c r="D360" i="4"/>
  <c r="C360" i="4"/>
  <c r="B360" i="4"/>
  <c r="A360" i="4"/>
  <c r="J359" i="4"/>
  <c r="I359" i="4"/>
  <c r="H359" i="4"/>
  <c r="G359" i="4"/>
  <c r="F359" i="4"/>
  <c r="E359" i="4"/>
  <c r="D359" i="4"/>
  <c r="C359" i="4"/>
  <c r="B359" i="4"/>
  <c r="A359" i="4"/>
  <c r="J358" i="4"/>
  <c r="I358" i="4"/>
  <c r="H358" i="4"/>
  <c r="G358" i="4"/>
  <c r="F358" i="4"/>
  <c r="E358" i="4"/>
  <c r="D358" i="4"/>
  <c r="C358" i="4"/>
  <c r="B358" i="4"/>
  <c r="A358" i="4"/>
  <c r="J357" i="4"/>
  <c r="I357" i="4"/>
  <c r="H357" i="4"/>
  <c r="G357" i="4"/>
  <c r="F357" i="4"/>
  <c r="E357" i="4"/>
  <c r="D357" i="4"/>
  <c r="C357" i="4"/>
  <c r="B357" i="4"/>
  <c r="A357" i="4"/>
  <c r="J356" i="4"/>
  <c r="I356" i="4"/>
  <c r="H356" i="4"/>
  <c r="G356" i="4"/>
  <c r="F356" i="4"/>
  <c r="E356" i="4"/>
  <c r="D356" i="4"/>
  <c r="C356" i="4"/>
  <c r="B356" i="4"/>
  <c r="A356" i="4"/>
  <c r="J355" i="4"/>
  <c r="I355" i="4"/>
  <c r="H355" i="4"/>
  <c r="G355" i="4"/>
  <c r="F355" i="4"/>
  <c r="E355" i="4"/>
  <c r="D355" i="4"/>
  <c r="C355" i="4"/>
  <c r="B355" i="4"/>
  <c r="A355" i="4"/>
  <c r="J354" i="4"/>
  <c r="I354" i="4"/>
  <c r="H354" i="4"/>
  <c r="G354" i="4"/>
  <c r="F354" i="4"/>
  <c r="E354" i="4"/>
  <c r="D354" i="4"/>
  <c r="C354" i="4"/>
  <c r="B354" i="4"/>
  <c r="A354" i="4"/>
  <c r="J353" i="4"/>
  <c r="I353" i="4"/>
  <c r="H353" i="4"/>
  <c r="G353" i="4"/>
  <c r="F353" i="4"/>
  <c r="E353" i="4"/>
  <c r="D353" i="4"/>
  <c r="C353" i="4"/>
  <c r="B353" i="4"/>
  <c r="A353" i="4"/>
  <c r="J352" i="4"/>
  <c r="I352" i="4"/>
  <c r="H352" i="4"/>
  <c r="G352" i="4"/>
  <c r="F352" i="4"/>
  <c r="E352" i="4"/>
  <c r="D352" i="4"/>
  <c r="C352" i="4"/>
  <c r="B352" i="4"/>
  <c r="A352" i="4"/>
  <c r="J351" i="4"/>
  <c r="I351" i="4"/>
  <c r="H351" i="4"/>
  <c r="G351" i="4"/>
  <c r="F351" i="4"/>
  <c r="E351" i="4"/>
  <c r="D351" i="4"/>
  <c r="C351" i="4"/>
  <c r="B351" i="4"/>
  <c r="A351" i="4"/>
  <c r="J350" i="4"/>
  <c r="I350" i="4"/>
  <c r="H350" i="4"/>
  <c r="G350" i="4"/>
  <c r="F350" i="4"/>
  <c r="E350" i="4"/>
  <c r="D350" i="4"/>
  <c r="C350" i="4"/>
  <c r="B350" i="4"/>
  <c r="A350" i="4"/>
  <c r="J349" i="4"/>
  <c r="I349" i="4"/>
  <c r="H349" i="4"/>
  <c r="G349" i="4"/>
  <c r="F349" i="4"/>
  <c r="E349" i="4"/>
  <c r="D349" i="4"/>
  <c r="C349" i="4"/>
  <c r="B349" i="4"/>
  <c r="A349" i="4"/>
  <c r="J348" i="4"/>
  <c r="I348" i="4"/>
  <c r="H348" i="4"/>
  <c r="G348" i="4"/>
  <c r="F348" i="4"/>
  <c r="E348" i="4"/>
  <c r="D348" i="4"/>
  <c r="C348" i="4"/>
  <c r="B348" i="4"/>
  <c r="A348" i="4"/>
  <c r="J347" i="4"/>
  <c r="I347" i="4"/>
  <c r="H347" i="4"/>
  <c r="G347" i="4"/>
  <c r="F347" i="4"/>
  <c r="E347" i="4"/>
  <c r="D347" i="4"/>
  <c r="C347" i="4"/>
  <c r="B347" i="4"/>
  <c r="A347" i="4"/>
  <c r="J346" i="4"/>
  <c r="I346" i="4"/>
  <c r="H346" i="4"/>
  <c r="G346" i="4"/>
  <c r="F346" i="4"/>
  <c r="E346" i="4"/>
  <c r="D346" i="4"/>
  <c r="C346" i="4"/>
  <c r="B346" i="4"/>
  <c r="A346" i="4"/>
  <c r="J345" i="4"/>
  <c r="I345" i="4"/>
  <c r="H345" i="4"/>
  <c r="G345" i="4"/>
  <c r="F345" i="4"/>
  <c r="E345" i="4"/>
  <c r="D345" i="4"/>
  <c r="C345" i="4"/>
  <c r="B345" i="4"/>
  <c r="A345" i="4"/>
  <c r="J344" i="4"/>
  <c r="I344" i="4"/>
  <c r="H344" i="4"/>
  <c r="G344" i="4"/>
  <c r="F344" i="4"/>
  <c r="E344" i="4"/>
  <c r="D344" i="4"/>
  <c r="C344" i="4"/>
  <c r="B344" i="4"/>
  <c r="A344" i="4"/>
  <c r="J343" i="4"/>
  <c r="I343" i="4"/>
  <c r="H343" i="4"/>
  <c r="G343" i="4"/>
  <c r="F343" i="4"/>
  <c r="E343" i="4"/>
  <c r="D343" i="4"/>
  <c r="C343" i="4"/>
  <c r="B343" i="4"/>
  <c r="A343" i="4"/>
  <c r="J342" i="4"/>
  <c r="I342" i="4"/>
  <c r="H342" i="4"/>
  <c r="G342" i="4"/>
  <c r="F342" i="4"/>
  <c r="E342" i="4"/>
  <c r="D342" i="4"/>
  <c r="C342" i="4"/>
  <c r="B342" i="4"/>
  <c r="A342" i="4"/>
  <c r="J341" i="4"/>
  <c r="I341" i="4"/>
  <c r="H341" i="4"/>
  <c r="G341" i="4"/>
  <c r="F341" i="4"/>
  <c r="E341" i="4"/>
  <c r="D341" i="4"/>
  <c r="C341" i="4"/>
  <c r="B341" i="4"/>
  <c r="A341" i="4"/>
  <c r="J340" i="4"/>
  <c r="I340" i="4"/>
  <c r="H340" i="4"/>
  <c r="G340" i="4"/>
  <c r="F340" i="4"/>
  <c r="E340" i="4"/>
  <c r="D340" i="4"/>
  <c r="C340" i="4"/>
  <c r="B340" i="4"/>
  <c r="A340" i="4"/>
  <c r="J339" i="4"/>
  <c r="I339" i="4"/>
  <c r="H339" i="4"/>
  <c r="G339" i="4"/>
  <c r="F339" i="4"/>
  <c r="E339" i="4"/>
  <c r="D339" i="4"/>
  <c r="C339" i="4"/>
  <c r="B339" i="4"/>
  <c r="A339" i="4"/>
  <c r="J338" i="4"/>
  <c r="I338" i="4"/>
  <c r="H338" i="4"/>
  <c r="G338" i="4"/>
  <c r="F338" i="4"/>
  <c r="E338" i="4"/>
  <c r="D338" i="4"/>
  <c r="C338" i="4"/>
  <c r="B338" i="4"/>
  <c r="A338" i="4"/>
  <c r="J337" i="4"/>
  <c r="I337" i="4"/>
  <c r="H337" i="4"/>
  <c r="G337" i="4"/>
  <c r="F337" i="4"/>
  <c r="E337" i="4"/>
  <c r="D337" i="4"/>
  <c r="C337" i="4"/>
  <c r="B337" i="4"/>
  <c r="A337" i="4"/>
  <c r="J336" i="4"/>
  <c r="I336" i="4"/>
  <c r="H336" i="4"/>
  <c r="G336" i="4"/>
  <c r="F336" i="4"/>
  <c r="E336" i="4"/>
  <c r="D336" i="4"/>
  <c r="C336" i="4"/>
  <c r="B336" i="4"/>
  <c r="A336" i="4"/>
  <c r="J335" i="4"/>
  <c r="I335" i="4"/>
  <c r="H335" i="4"/>
  <c r="G335" i="4"/>
  <c r="F335" i="4"/>
  <c r="E335" i="4"/>
  <c r="D335" i="4"/>
  <c r="C335" i="4"/>
  <c r="B335" i="4"/>
  <c r="A335" i="4"/>
  <c r="J334" i="4"/>
  <c r="I334" i="4"/>
  <c r="H334" i="4"/>
  <c r="G334" i="4"/>
  <c r="F334" i="4"/>
  <c r="E334" i="4"/>
  <c r="D334" i="4"/>
  <c r="C334" i="4"/>
  <c r="B334" i="4"/>
  <c r="A334" i="4"/>
  <c r="J333" i="4"/>
  <c r="I333" i="4"/>
  <c r="H333" i="4"/>
  <c r="G333" i="4"/>
  <c r="F333" i="4"/>
  <c r="E333" i="4"/>
  <c r="D333" i="4"/>
  <c r="C333" i="4"/>
  <c r="B333" i="4"/>
  <c r="A333" i="4"/>
  <c r="J332" i="4"/>
  <c r="I332" i="4"/>
  <c r="H332" i="4"/>
  <c r="G332" i="4"/>
  <c r="F332" i="4"/>
  <c r="E332" i="4"/>
  <c r="D332" i="4"/>
  <c r="C332" i="4"/>
  <c r="B332" i="4"/>
  <c r="A332" i="4"/>
  <c r="J331" i="4"/>
  <c r="I331" i="4"/>
  <c r="H331" i="4"/>
  <c r="G331" i="4"/>
  <c r="F331" i="4"/>
  <c r="E331" i="4"/>
  <c r="D331" i="4"/>
  <c r="C331" i="4"/>
  <c r="B331" i="4"/>
  <c r="A331" i="4"/>
  <c r="J330" i="4"/>
  <c r="I330" i="4"/>
  <c r="H330" i="4"/>
  <c r="G330" i="4"/>
  <c r="F330" i="4"/>
  <c r="E330" i="4"/>
  <c r="D330" i="4"/>
  <c r="C330" i="4"/>
  <c r="B330" i="4"/>
  <c r="A330" i="4"/>
  <c r="J329" i="4"/>
  <c r="I329" i="4"/>
  <c r="H329" i="4"/>
  <c r="G329" i="4"/>
  <c r="F329" i="4"/>
  <c r="E329" i="4"/>
  <c r="D329" i="4"/>
  <c r="C329" i="4"/>
  <c r="B329" i="4"/>
  <c r="A329" i="4"/>
  <c r="J328" i="4"/>
  <c r="I328" i="4"/>
  <c r="H328" i="4"/>
  <c r="G328" i="4"/>
  <c r="F328" i="4"/>
  <c r="E328" i="4"/>
  <c r="D328" i="4"/>
  <c r="C328" i="4"/>
  <c r="B328" i="4"/>
  <c r="A328" i="4"/>
  <c r="J327" i="4"/>
  <c r="I327" i="4"/>
  <c r="H327" i="4"/>
  <c r="G327" i="4"/>
  <c r="F327" i="4"/>
  <c r="E327" i="4"/>
  <c r="D327" i="4"/>
  <c r="C327" i="4"/>
  <c r="B327" i="4"/>
  <c r="A327" i="4"/>
  <c r="J326" i="4"/>
  <c r="I326" i="4"/>
  <c r="H326" i="4"/>
  <c r="G326" i="4"/>
  <c r="F326" i="4"/>
  <c r="E326" i="4"/>
  <c r="D326" i="4"/>
  <c r="C326" i="4"/>
  <c r="B326" i="4"/>
  <c r="A326" i="4"/>
  <c r="J325" i="4"/>
  <c r="I325" i="4"/>
  <c r="H325" i="4"/>
  <c r="G325" i="4"/>
  <c r="F325" i="4"/>
  <c r="E325" i="4"/>
  <c r="D325" i="4"/>
  <c r="C325" i="4"/>
  <c r="B325" i="4"/>
  <c r="A325" i="4"/>
  <c r="J324" i="4"/>
  <c r="I324" i="4"/>
  <c r="H324" i="4"/>
  <c r="G324" i="4"/>
  <c r="F324" i="4"/>
  <c r="E324" i="4"/>
  <c r="D324" i="4"/>
  <c r="C324" i="4"/>
  <c r="B324" i="4"/>
  <c r="A324" i="4"/>
  <c r="J323" i="4"/>
  <c r="I323" i="4"/>
  <c r="H323" i="4"/>
  <c r="G323" i="4"/>
  <c r="F323" i="4"/>
  <c r="E323" i="4"/>
  <c r="D323" i="4"/>
  <c r="C323" i="4"/>
  <c r="B323" i="4"/>
  <c r="A323" i="4"/>
  <c r="J322" i="4"/>
  <c r="I322" i="4"/>
  <c r="H322" i="4"/>
  <c r="G322" i="4"/>
  <c r="F322" i="4"/>
  <c r="E322" i="4"/>
  <c r="D322" i="4"/>
  <c r="C322" i="4"/>
  <c r="B322" i="4"/>
  <c r="A322" i="4"/>
  <c r="J321" i="4"/>
  <c r="I321" i="4"/>
  <c r="H321" i="4"/>
  <c r="G321" i="4"/>
  <c r="F321" i="4"/>
  <c r="E321" i="4"/>
  <c r="D321" i="4"/>
  <c r="C321" i="4"/>
  <c r="B321" i="4"/>
  <c r="A321" i="4"/>
  <c r="J320" i="4"/>
  <c r="I320" i="4"/>
  <c r="H320" i="4"/>
  <c r="G320" i="4"/>
  <c r="F320" i="4"/>
  <c r="E320" i="4"/>
  <c r="D320" i="4"/>
  <c r="C320" i="4"/>
  <c r="B320" i="4"/>
  <c r="A320" i="4"/>
  <c r="J319" i="4"/>
  <c r="I319" i="4"/>
  <c r="H319" i="4"/>
  <c r="G319" i="4"/>
  <c r="F319" i="4"/>
  <c r="E319" i="4"/>
  <c r="D319" i="4"/>
  <c r="C319" i="4"/>
  <c r="B319" i="4"/>
  <c r="A319" i="4"/>
  <c r="J318" i="4"/>
  <c r="I318" i="4"/>
  <c r="H318" i="4"/>
  <c r="G318" i="4"/>
  <c r="F318" i="4"/>
  <c r="E318" i="4"/>
  <c r="D318" i="4"/>
  <c r="C318" i="4"/>
  <c r="B318" i="4"/>
  <c r="A318" i="4"/>
  <c r="J317" i="4"/>
  <c r="I317" i="4"/>
  <c r="H317" i="4"/>
  <c r="G317" i="4"/>
  <c r="F317" i="4"/>
  <c r="E317" i="4"/>
  <c r="D317" i="4"/>
  <c r="C317" i="4"/>
  <c r="B317" i="4"/>
  <c r="A317" i="4"/>
  <c r="J316" i="4"/>
  <c r="I316" i="4"/>
  <c r="H316" i="4"/>
  <c r="G316" i="4"/>
  <c r="F316" i="4"/>
  <c r="E316" i="4"/>
  <c r="D316" i="4"/>
  <c r="C316" i="4"/>
  <c r="B316" i="4"/>
  <c r="A316" i="4"/>
  <c r="J315" i="4"/>
  <c r="I315" i="4"/>
  <c r="H315" i="4"/>
  <c r="G315" i="4"/>
  <c r="F315" i="4"/>
  <c r="E315" i="4"/>
  <c r="D315" i="4"/>
  <c r="C315" i="4"/>
  <c r="B315" i="4"/>
  <c r="A315" i="4"/>
  <c r="J314" i="4"/>
  <c r="I314" i="4"/>
  <c r="H314" i="4"/>
  <c r="G314" i="4"/>
  <c r="F314" i="4"/>
  <c r="E314" i="4"/>
  <c r="D314" i="4"/>
  <c r="C314" i="4"/>
  <c r="B314" i="4"/>
  <c r="A314" i="4"/>
  <c r="J313" i="4"/>
  <c r="I313" i="4"/>
  <c r="H313" i="4"/>
  <c r="G313" i="4"/>
  <c r="F313" i="4"/>
  <c r="E313" i="4"/>
  <c r="D313" i="4"/>
  <c r="C313" i="4"/>
  <c r="B313" i="4"/>
  <c r="A313" i="4"/>
  <c r="J312" i="4"/>
  <c r="I312" i="4"/>
  <c r="H312" i="4"/>
  <c r="G312" i="4"/>
  <c r="F312" i="4"/>
  <c r="E312" i="4"/>
  <c r="D312" i="4"/>
  <c r="C312" i="4"/>
  <c r="B312" i="4"/>
  <c r="A312" i="4"/>
  <c r="J311" i="4"/>
  <c r="I311" i="4"/>
  <c r="H311" i="4"/>
  <c r="G311" i="4"/>
  <c r="F311" i="4"/>
  <c r="E311" i="4"/>
  <c r="D311" i="4"/>
  <c r="C311" i="4"/>
  <c r="B311" i="4"/>
  <c r="A311" i="4"/>
  <c r="J310" i="4"/>
  <c r="I310" i="4"/>
  <c r="H310" i="4"/>
  <c r="G310" i="4"/>
  <c r="F310" i="4"/>
  <c r="E310" i="4"/>
  <c r="D310" i="4"/>
  <c r="C310" i="4"/>
  <c r="B310" i="4"/>
  <c r="A310" i="4"/>
  <c r="J309" i="4"/>
  <c r="I309" i="4"/>
  <c r="H309" i="4"/>
  <c r="G309" i="4"/>
  <c r="F309" i="4"/>
  <c r="E309" i="4"/>
  <c r="D309" i="4"/>
  <c r="C309" i="4"/>
  <c r="B309" i="4"/>
  <c r="A309" i="4"/>
  <c r="J308" i="4"/>
  <c r="I308" i="4"/>
  <c r="H308" i="4"/>
  <c r="G308" i="4"/>
  <c r="F308" i="4"/>
  <c r="E308" i="4"/>
  <c r="D308" i="4"/>
  <c r="C308" i="4"/>
  <c r="B308" i="4"/>
  <c r="A308" i="4"/>
  <c r="J307" i="4"/>
  <c r="I307" i="4"/>
  <c r="H307" i="4"/>
  <c r="G307" i="4"/>
  <c r="F307" i="4"/>
  <c r="E307" i="4"/>
  <c r="D307" i="4"/>
  <c r="C307" i="4"/>
  <c r="B307" i="4"/>
  <c r="A307" i="4"/>
  <c r="J306" i="4"/>
  <c r="I306" i="4"/>
  <c r="H306" i="4"/>
  <c r="G306" i="4"/>
  <c r="F306" i="4"/>
  <c r="E306" i="4"/>
  <c r="D306" i="4"/>
  <c r="C306" i="4"/>
  <c r="B306" i="4"/>
  <c r="A306" i="4"/>
  <c r="J305" i="4"/>
  <c r="I305" i="4"/>
  <c r="H305" i="4"/>
  <c r="G305" i="4"/>
  <c r="F305" i="4"/>
  <c r="E305" i="4"/>
  <c r="D305" i="4"/>
  <c r="C305" i="4"/>
  <c r="B305" i="4"/>
  <c r="A305" i="4"/>
  <c r="J304" i="4"/>
  <c r="I304" i="4"/>
  <c r="H304" i="4"/>
  <c r="G304" i="4"/>
  <c r="F304" i="4"/>
  <c r="E304" i="4"/>
  <c r="D304" i="4"/>
  <c r="C304" i="4"/>
  <c r="B304" i="4"/>
  <c r="A304" i="4"/>
  <c r="J303" i="4"/>
  <c r="I303" i="4"/>
  <c r="H303" i="4"/>
  <c r="G303" i="4"/>
  <c r="F303" i="4"/>
  <c r="E303" i="4"/>
  <c r="D303" i="4"/>
  <c r="C303" i="4"/>
  <c r="B303" i="4"/>
  <c r="A303" i="4"/>
  <c r="J302" i="4"/>
  <c r="I302" i="4"/>
  <c r="H302" i="4"/>
  <c r="G302" i="4"/>
  <c r="F302" i="4"/>
  <c r="E302" i="4"/>
  <c r="D302" i="4"/>
  <c r="C302" i="4"/>
  <c r="B302" i="4"/>
  <c r="A302" i="4"/>
  <c r="J301" i="4"/>
  <c r="I301" i="4"/>
  <c r="H301" i="4"/>
  <c r="G301" i="4"/>
  <c r="F301" i="4"/>
  <c r="E301" i="4"/>
  <c r="D301" i="4"/>
  <c r="C301" i="4"/>
  <c r="B301" i="4"/>
  <c r="A301" i="4"/>
  <c r="J300" i="4"/>
  <c r="I300" i="4"/>
  <c r="H300" i="4"/>
  <c r="G300" i="4"/>
  <c r="F300" i="4"/>
  <c r="E300" i="4"/>
  <c r="D300" i="4"/>
  <c r="C300" i="4"/>
  <c r="B300" i="4"/>
  <c r="A300" i="4"/>
  <c r="J299" i="4"/>
  <c r="I299" i="4"/>
  <c r="H299" i="4"/>
  <c r="G299" i="4"/>
  <c r="F299" i="4"/>
  <c r="E299" i="4"/>
  <c r="D299" i="4"/>
  <c r="C299" i="4"/>
  <c r="B299" i="4"/>
  <c r="A299" i="4"/>
  <c r="J298" i="4"/>
  <c r="I298" i="4"/>
  <c r="H298" i="4"/>
  <c r="G298" i="4"/>
  <c r="F298" i="4"/>
  <c r="E298" i="4"/>
  <c r="D298" i="4"/>
  <c r="C298" i="4"/>
  <c r="B298" i="4"/>
  <c r="A298" i="4"/>
  <c r="J297" i="4"/>
  <c r="I297" i="4"/>
  <c r="H297" i="4"/>
  <c r="G297" i="4"/>
  <c r="F297" i="4"/>
  <c r="E297" i="4"/>
  <c r="D297" i="4"/>
  <c r="C297" i="4"/>
  <c r="B297" i="4"/>
  <c r="A297" i="4"/>
  <c r="J296" i="4"/>
  <c r="I296" i="4"/>
  <c r="H296" i="4"/>
  <c r="G296" i="4"/>
  <c r="F296" i="4"/>
  <c r="E296" i="4"/>
  <c r="D296" i="4"/>
  <c r="C296" i="4"/>
  <c r="B296" i="4"/>
  <c r="A296" i="4"/>
  <c r="J295" i="4"/>
  <c r="I295" i="4"/>
  <c r="H295" i="4"/>
  <c r="G295" i="4"/>
  <c r="F295" i="4"/>
  <c r="E295" i="4"/>
  <c r="D295" i="4"/>
  <c r="C295" i="4"/>
  <c r="B295" i="4"/>
  <c r="A295" i="4"/>
  <c r="J294" i="4"/>
  <c r="I294" i="4"/>
  <c r="H294" i="4"/>
  <c r="G294" i="4"/>
  <c r="F294" i="4"/>
  <c r="E294" i="4"/>
  <c r="D294" i="4"/>
  <c r="C294" i="4"/>
  <c r="B294" i="4"/>
  <c r="A294" i="4"/>
  <c r="J293" i="4"/>
  <c r="I293" i="4"/>
  <c r="H293" i="4"/>
  <c r="G293" i="4"/>
  <c r="F293" i="4"/>
  <c r="E293" i="4"/>
  <c r="D293" i="4"/>
  <c r="C293" i="4"/>
  <c r="B293" i="4"/>
  <c r="A293" i="4"/>
  <c r="J292" i="4"/>
  <c r="I292" i="4"/>
  <c r="H292" i="4"/>
  <c r="G292" i="4"/>
  <c r="F292" i="4"/>
  <c r="E292" i="4"/>
  <c r="D292" i="4"/>
  <c r="C292" i="4"/>
  <c r="B292" i="4"/>
  <c r="A292" i="4"/>
  <c r="J291" i="4"/>
  <c r="I291" i="4"/>
  <c r="H291" i="4"/>
  <c r="G291" i="4"/>
  <c r="F291" i="4"/>
  <c r="E291" i="4"/>
  <c r="D291" i="4"/>
  <c r="C291" i="4"/>
  <c r="B291" i="4"/>
  <c r="A291" i="4"/>
  <c r="J290" i="4"/>
  <c r="I290" i="4"/>
  <c r="H290" i="4"/>
  <c r="G290" i="4"/>
  <c r="F290" i="4"/>
  <c r="E290" i="4"/>
  <c r="D290" i="4"/>
  <c r="C290" i="4"/>
  <c r="B290" i="4"/>
  <c r="A290" i="4"/>
  <c r="J289" i="4"/>
  <c r="I289" i="4"/>
  <c r="H289" i="4"/>
  <c r="G289" i="4"/>
  <c r="F289" i="4"/>
  <c r="E289" i="4"/>
  <c r="D289" i="4"/>
  <c r="C289" i="4"/>
  <c r="B289" i="4"/>
  <c r="A289" i="4"/>
  <c r="J288" i="4"/>
  <c r="I288" i="4"/>
  <c r="H288" i="4"/>
  <c r="G288" i="4"/>
  <c r="F288" i="4"/>
  <c r="E288" i="4"/>
  <c r="D288" i="4"/>
  <c r="C288" i="4"/>
  <c r="B288" i="4"/>
  <c r="A288" i="4"/>
  <c r="J287" i="4"/>
  <c r="I287" i="4"/>
  <c r="H287" i="4"/>
  <c r="G287" i="4"/>
  <c r="F287" i="4"/>
  <c r="E287" i="4"/>
  <c r="D287" i="4"/>
  <c r="C287" i="4"/>
  <c r="B287" i="4"/>
  <c r="A287" i="4"/>
  <c r="J286" i="4"/>
  <c r="I286" i="4"/>
  <c r="H286" i="4"/>
  <c r="G286" i="4"/>
  <c r="F286" i="4"/>
  <c r="E286" i="4"/>
  <c r="D286" i="4"/>
  <c r="C286" i="4"/>
  <c r="B286" i="4"/>
  <c r="A286" i="4"/>
  <c r="J285" i="4"/>
  <c r="I285" i="4"/>
  <c r="H285" i="4"/>
  <c r="G285" i="4"/>
  <c r="F285" i="4"/>
  <c r="E285" i="4"/>
  <c r="D285" i="4"/>
  <c r="C285" i="4"/>
  <c r="B285" i="4"/>
  <c r="A285" i="4"/>
  <c r="J284" i="4"/>
  <c r="I284" i="4"/>
  <c r="H284" i="4"/>
  <c r="G284" i="4"/>
  <c r="F284" i="4"/>
  <c r="E284" i="4"/>
  <c r="D284" i="4"/>
  <c r="C284" i="4"/>
  <c r="B284" i="4"/>
  <c r="A284" i="4"/>
  <c r="J283" i="4"/>
  <c r="I283" i="4"/>
  <c r="H283" i="4"/>
  <c r="G283" i="4"/>
  <c r="F283" i="4"/>
  <c r="E283" i="4"/>
  <c r="D283" i="4"/>
  <c r="C283" i="4"/>
  <c r="B283" i="4"/>
  <c r="A283" i="4"/>
  <c r="J282" i="4"/>
  <c r="I282" i="4"/>
  <c r="H282" i="4"/>
  <c r="G282" i="4"/>
  <c r="F282" i="4"/>
  <c r="E282" i="4"/>
  <c r="D282" i="4"/>
  <c r="C282" i="4"/>
  <c r="B282" i="4"/>
  <c r="A282" i="4"/>
  <c r="J281" i="4"/>
  <c r="I281" i="4"/>
  <c r="H281" i="4"/>
  <c r="G281" i="4"/>
  <c r="F281" i="4"/>
  <c r="E281" i="4"/>
  <c r="D281" i="4"/>
  <c r="C281" i="4"/>
  <c r="B281" i="4"/>
  <c r="A281" i="4"/>
  <c r="J280" i="4"/>
  <c r="I280" i="4"/>
  <c r="H280" i="4"/>
  <c r="G280" i="4"/>
  <c r="F280" i="4"/>
  <c r="E280" i="4"/>
  <c r="D280" i="4"/>
  <c r="C280" i="4"/>
  <c r="B280" i="4"/>
  <c r="A280" i="4"/>
  <c r="J279" i="4"/>
  <c r="I279" i="4"/>
  <c r="H279" i="4"/>
  <c r="G279" i="4"/>
  <c r="F279" i="4"/>
  <c r="E279" i="4"/>
  <c r="D279" i="4"/>
  <c r="C279" i="4"/>
  <c r="B279" i="4"/>
  <c r="A279" i="4"/>
  <c r="J278" i="4"/>
  <c r="I278" i="4"/>
  <c r="H278" i="4"/>
  <c r="G278" i="4"/>
  <c r="F278" i="4"/>
  <c r="E278" i="4"/>
  <c r="D278" i="4"/>
  <c r="C278" i="4"/>
  <c r="B278" i="4"/>
  <c r="A278" i="4"/>
  <c r="J277" i="4"/>
  <c r="I277" i="4"/>
  <c r="H277" i="4"/>
  <c r="G277" i="4"/>
  <c r="F277" i="4"/>
  <c r="E277" i="4"/>
  <c r="D277" i="4"/>
  <c r="C277" i="4"/>
  <c r="B277" i="4"/>
  <c r="A277" i="4"/>
  <c r="J276" i="4"/>
  <c r="I276" i="4"/>
  <c r="H276" i="4"/>
  <c r="G276" i="4"/>
  <c r="F276" i="4"/>
  <c r="E276" i="4"/>
  <c r="D276" i="4"/>
  <c r="C276" i="4"/>
  <c r="B276" i="4"/>
  <c r="A276" i="4"/>
  <c r="J275" i="4"/>
  <c r="I275" i="4"/>
  <c r="H275" i="4"/>
  <c r="G275" i="4"/>
  <c r="F275" i="4"/>
  <c r="E275" i="4"/>
  <c r="D275" i="4"/>
  <c r="C275" i="4"/>
  <c r="B275" i="4"/>
  <c r="A275" i="4"/>
  <c r="J274" i="4"/>
  <c r="I274" i="4"/>
  <c r="H274" i="4"/>
  <c r="G274" i="4"/>
  <c r="F274" i="4"/>
  <c r="E274" i="4"/>
  <c r="D274" i="4"/>
  <c r="C274" i="4"/>
  <c r="B274" i="4"/>
  <c r="A274" i="4"/>
  <c r="J273" i="4"/>
  <c r="I273" i="4"/>
  <c r="H273" i="4"/>
  <c r="G273" i="4"/>
  <c r="F273" i="4"/>
  <c r="E273" i="4"/>
  <c r="D273" i="4"/>
  <c r="C273" i="4"/>
  <c r="B273" i="4"/>
  <c r="A273" i="4"/>
  <c r="J272" i="4"/>
  <c r="I272" i="4"/>
  <c r="H272" i="4"/>
  <c r="G272" i="4"/>
  <c r="F272" i="4"/>
  <c r="E272" i="4"/>
  <c r="D272" i="4"/>
  <c r="C272" i="4"/>
  <c r="B272" i="4"/>
  <c r="A272" i="4"/>
  <c r="J271" i="4"/>
  <c r="I271" i="4"/>
  <c r="H271" i="4"/>
  <c r="G271" i="4"/>
  <c r="F271" i="4"/>
  <c r="E271" i="4"/>
  <c r="D271" i="4"/>
  <c r="C271" i="4"/>
  <c r="B271" i="4"/>
  <c r="A271" i="4"/>
  <c r="J270" i="4"/>
  <c r="I270" i="4"/>
  <c r="H270" i="4"/>
  <c r="G270" i="4"/>
  <c r="F270" i="4"/>
  <c r="E270" i="4"/>
  <c r="D270" i="4"/>
  <c r="C270" i="4"/>
  <c r="B270" i="4"/>
  <c r="A270" i="4"/>
  <c r="J269" i="4"/>
  <c r="I269" i="4"/>
  <c r="H269" i="4"/>
  <c r="G269" i="4"/>
  <c r="F269" i="4"/>
  <c r="E269" i="4"/>
  <c r="D269" i="4"/>
  <c r="C269" i="4"/>
  <c r="B269" i="4"/>
  <c r="A269" i="4"/>
  <c r="J268" i="4"/>
  <c r="I268" i="4"/>
  <c r="H268" i="4"/>
  <c r="G268" i="4"/>
  <c r="F268" i="4"/>
  <c r="E268" i="4"/>
  <c r="D268" i="4"/>
  <c r="C268" i="4"/>
  <c r="B268" i="4"/>
  <c r="A268" i="4"/>
  <c r="J267" i="4"/>
  <c r="I267" i="4"/>
  <c r="H267" i="4"/>
  <c r="G267" i="4"/>
  <c r="F267" i="4"/>
  <c r="E267" i="4"/>
  <c r="D267" i="4"/>
  <c r="C267" i="4"/>
  <c r="B267" i="4"/>
  <c r="A267" i="4"/>
  <c r="J266" i="4"/>
  <c r="I266" i="4"/>
  <c r="H266" i="4"/>
  <c r="G266" i="4"/>
  <c r="F266" i="4"/>
  <c r="E266" i="4"/>
  <c r="D266" i="4"/>
  <c r="C266" i="4"/>
  <c r="B266" i="4"/>
  <c r="A266" i="4"/>
  <c r="J265" i="4"/>
  <c r="I265" i="4"/>
  <c r="H265" i="4"/>
  <c r="G265" i="4"/>
  <c r="F265" i="4"/>
  <c r="E265" i="4"/>
  <c r="D265" i="4"/>
  <c r="C265" i="4"/>
  <c r="B265" i="4"/>
  <c r="A265" i="4"/>
  <c r="J264" i="4"/>
  <c r="I264" i="4"/>
  <c r="H264" i="4"/>
  <c r="G264" i="4"/>
  <c r="F264" i="4"/>
  <c r="E264" i="4"/>
  <c r="D264" i="4"/>
  <c r="C264" i="4"/>
  <c r="B264" i="4"/>
  <c r="A264" i="4"/>
  <c r="J263" i="4"/>
  <c r="I263" i="4"/>
  <c r="H263" i="4"/>
  <c r="G263" i="4"/>
  <c r="F263" i="4"/>
  <c r="E263" i="4"/>
  <c r="D263" i="4"/>
  <c r="C263" i="4"/>
  <c r="B263" i="4"/>
  <c r="A263" i="4"/>
  <c r="J262" i="4"/>
  <c r="I262" i="4"/>
  <c r="H262" i="4"/>
  <c r="G262" i="4"/>
  <c r="F262" i="4"/>
  <c r="E262" i="4"/>
  <c r="D262" i="4"/>
  <c r="C262" i="4"/>
  <c r="B262" i="4"/>
  <c r="A262" i="4"/>
  <c r="J261" i="4"/>
  <c r="I261" i="4"/>
  <c r="H261" i="4"/>
  <c r="G261" i="4"/>
  <c r="F261" i="4"/>
  <c r="E261" i="4"/>
  <c r="D261" i="4"/>
  <c r="C261" i="4"/>
  <c r="B261" i="4"/>
  <c r="A261" i="4"/>
  <c r="J260" i="4"/>
  <c r="I260" i="4"/>
  <c r="H260" i="4"/>
  <c r="G260" i="4"/>
  <c r="F260" i="4"/>
  <c r="E260" i="4"/>
  <c r="D260" i="4"/>
  <c r="C260" i="4"/>
  <c r="B260" i="4"/>
  <c r="A260" i="4"/>
  <c r="J259" i="4"/>
  <c r="I259" i="4"/>
  <c r="H259" i="4"/>
  <c r="G259" i="4"/>
  <c r="F259" i="4"/>
  <c r="E259" i="4"/>
  <c r="D259" i="4"/>
  <c r="C259" i="4"/>
  <c r="B259" i="4"/>
  <c r="A259" i="4"/>
  <c r="J258" i="4"/>
  <c r="I258" i="4"/>
  <c r="H258" i="4"/>
  <c r="G258" i="4"/>
  <c r="F258" i="4"/>
  <c r="E258" i="4"/>
  <c r="D258" i="4"/>
  <c r="C258" i="4"/>
  <c r="B258" i="4"/>
  <c r="A258" i="4"/>
  <c r="J257" i="4"/>
  <c r="I257" i="4"/>
  <c r="H257" i="4"/>
  <c r="G257" i="4"/>
  <c r="F257" i="4"/>
  <c r="E257" i="4"/>
  <c r="D257" i="4"/>
  <c r="C257" i="4"/>
  <c r="B257" i="4"/>
  <c r="A257" i="4"/>
  <c r="J256" i="4"/>
  <c r="I256" i="4"/>
  <c r="H256" i="4"/>
  <c r="G256" i="4"/>
  <c r="F256" i="4"/>
  <c r="E256" i="4"/>
  <c r="D256" i="4"/>
  <c r="C256" i="4"/>
  <c r="B256" i="4"/>
  <c r="A256" i="4"/>
  <c r="J255" i="4"/>
  <c r="I255" i="4"/>
  <c r="H255" i="4"/>
  <c r="G255" i="4"/>
  <c r="F255" i="4"/>
  <c r="E255" i="4"/>
  <c r="D255" i="4"/>
  <c r="C255" i="4"/>
  <c r="B255" i="4"/>
  <c r="A255" i="4"/>
  <c r="J254" i="4"/>
  <c r="I254" i="4"/>
  <c r="H254" i="4"/>
  <c r="G254" i="4"/>
  <c r="F254" i="4"/>
  <c r="E254" i="4"/>
  <c r="D254" i="4"/>
  <c r="C254" i="4"/>
  <c r="B254" i="4"/>
  <c r="A254" i="4"/>
  <c r="J253" i="4"/>
  <c r="I253" i="4"/>
  <c r="H253" i="4"/>
  <c r="G253" i="4"/>
  <c r="F253" i="4"/>
  <c r="E253" i="4"/>
  <c r="D253" i="4"/>
  <c r="C253" i="4"/>
  <c r="B253" i="4"/>
  <c r="A253" i="4"/>
  <c r="J252" i="4"/>
  <c r="I252" i="4"/>
  <c r="H252" i="4"/>
  <c r="G252" i="4"/>
  <c r="F252" i="4"/>
  <c r="E252" i="4"/>
  <c r="D252" i="4"/>
  <c r="C252" i="4"/>
  <c r="B252" i="4"/>
  <c r="A252" i="4"/>
  <c r="J251" i="4"/>
  <c r="I251" i="4"/>
  <c r="H251" i="4"/>
  <c r="G251" i="4"/>
  <c r="F251" i="4"/>
  <c r="E251" i="4"/>
  <c r="D251" i="4"/>
  <c r="C251" i="4"/>
  <c r="B251" i="4"/>
  <c r="A251" i="4"/>
  <c r="J250" i="4"/>
  <c r="I250" i="4"/>
  <c r="H250" i="4"/>
  <c r="G250" i="4"/>
  <c r="F250" i="4"/>
  <c r="E250" i="4"/>
  <c r="D250" i="4"/>
  <c r="C250" i="4"/>
  <c r="B250" i="4"/>
  <c r="A250" i="4"/>
  <c r="J249" i="4"/>
  <c r="I249" i="4"/>
  <c r="H249" i="4"/>
  <c r="G249" i="4"/>
  <c r="F249" i="4"/>
  <c r="E249" i="4"/>
  <c r="D249" i="4"/>
  <c r="C249" i="4"/>
  <c r="B249" i="4"/>
  <c r="A249" i="4"/>
  <c r="J248" i="4"/>
  <c r="I248" i="4"/>
  <c r="H248" i="4"/>
  <c r="G248" i="4"/>
  <c r="F248" i="4"/>
  <c r="E248" i="4"/>
  <c r="D248" i="4"/>
  <c r="C248" i="4"/>
  <c r="B248" i="4"/>
  <c r="A248" i="4"/>
  <c r="J247" i="4"/>
  <c r="I247" i="4"/>
  <c r="H247" i="4"/>
  <c r="G247" i="4"/>
  <c r="F247" i="4"/>
  <c r="E247" i="4"/>
  <c r="D247" i="4"/>
  <c r="C247" i="4"/>
  <c r="B247" i="4"/>
  <c r="A247" i="4"/>
  <c r="J246" i="4"/>
  <c r="I246" i="4"/>
  <c r="H246" i="4"/>
  <c r="G246" i="4"/>
  <c r="F246" i="4"/>
  <c r="E246" i="4"/>
  <c r="D246" i="4"/>
  <c r="C246" i="4"/>
  <c r="B246" i="4"/>
  <c r="A246" i="4"/>
  <c r="J245" i="4"/>
  <c r="I245" i="4"/>
  <c r="H245" i="4"/>
  <c r="G245" i="4"/>
  <c r="F245" i="4"/>
  <c r="E245" i="4"/>
  <c r="D245" i="4"/>
  <c r="C245" i="4"/>
  <c r="B245" i="4"/>
  <c r="A245" i="4"/>
  <c r="J244" i="4"/>
  <c r="I244" i="4"/>
  <c r="H244" i="4"/>
  <c r="G244" i="4"/>
  <c r="F244" i="4"/>
  <c r="E244" i="4"/>
  <c r="D244" i="4"/>
  <c r="C244" i="4"/>
  <c r="B244" i="4"/>
  <c r="A244" i="4"/>
  <c r="J243" i="4"/>
  <c r="I243" i="4"/>
  <c r="H243" i="4"/>
  <c r="G243" i="4"/>
  <c r="F243" i="4"/>
  <c r="E243" i="4"/>
  <c r="D243" i="4"/>
  <c r="C243" i="4"/>
  <c r="B243" i="4"/>
  <c r="A243" i="4"/>
  <c r="J242" i="4"/>
  <c r="I242" i="4"/>
  <c r="H242" i="4"/>
  <c r="G242" i="4"/>
  <c r="F242" i="4"/>
  <c r="E242" i="4"/>
  <c r="D242" i="4"/>
  <c r="C242" i="4"/>
  <c r="B242" i="4"/>
  <c r="A242" i="4"/>
  <c r="J241" i="4"/>
  <c r="I241" i="4"/>
  <c r="H241" i="4"/>
  <c r="G241" i="4"/>
  <c r="F241" i="4"/>
  <c r="E241" i="4"/>
  <c r="D241" i="4"/>
  <c r="C241" i="4"/>
  <c r="B241" i="4"/>
  <c r="A241" i="4"/>
  <c r="J240" i="4"/>
  <c r="I240" i="4"/>
  <c r="H240" i="4"/>
  <c r="G240" i="4"/>
  <c r="F240" i="4"/>
  <c r="E240" i="4"/>
  <c r="D240" i="4"/>
  <c r="C240" i="4"/>
  <c r="B240" i="4"/>
  <c r="A240" i="4"/>
  <c r="J239" i="4"/>
  <c r="I239" i="4"/>
  <c r="H239" i="4"/>
  <c r="G239" i="4"/>
  <c r="F239" i="4"/>
  <c r="E239" i="4"/>
  <c r="D239" i="4"/>
  <c r="C239" i="4"/>
  <c r="B239" i="4"/>
  <c r="A239" i="4"/>
  <c r="J238" i="4"/>
  <c r="I238" i="4"/>
  <c r="H238" i="4"/>
  <c r="G238" i="4"/>
  <c r="F238" i="4"/>
  <c r="E238" i="4"/>
  <c r="D238" i="4"/>
  <c r="C238" i="4"/>
  <c r="B238" i="4"/>
  <c r="A238" i="4"/>
  <c r="J237" i="4"/>
  <c r="I237" i="4"/>
  <c r="H237" i="4"/>
  <c r="G237" i="4"/>
  <c r="F237" i="4"/>
  <c r="E237" i="4"/>
  <c r="D237" i="4"/>
  <c r="C237" i="4"/>
  <c r="B237" i="4"/>
  <c r="A237" i="4"/>
  <c r="J236" i="4"/>
  <c r="I236" i="4"/>
  <c r="H236" i="4"/>
  <c r="G236" i="4"/>
  <c r="F236" i="4"/>
  <c r="E236" i="4"/>
  <c r="D236" i="4"/>
  <c r="C236" i="4"/>
  <c r="B236" i="4"/>
  <c r="A236" i="4"/>
  <c r="J235" i="4"/>
  <c r="I235" i="4"/>
  <c r="H235" i="4"/>
  <c r="G235" i="4"/>
  <c r="F235" i="4"/>
  <c r="E235" i="4"/>
  <c r="D235" i="4"/>
  <c r="C235" i="4"/>
  <c r="B235" i="4"/>
  <c r="A235" i="4"/>
  <c r="J234" i="4"/>
  <c r="I234" i="4"/>
  <c r="H234" i="4"/>
  <c r="G234" i="4"/>
  <c r="F234" i="4"/>
  <c r="E234" i="4"/>
  <c r="D234" i="4"/>
  <c r="C234" i="4"/>
  <c r="B234" i="4"/>
  <c r="A234" i="4"/>
  <c r="J233" i="4"/>
  <c r="I233" i="4"/>
  <c r="H233" i="4"/>
  <c r="G233" i="4"/>
  <c r="F233" i="4"/>
  <c r="E233" i="4"/>
  <c r="D233" i="4"/>
  <c r="C233" i="4"/>
  <c r="B233" i="4"/>
  <c r="A233" i="4"/>
  <c r="J232" i="4"/>
  <c r="I232" i="4"/>
  <c r="H232" i="4"/>
  <c r="G232" i="4"/>
  <c r="F232" i="4"/>
  <c r="E232" i="4"/>
  <c r="D232" i="4"/>
  <c r="C232" i="4"/>
  <c r="B232" i="4"/>
  <c r="A232" i="4"/>
  <c r="J231" i="4"/>
  <c r="I231" i="4"/>
  <c r="H231" i="4"/>
  <c r="G231" i="4"/>
  <c r="F231" i="4"/>
  <c r="E231" i="4"/>
  <c r="D231" i="4"/>
  <c r="C231" i="4"/>
  <c r="B231" i="4"/>
  <c r="A231" i="4"/>
  <c r="J230" i="4"/>
  <c r="I230" i="4"/>
  <c r="H230" i="4"/>
  <c r="G230" i="4"/>
  <c r="F230" i="4"/>
  <c r="E230" i="4"/>
  <c r="D230" i="4"/>
  <c r="C230" i="4"/>
  <c r="B230" i="4"/>
  <c r="A230" i="4"/>
  <c r="J229" i="4"/>
  <c r="I229" i="4"/>
  <c r="H229" i="4"/>
  <c r="G229" i="4"/>
  <c r="F229" i="4"/>
  <c r="E229" i="4"/>
  <c r="D229" i="4"/>
  <c r="C229" i="4"/>
  <c r="B229" i="4"/>
  <c r="A229" i="4"/>
  <c r="J228" i="4"/>
  <c r="I228" i="4"/>
  <c r="H228" i="4"/>
  <c r="G228" i="4"/>
  <c r="F228" i="4"/>
  <c r="E228" i="4"/>
  <c r="D228" i="4"/>
  <c r="C228" i="4"/>
  <c r="B228" i="4"/>
  <c r="A228" i="4"/>
  <c r="J227" i="4"/>
  <c r="I227" i="4"/>
  <c r="H227" i="4"/>
  <c r="G227" i="4"/>
  <c r="F227" i="4"/>
  <c r="E227" i="4"/>
  <c r="D227" i="4"/>
  <c r="C227" i="4"/>
  <c r="B227" i="4"/>
  <c r="A227" i="4"/>
  <c r="J226" i="4"/>
  <c r="I226" i="4"/>
  <c r="H226" i="4"/>
  <c r="G226" i="4"/>
  <c r="F226" i="4"/>
  <c r="E226" i="4"/>
  <c r="D226" i="4"/>
  <c r="C226" i="4"/>
  <c r="B226" i="4"/>
  <c r="A226" i="4"/>
  <c r="J225" i="4"/>
  <c r="I225" i="4"/>
  <c r="H225" i="4"/>
  <c r="G225" i="4"/>
  <c r="F225" i="4"/>
  <c r="E225" i="4"/>
  <c r="D225" i="4"/>
  <c r="C225" i="4"/>
  <c r="B225" i="4"/>
  <c r="A225" i="4"/>
  <c r="J224" i="4"/>
  <c r="I224" i="4"/>
  <c r="H224" i="4"/>
  <c r="G224" i="4"/>
  <c r="F224" i="4"/>
  <c r="E224" i="4"/>
  <c r="D224" i="4"/>
  <c r="C224" i="4"/>
  <c r="B224" i="4"/>
  <c r="A224" i="4"/>
  <c r="J223" i="4"/>
  <c r="I223" i="4"/>
  <c r="H223" i="4"/>
  <c r="G223" i="4"/>
  <c r="F223" i="4"/>
  <c r="E223" i="4"/>
  <c r="D223" i="4"/>
  <c r="C223" i="4"/>
  <c r="B223" i="4"/>
  <c r="A223" i="4"/>
  <c r="J222" i="4"/>
  <c r="I222" i="4"/>
  <c r="H222" i="4"/>
  <c r="G222" i="4"/>
  <c r="F222" i="4"/>
  <c r="E222" i="4"/>
  <c r="D222" i="4"/>
  <c r="C222" i="4"/>
  <c r="B222" i="4"/>
  <c r="A222" i="4"/>
  <c r="J221" i="4"/>
  <c r="I221" i="4"/>
  <c r="H221" i="4"/>
  <c r="G221" i="4"/>
  <c r="F221" i="4"/>
  <c r="E221" i="4"/>
  <c r="D221" i="4"/>
  <c r="C221" i="4"/>
  <c r="B221" i="4"/>
  <c r="A221" i="4"/>
  <c r="J220" i="4"/>
  <c r="I220" i="4"/>
  <c r="H220" i="4"/>
  <c r="G220" i="4"/>
  <c r="F220" i="4"/>
  <c r="E220" i="4"/>
  <c r="D220" i="4"/>
  <c r="C220" i="4"/>
  <c r="B220" i="4"/>
  <c r="A220" i="4"/>
  <c r="J219" i="4"/>
  <c r="I219" i="4"/>
  <c r="H219" i="4"/>
  <c r="G219" i="4"/>
  <c r="F219" i="4"/>
  <c r="E219" i="4"/>
  <c r="D219" i="4"/>
  <c r="C219" i="4"/>
  <c r="B219" i="4"/>
  <c r="A219" i="4"/>
  <c r="J218" i="4"/>
  <c r="I218" i="4"/>
  <c r="H218" i="4"/>
  <c r="G218" i="4"/>
  <c r="F218" i="4"/>
  <c r="E218" i="4"/>
  <c r="D218" i="4"/>
  <c r="C218" i="4"/>
  <c r="B218" i="4"/>
  <c r="A218" i="4"/>
  <c r="J217" i="4"/>
  <c r="I217" i="4"/>
  <c r="H217" i="4"/>
  <c r="G217" i="4"/>
  <c r="F217" i="4"/>
  <c r="E217" i="4"/>
  <c r="D217" i="4"/>
  <c r="C217" i="4"/>
  <c r="B217" i="4"/>
  <c r="A217" i="4"/>
  <c r="J216" i="4"/>
  <c r="I216" i="4"/>
  <c r="H216" i="4"/>
  <c r="G216" i="4"/>
  <c r="F216" i="4"/>
  <c r="E216" i="4"/>
  <c r="D216" i="4"/>
  <c r="C216" i="4"/>
  <c r="B216" i="4"/>
  <c r="A216" i="4"/>
  <c r="J215" i="4"/>
  <c r="I215" i="4"/>
  <c r="H215" i="4"/>
  <c r="G215" i="4"/>
  <c r="F215" i="4"/>
  <c r="E215" i="4"/>
  <c r="D215" i="4"/>
  <c r="C215" i="4"/>
  <c r="B215" i="4"/>
  <c r="A215" i="4"/>
  <c r="J214" i="4"/>
  <c r="I214" i="4"/>
  <c r="H214" i="4"/>
  <c r="G214" i="4"/>
  <c r="F214" i="4"/>
  <c r="E214" i="4"/>
  <c r="D214" i="4"/>
  <c r="C214" i="4"/>
  <c r="B214" i="4"/>
  <c r="A214" i="4"/>
  <c r="J213" i="4"/>
  <c r="I213" i="4"/>
  <c r="H213" i="4"/>
  <c r="G213" i="4"/>
  <c r="F213" i="4"/>
  <c r="E213" i="4"/>
  <c r="D213" i="4"/>
  <c r="C213" i="4"/>
  <c r="B213" i="4"/>
  <c r="A213" i="4"/>
  <c r="J212" i="4"/>
  <c r="I212" i="4"/>
  <c r="H212" i="4"/>
  <c r="G212" i="4"/>
  <c r="F212" i="4"/>
  <c r="E212" i="4"/>
  <c r="D212" i="4"/>
  <c r="C212" i="4"/>
  <c r="B212" i="4"/>
  <c r="A212" i="4"/>
  <c r="J211" i="4"/>
  <c r="I211" i="4"/>
  <c r="H211" i="4"/>
  <c r="G211" i="4"/>
  <c r="F211" i="4"/>
  <c r="E211" i="4"/>
  <c r="D211" i="4"/>
  <c r="C211" i="4"/>
  <c r="B211" i="4"/>
  <c r="A211" i="4"/>
  <c r="J210" i="4"/>
  <c r="I210" i="4"/>
  <c r="H210" i="4"/>
  <c r="G210" i="4"/>
  <c r="F210" i="4"/>
  <c r="E210" i="4"/>
  <c r="D210" i="4"/>
  <c r="C210" i="4"/>
  <c r="B210" i="4"/>
  <c r="A210" i="4"/>
  <c r="J209" i="4"/>
  <c r="I209" i="4"/>
  <c r="H209" i="4"/>
  <c r="G209" i="4"/>
  <c r="F209" i="4"/>
  <c r="E209" i="4"/>
  <c r="D209" i="4"/>
  <c r="C209" i="4"/>
  <c r="B209" i="4"/>
  <c r="A209" i="4"/>
  <c r="J208" i="4"/>
  <c r="I208" i="4"/>
  <c r="H208" i="4"/>
  <c r="G208" i="4"/>
  <c r="F208" i="4"/>
  <c r="E208" i="4"/>
  <c r="D208" i="4"/>
  <c r="C208" i="4"/>
  <c r="B208" i="4"/>
  <c r="A208" i="4"/>
  <c r="J207" i="4"/>
  <c r="I207" i="4"/>
  <c r="H207" i="4"/>
  <c r="G207" i="4"/>
  <c r="F207" i="4"/>
  <c r="E207" i="4"/>
  <c r="D207" i="4"/>
  <c r="C207" i="4"/>
  <c r="B207" i="4"/>
  <c r="A207" i="4"/>
  <c r="J206" i="4"/>
  <c r="I206" i="4"/>
  <c r="H206" i="4"/>
  <c r="G206" i="4"/>
  <c r="F206" i="4"/>
  <c r="E206" i="4"/>
  <c r="D206" i="4"/>
  <c r="C206" i="4"/>
  <c r="B206" i="4"/>
  <c r="A206" i="4"/>
  <c r="J205" i="4"/>
  <c r="I205" i="4"/>
  <c r="H205" i="4"/>
  <c r="G205" i="4"/>
  <c r="F205" i="4"/>
  <c r="E205" i="4"/>
  <c r="D205" i="4"/>
  <c r="C205" i="4"/>
  <c r="B205" i="4"/>
  <c r="A205" i="4"/>
  <c r="J204" i="4"/>
  <c r="I204" i="4"/>
  <c r="H204" i="4"/>
  <c r="G204" i="4"/>
  <c r="F204" i="4"/>
  <c r="E204" i="4"/>
  <c r="D204" i="4"/>
  <c r="C204" i="4"/>
  <c r="B204" i="4"/>
  <c r="A204" i="4"/>
  <c r="J203" i="4"/>
  <c r="I203" i="4"/>
  <c r="H203" i="4"/>
  <c r="G203" i="4"/>
  <c r="F203" i="4"/>
  <c r="E203" i="4"/>
  <c r="D203" i="4"/>
  <c r="C203" i="4"/>
  <c r="B203" i="4"/>
  <c r="A203" i="4"/>
  <c r="J202" i="4"/>
  <c r="I202" i="4"/>
  <c r="H202" i="4"/>
  <c r="G202" i="4"/>
  <c r="F202" i="4"/>
  <c r="E202" i="4"/>
  <c r="D202" i="4"/>
  <c r="C202" i="4"/>
  <c r="B202" i="4"/>
  <c r="A202" i="4"/>
  <c r="J201" i="4"/>
  <c r="I201" i="4"/>
  <c r="H201" i="4"/>
  <c r="G201" i="4"/>
  <c r="F201" i="4"/>
  <c r="E201" i="4"/>
  <c r="D201" i="4"/>
  <c r="C201" i="4"/>
  <c r="B201" i="4"/>
  <c r="A201" i="4"/>
  <c r="J200" i="4"/>
  <c r="I200" i="4"/>
  <c r="H200" i="4"/>
  <c r="G200" i="4"/>
  <c r="F200" i="4"/>
  <c r="E200" i="4"/>
  <c r="D200" i="4"/>
  <c r="C200" i="4"/>
  <c r="B200" i="4"/>
  <c r="A200" i="4"/>
  <c r="J199" i="4"/>
  <c r="I199" i="4"/>
  <c r="H199" i="4"/>
  <c r="G199" i="4"/>
  <c r="F199" i="4"/>
  <c r="E199" i="4"/>
  <c r="D199" i="4"/>
  <c r="C199" i="4"/>
  <c r="B199" i="4"/>
  <c r="A199" i="4"/>
  <c r="J198" i="4"/>
  <c r="I198" i="4"/>
  <c r="H198" i="4"/>
  <c r="G198" i="4"/>
  <c r="F198" i="4"/>
  <c r="E198" i="4"/>
  <c r="D198" i="4"/>
  <c r="C198" i="4"/>
  <c r="B198" i="4"/>
  <c r="A198" i="4"/>
  <c r="J197" i="4"/>
  <c r="I197" i="4"/>
  <c r="H197" i="4"/>
  <c r="G197" i="4"/>
  <c r="F197" i="4"/>
  <c r="E197" i="4"/>
  <c r="D197" i="4"/>
  <c r="C197" i="4"/>
  <c r="B197" i="4"/>
  <c r="A197" i="4"/>
  <c r="J196" i="4"/>
  <c r="I196" i="4"/>
  <c r="H196" i="4"/>
  <c r="G196" i="4"/>
  <c r="F196" i="4"/>
  <c r="E196" i="4"/>
  <c r="D196" i="4"/>
  <c r="C196" i="4"/>
  <c r="B196" i="4"/>
  <c r="A196" i="4"/>
  <c r="J195" i="4"/>
  <c r="I195" i="4"/>
  <c r="H195" i="4"/>
  <c r="G195" i="4"/>
  <c r="F195" i="4"/>
  <c r="E195" i="4"/>
  <c r="D195" i="4"/>
  <c r="C195" i="4"/>
  <c r="B195" i="4"/>
  <c r="A195" i="4"/>
  <c r="J194" i="4"/>
  <c r="I194" i="4"/>
  <c r="H194" i="4"/>
  <c r="G194" i="4"/>
  <c r="F194" i="4"/>
  <c r="E194" i="4"/>
  <c r="D194" i="4"/>
  <c r="C194" i="4"/>
  <c r="B194" i="4"/>
  <c r="A194" i="4"/>
  <c r="J193" i="4"/>
  <c r="I193" i="4"/>
  <c r="H193" i="4"/>
  <c r="G193" i="4"/>
  <c r="F193" i="4"/>
  <c r="E193" i="4"/>
  <c r="D193" i="4"/>
  <c r="C193" i="4"/>
  <c r="B193" i="4"/>
  <c r="A193" i="4"/>
  <c r="J192" i="4"/>
  <c r="I192" i="4"/>
  <c r="H192" i="4"/>
  <c r="G192" i="4"/>
  <c r="F192" i="4"/>
  <c r="E192" i="4"/>
  <c r="D192" i="4"/>
  <c r="C192" i="4"/>
  <c r="B192" i="4"/>
  <c r="A192" i="4"/>
  <c r="J191" i="4"/>
  <c r="I191" i="4"/>
  <c r="H191" i="4"/>
  <c r="G191" i="4"/>
  <c r="F191" i="4"/>
  <c r="E191" i="4"/>
  <c r="D191" i="4"/>
  <c r="C191" i="4"/>
  <c r="B191" i="4"/>
  <c r="A191" i="4"/>
  <c r="J190" i="4"/>
  <c r="I190" i="4"/>
  <c r="H190" i="4"/>
  <c r="G190" i="4"/>
  <c r="F190" i="4"/>
  <c r="E190" i="4"/>
  <c r="D190" i="4"/>
  <c r="C190" i="4"/>
  <c r="B190" i="4"/>
  <c r="A190" i="4"/>
  <c r="J189" i="4"/>
  <c r="I189" i="4"/>
  <c r="H189" i="4"/>
  <c r="G189" i="4"/>
  <c r="F189" i="4"/>
  <c r="E189" i="4"/>
  <c r="D189" i="4"/>
  <c r="C189" i="4"/>
  <c r="B189" i="4"/>
  <c r="A189" i="4"/>
  <c r="J188" i="4"/>
  <c r="I188" i="4"/>
  <c r="H188" i="4"/>
  <c r="G188" i="4"/>
  <c r="F188" i="4"/>
  <c r="E188" i="4"/>
  <c r="D188" i="4"/>
  <c r="C188" i="4"/>
  <c r="B188" i="4"/>
  <c r="A188" i="4"/>
  <c r="J187" i="4"/>
  <c r="I187" i="4"/>
  <c r="H187" i="4"/>
  <c r="G187" i="4"/>
  <c r="F187" i="4"/>
  <c r="E187" i="4"/>
  <c r="D187" i="4"/>
  <c r="C187" i="4"/>
  <c r="B187" i="4"/>
  <c r="A187" i="4"/>
  <c r="J186" i="4"/>
  <c r="I186" i="4"/>
  <c r="H186" i="4"/>
  <c r="G186" i="4"/>
  <c r="F186" i="4"/>
  <c r="E186" i="4"/>
  <c r="D186" i="4"/>
  <c r="C186" i="4"/>
  <c r="B186" i="4"/>
  <c r="A186" i="4"/>
  <c r="J185" i="4"/>
  <c r="I185" i="4"/>
  <c r="H185" i="4"/>
  <c r="G185" i="4"/>
  <c r="F185" i="4"/>
  <c r="E185" i="4"/>
  <c r="D185" i="4"/>
  <c r="C185" i="4"/>
  <c r="B185" i="4"/>
  <c r="A185" i="4"/>
  <c r="J184" i="4"/>
  <c r="I184" i="4"/>
  <c r="H184" i="4"/>
  <c r="G184" i="4"/>
  <c r="F184" i="4"/>
  <c r="E184" i="4"/>
  <c r="D184" i="4"/>
  <c r="C184" i="4"/>
  <c r="B184" i="4"/>
  <c r="A184" i="4"/>
  <c r="J183" i="4"/>
  <c r="I183" i="4"/>
  <c r="H183" i="4"/>
  <c r="G183" i="4"/>
  <c r="F183" i="4"/>
  <c r="E183" i="4"/>
  <c r="D183" i="4"/>
  <c r="C183" i="4"/>
  <c r="B183" i="4"/>
  <c r="A183" i="4"/>
  <c r="J182" i="4"/>
  <c r="I182" i="4"/>
  <c r="H182" i="4"/>
  <c r="G182" i="4"/>
  <c r="F182" i="4"/>
  <c r="E182" i="4"/>
  <c r="D182" i="4"/>
  <c r="C182" i="4"/>
  <c r="B182" i="4"/>
  <c r="A182" i="4"/>
  <c r="J181" i="4"/>
  <c r="I181" i="4"/>
  <c r="H181" i="4"/>
  <c r="G181" i="4"/>
  <c r="F181" i="4"/>
  <c r="E181" i="4"/>
  <c r="D181" i="4"/>
  <c r="C181" i="4"/>
  <c r="B181" i="4"/>
  <c r="A181" i="4"/>
  <c r="J180" i="4"/>
  <c r="I180" i="4"/>
  <c r="H180" i="4"/>
  <c r="G180" i="4"/>
  <c r="F180" i="4"/>
  <c r="E180" i="4"/>
  <c r="D180" i="4"/>
  <c r="C180" i="4"/>
  <c r="B180" i="4"/>
  <c r="A180" i="4"/>
  <c r="J179" i="4"/>
  <c r="I179" i="4"/>
  <c r="H179" i="4"/>
  <c r="G179" i="4"/>
  <c r="F179" i="4"/>
  <c r="E179" i="4"/>
  <c r="D179" i="4"/>
  <c r="C179" i="4"/>
  <c r="B179" i="4"/>
  <c r="A179" i="4"/>
  <c r="J178" i="4"/>
  <c r="I178" i="4"/>
  <c r="H178" i="4"/>
  <c r="G178" i="4"/>
  <c r="F178" i="4"/>
  <c r="E178" i="4"/>
  <c r="D178" i="4"/>
  <c r="C178" i="4"/>
  <c r="B178" i="4"/>
  <c r="A178" i="4"/>
  <c r="J177" i="4"/>
  <c r="I177" i="4"/>
  <c r="H177" i="4"/>
  <c r="G177" i="4"/>
  <c r="F177" i="4"/>
  <c r="E177" i="4"/>
  <c r="D177" i="4"/>
  <c r="C177" i="4"/>
  <c r="B177" i="4"/>
  <c r="A177" i="4"/>
  <c r="J176" i="4"/>
  <c r="I176" i="4"/>
  <c r="H176" i="4"/>
  <c r="G176" i="4"/>
  <c r="F176" i="4"/>
  <c r="E176" i="4"/>
  <c r="D176" i="4"/>
  <c r="C176" i="4"/>
  <c r="B176" i="4"/>
  <c r="A176" i="4"/>
  <c r="J175" i="4"/>
  <c r="I175" i="4"/>
  <c r="H175" i="4"/>
  <c r="G175" i="4"/>
  <c r="F175" i="4"/>
  <c r="E175" i="4"/>
  <c r="D175" i="4"/>
  <c r="C175" i="4"/>
  <c r="B175" i="4"/>
  <c r="A175" i="4"/>
  <c r="J174" i="4"/>
  <c r="I174" i="4"/>
  <c r="H174" i="4"/>
  <c r="G174" i="4"/>
  <c r="F174" i="4"/>
  <c r="E174" i="4"/>
  <c r="D174" i="4"/>
  <c r="C174" i="4"/>
  <c r="B174" i="4"/>
  <c r="A174" i="4"/>
  <c r="J173" i="4"/>
  <c r="I173" i="4"/>
  <c r="H173" i="4"/>
  <c r="G173" i="4"/>
  <c r="F173" i="4"/>
  <c r="E173" i="4"/>
  <c r="D173" i="4"/>
  <c r="C173" i="4"/>
  <c r="B173" i="4"/>
  <c r="A173" i="4"/>
  <c r="J172" i="4"/>
  <c r="I172" i="4"/>
  <c r="H172" i="4"/>
  <c r="G172" i="4"/>
  <c r="F172" i="4"/>
  <c r="E172" i="4"/>
  <c r="D172" i="4"/>
  <c r="C172" i="4"/>
  <c r="B172" i="4"/>
  <c r="A172" i="4"/>
  <c r="J171" i="4"/>
  <c r="I171" i="4"/>
  <c r="H171" i="4"/>
  <c r="G171" i="4"/>
  <c r="F171" i="4"/>
  <c r="E171" i="4"/>
  <c r="D171" i="4"/>
  <c r="C171" i="4"/>
  <c r="B171" i="4"/>
  <c r="A171" i="4"/>
  <c r="J170" i="4"/>
  <c r="I170" i="4"/>
  <c r="H170" i="4"/>
  <c r="G170" i="4"/>
  <c r="F170" i="4"/>
  <c r="E170" i="4"/>
  <c r="D170" i="4"/>
  <c r="C170" i="4"/>
  <c r="B170" i="4"/>
  <c r="A170" i="4"/>
  <c r="J169" i="4"/>
  <c r="I169" i="4"/>
  <c r="H169" i="4"/>
  <c r="G169" i="4"/>
  <c r="F169" i="4"/>
  <c r="E169" i="4"/>
  <c r="D169" i="4"/>
  <c r="C169" i="4"/>
  <c r="B169" i="4"/>
  <c r="A169" i="4"/>
  <c r="J168" i="4"/>
  <c r="I168" i="4"/>
  <c r="H168" i="4"/>
  <c r="G168" i="4"/>
  <c r="F168" i="4"/>
  <c r="E168" i="4"/>
  <c r="D168" i="4"/>
  <c r="C168" i="4"/>
  <c r="B168" i="4"/>
  <c r="A168" i="4"/>
  <c r="J167" i="4"/>
  <c r="I167" i="4"/>
  <c r="H167" i="4"/>
  <c r="G167" i="4"/>
  <c r="F167" i="4"/>
  <c r="E167" i="4"/>
  <c r="D167" i="4"/>
  <c r="C167" i="4"/>
  <c r="B167" i="4"/>
  <c r="A167" i="4"/>
  <c r="J166" i="4"/>
  <c r="I166" i="4"/>
  <c r="H166" i="4"/>
  <c r="G166" i="4"/>
  <c r="F166" i="4"/>
  <c r="E166" i="4"/>
  <c r="D166" i="4"/>
  <c r="C166" i="4"/>
  <c r="B166" i="4"/>
  <c r="A166" i="4"/>
  <c r="J165" i="4"/>
  <c r="I165" i="4"/>
  <c r="H165" i="4"/>
  <c r="G165" i="4"/>
  <c r="F165" i="4"/>
  <c r="E165" i="4"/>
  <c r="D165" i="4"/>
  <c r="C165" i="4"/>
  <c r="B165" i="4"/>
  <c r="A165" i="4"/>
  <c r="J164" i="4"/>
  <c r="I164" i="4"/>
  <c r="H164" i="4"/>
  <c r="G164" i="4"/>
  <c r="F164" i="4"/>
  <c r="E164" i="4"/>
  <c r="D164" i="4"/>
  <c r="C164" i="4"/>
  <c r="B164" i="4"/>
  <c r="A164" i="4"/>
  <c r="J163" i="4"/>
  <c r="I163" i="4"/>
  <c r="H163" i="4"/>
  <c r="G163" i="4"/>
  <c r="F163" i="4"/>
  <c r="E163" i="4"/>
  <c r="D163" i="4"/>
  <c r="C163" i="4"/>
  <c r="B163" i="4"/>
  <c r="A163" i="4"/>
  <c r="J162" i="4"/>
  <c r="I162" i="4"/>
  <c r="H162" i="4"/>
  <c r="G162" i="4"/>
  <c r="F162" i="4"/>
  <c r="E162" i="4"/>
  <c r="D162" i="4"/>
  <c r="C162" i="4"/>
  <c r="B162" i="4"/>
  <c r="A162" i="4"/>
  <c r="J161" i="4"/>
  <c r="I161" i="4"/>
  <c r="H161" i="4"/>
  <c r="G161" i="4"/>
  <c r="F161" i="4"/>
  <c r="E161" i="4"/>
  <c r="D161" i="4"/>
  <c r="C161" i="4"/>
  <c r="B161" i="4"/>
  <c r="A161" i="4"/>
  <c r="J160" i="4"/>
  <c r="I160" i="4"/>
  <c r="H160" i="4"/>
  <c r="G160" i="4"/>
  <c r="F160" i="4"/>
  <c r="E160" i="4"/>
  <c r="D160" i="4"/>
  <c r="C160" i="4"/>
  <c r="B160" i="4"/>
  <c r="A160" i="4"/>
  <c r="J159" i="4"/>
  <c r="I159" i="4"/>
  <c r="H159" i="4"/>
  <c r="G159" i="4"/>
  <c r="F159" i="4"/>
  <c r="E159" i="4"/>
  <c r="D159" i="4"/>
  <c r="C159" i="4"/>
  <c r="B159" i="4"/>
  <c r="A159" i="4"/>
  <c r="J158" i="4"/>
  <c r="I158" i="4"/>
  <c r="H158" i="4"/>
  <c r="G158" i="4"/>
  <c r="F158" i="4"/>
  <c r="E158" i="4"/>
  <c r="D158" i="4"/>
  <c r="C158" i="4"/>
  <c r="B158" i="4"/>
  <c r="A158" i="4"/>
  <c r="J157" i="4"/>
  <c r="I157" i="4"/>
  <c r="H157" i="4"/>
  <c r="G157" i="4"/>
  <c r="F157" i="4"/>
  <c r="E157" i="4"/>
  <c r="D157" i="4"/>
  <c r="C157" i="4"/>
  <c r="B157" i="4"/>
  <c r="A157" i="4"/>
  <c r="J156" i="4"/>
  <c r="I156" i="4"/>
  <c r="H156" i="4"/>
  <c r="G156" i="4"/>
  <c r="F156" i="4"/>
  <c r="E156" i="4"/>
  <c r="D156" i="4"/>
  <c r="C156" i="4"/>
  <c r="B156" i="4"/>
  <c r="A156" i="4"/>
  <c r="J155" i="4"/>
  <c r="I155" i="4"/>
  <c r="H155" i="4"/>
  <c r="G155" i="4"/>
  <c r="F155" i="4"/>
  <c r="E155" i="4"/>
  <c r="D155" i="4"/>
  <c r="C155" i="4"/>
  <c r="B155" i="4"/>
  <c r="A155" i="4"/>
  <c r="J154" i="4"/>
  <c r="I154" i="4"/>
  <c r="H154" i="4"/>
  <c r="G154" i="4"/>
  <c r="F154" i="4"/>
  <c r="E154" i="4"/>
  <c r="D154" i="4"/>
  <c r="C154" i="4"/>
  <c r="B154" i="4"/>
  <c r="A154" i="4"/>
  <c r="J153" i="4"/>
  <c r="I153" i="4"/>
  <c r="H153" i="4"/>
  <c r="G153" i="4"/>
  <c r="F153" i="4"/>
  <c r="E153" i="4"/>
  <c r="D153" i="4"/>
  <c r="C153" i="4"/>
  <c r="B153" i="4"/>
  <c r="A153" i="4"/>
  <c r="J152" i="4"/>
  <c r="I152" i="4"/>
  <c r="H152" i="4"/>
  <c r="G152" i="4"/>
  <c r="F152" i="4"/>
  <c r="E152" i="4"/>
  <c r="D152" i="4"/>
  <c r="C152" i="4"/>
  <c r="B152" i="4"/>
  <c r="A152" i="4"/>
  <c r="J151" i="4"/>
  <c r="I151" i="4"/>
  <c r="H151" i="4"/>
  <c r="G151" i="4"/>
  <c r="F151" i="4"/>
  <c r="E151" i="4"/>
  <c r="D151" i="4"/>
  <c r="C151" i="4"/>
  <c r="B151" i="4"/>
  <c r="A151" i="4"/>
  <c r="J150" i="4"/>
  <c r="I150" i="4"/>
  <c r="H150" i="4"/>
  <c r="G150" i="4"/>
  <c r="F150" i="4"/>
  <c r="E150" i="4"/>
  <c r="D150" i="4"/>
  <c r="C150" i="4"/>
  <c r="B150" i="4"/>
  <c r="A150" i="4"/>
  <c r="J149" i="4"/>
  <c r="I149" i="4"/>
  <c r="H149" i="4"/>
  <c r="G149" i="4"/>
  <c r="F149" i="4"/>
  <c r="E149" i="4"/>
  <c r="D149" i="4"/>
  <c r="C149" i="4"/>
  <c r="B149" i="4"/>
  <c r="A149" i="4"/>
  <c r="J148" i="4"/>
  <c r="I148" i="4"/>
  <c r="H148" i="4"/>
  <c r="G148" i="4"/>
  <c r="F148" i="4"/>
  <c r="E148" i="4"/>
  <c r="D148" i="4"/>
  <c r="C148" i="4"/>
  <c r="B148" i="4"/>
  <c r="A148" i="4"/>
  <c r="J147" i="4"/>
  <c r="I147" i="4"/>
  <c r="H147" i="4"/>
  <c r="G147" i="4"/>
  <c r="F147" i="4"/>
  <c r="E147" i="4"/>
  <c r="D147" i="4"/>
  <c r="C147" i="4"/>
  <c r="B147" i="4"/>
  <c r="A147" i="4"/>
  <c r="J146" i="4"/>
  <c r="I146" i="4"/>
  <c r="H146" i="4"/>
  <c r="G146" i="4"/>
  <c r="F146" i="4"/>
  <c r="E146" i="4"/>
  <c r="D146" i="4"/>
  <c r="C146" i="4"/>
  <c r="B146" i="4"/>
  <c r="A146" i="4"/>
  <c r="J145" i="4"/>
  <c r="I145" i="4"/>
  <c r="H145" i="4"/>
  <c r="G145" i="4"/>
  <c r="F145" i="4"/>
  <c r="E145" i="4"/>
  <c r="D145" i="4"/>
  <c r="C145" i="4"/>
  <c r="B145" i="4"/>
  <c r="A145" i="4"/>
  <c r="J144" i="4"/>
  <c r="I144" i="4"/>
  <c r="H144" i="4"/>
  <c r="G144" i="4"/>
  <c r="F144" i="4"/>
  <c r="E144" i="4"/>
  <c r="D144" i="4"/>
  <c r="C144" i="4"/>
  <c r="B144" i="4"/>
  <c r="A144" i="4"/>
  <c r="J143" i="4"/>
  <c r="I143" i="4"/>
  <c r="H143" i="4"/>
  <c r="G143" i="4"/>
  <c r="F143" i="4"/>
  <c r="E143" i="4"/>
  <c r="D143" i="4"/>
  <c r="C143" i="4"/>
  <c r="B143" i="4"/>
  <c r="A143" i="4"/>
  <c r="J142" i="4"/>
  <c r="I142" i="4"/>
  <c r="H142" i="4"/>
  <c r="G142" i="4"/>
  <c r="F142" i="4"/>
  <c r="E142" i="4"/>
  <c r="D142" i="4"/>
  <c r="C142" i="4"/>
  <c r="B142" i="4"/>
  <c r="A142" i="4"/>
  <c r="J141" i="4"/>
  <c r="I141" i="4"/>
  <c r="H141" i="4"/>
  <c r="G141" i="4"/>
  <c r="F141" i="4"/>
  <c r="E141" i="4"/>
  <c r="D141" i="4"/>
  <c r="C141" i="4"/>
  <c r="B141" i="4"/>
  <c r="A141" i="4"/>
  <c r="J140" i="4"/>
  <c r="I140" i="4"/>
  <c r="H140" i="4"/>
  <c r="G140" i="4"/>
  <c r="F140" i="4"/>
  <c r="E140" i="4"/>
  <c r="D140" i="4"/>
  <c r="C140" i="4"/>
  <c r="B140" i="4"/>
  <c r="A140" i="4"/>
  <c r="J139" i="4"/>
  <c r="I139" i="4"/>
  <c r="H139" i="4"/>
  <c r="G139" i="4"/>
  <c r="F139" i="4"/>
  <c r="E139" i="4"/>
  <c r="D139" i="4"/>
  <c r="C139" i="4"/>
  <c r="B139" i="4"/>
  <c r="A139" i="4"/>
  <c r="J138" i="4"/>
  <c r="I138" i="4"/>
  <c r="H138" i="4"/>
  <c r="G138" i="4"/>
  <c r="F138" i="4"/>
  <c r="E138" i="4"/>
  <c r="D138" i="4"/>
  <c r="C138" i="4"/>
  <c r="B138" i="4"/>
  <c r="A138" i="4"/>
  <c r="J137" i="4"/>
  <c r="I137" i="4"/>
  <c r="H137" i="4"/>
  <c r="G137" i="4"/>
  <c r="F137" i="4"/>
  <c r="E137" i="4"/>
  <c r="D137" i="4"/>
  <c r="C137" i="4"/>
  <c r="B137" i="4"/>
  <c r="A137" i="4"/>
  <c r="J136" i="4"/>
  <c r="I136" i="4"/>
  <c r="H136" i="4"/>
  <c r="G136" i="4"/>
  <c r="F136" i="4"/>
  <c r="E136" i="4"/>
  <c r="D136" i="4"/>
  <c r="C136" i="4"/>
  <c r="B136" i="4"/>
  <c r="A136" i="4"/>
  <c r="J135" i="4"/>
  <c r="I135" i="4"/>
  <c r="H135" i="4"/>
  <c r="G135" i="4"/>
  <c r="F135" i="4"/>
  <c r="E135" i="4"/>
  <c r="D135" i="4"/>
  <c r="C135" i="4"/>
  <c r="B135" i="4"/>
  <c r="A135" i="4"/>
  <c r="J134" i="4"/>
  <c r="I134" i="4"/>
  <c r="H134" i="4"/>
  <c r="G134" i="4"/>
  <c r="F134" i="4"/>
  <c r="E134" i="4"/>
  <c r="D134" i="4"/>
  <c r="C134" i="4"/>
  <c r="B134" i="4"/>
  <c r="A134" i="4"/>
  <c r="J133" i="4"/>
  <c r="I133" i="4"/>
  <c r="H133" i="4"/>
  <c r="G133" i="4"/>
  <c r="F133" i="4"/>
  <c r="E133" i="4"/>
  <c r="D133" i="4"/>
  <c r="C133" i="4"/>
  <c r="B133" i="4"/>
  <c r="A133" i="4"/>
  <c r="J132" i="4"/>
  <c r="I132" i="4"/>
  <c r="H132" i="4"/>
  <c r="G132" i="4"/>
  <c r="F132" i="4"/>
  <c r="E132" i="4"/>
  <c r="D132" i="4"/>
  <c r="C132" i="4"/>
  <c r="B132" i="4"/>
  <c r="A132" i="4"/>
  <c r="J131" i="4"/>
  <c r="I131" i="4"/>
  <c r="H131" i="4"/>
  <c r="G131" i="4"/>
  <c r="F131" i="4"/>
  <c r="E131" i="4"/>
  <c r="D131" i="4"/>
  <c r="C131" i="4"/>
  <c r="B131" i="4"/>
  <c r="A131" i="4"/>
  <c r="J130" i="4"/>
  <c r="I130" i="4"/>
  <c r="H130" i="4"/>
  <c r="G130" i="4"/>
  <c r="F130" i="4"/>
  <c r="E130" i="4"/>
  <c r="D130" i="4"/>
  <c r="C130" i="4"/>
  <c r="B130" i="4"/>
  <c r="A130" i="4"/>
  <c r="J129" i="4"/>
  <c r="I129" i="4"/>
  <c r="H129" i="4"/>
  <c r="G129" i="4"/>
  <c r="F129" i="4"/>
  <c r="E129" i="4"/>
  <c r="D129" i="4"/>
  <c r="C129" i="4"/>
  <c r="B129" i="4"/>
  <c r="A129" i="4"/>
  <c r="J128" i="4"/>
  <c r="I128" i="4"/>
  <c r="H128" i="4"/>
  <c r="G128" i="4"/>
  <c r="F128" i="4"/>
  <c r="E128" i="4"/>
  <c r="D128" i="4"/>
  <c r="C128" i="4"/>
  <c r="B128" i="4"/>
  <c r="A128" i="4"/>
  <c r="J127" i="4"/>
  <c r="I127" i="4"/>
  <c r="H127" i="4"/>
  <c r="G127" i="4"/>
  <c r="F127" i="4"/>
  <c r="E127" i="4"/>
  <c r="D127" i="4"/>
  <c r="C127" i="4"/>
  <c r="B127" i="4"/>
  <c r="A127" i="4"/>
  <c r="J126" i="4"/>
  <c r="I126" i="4"/>
  <c r="H126" i="4"/>
  <c r="G126" i="4"/>
  <c r="F126" i="4"/>
  <c r="E126" i="4"/>
  <c r="D126" i="4"/>
  <c r="C126" i="4"/>
  <c r="B126" i="4"/>
  <c r="A126" i="4"/>
  <c r="J125" i="4"/>
  <c r="I125" i="4"/>
  <c r="H125" i="4"/>
  <c r="G125" i="4"/>
  <c r="F125" i="4"/>
  <c r="E125" i="4"/>
  <c r="D125" i="4"/>
  <c r="C125" i="4"/>
  <c r="B125" i="4"/>
  <c r="A125" i="4"/>
  <c r="J124" i="4"/>
  <c r="I124" i="4"/>
  <c r="H124" i="4"/>
  <c r="G124" i="4"/>
  <c r="F124" i="4"/>
  <c r="E124" i="4"/>
  <c r="D124" i="4"/>
  <c r="C124" i="4"/>
  <c r="B124" i="4"/>
  <c r="A124" i="4"/>
  <c r="J123" i="4"/>
  <c r="I123" i="4"/>
  <c r="H123" i="4"/>
  <c r="G123" i="4"/>
  <c r="F123" i="4"/>
  <c r="E123" i="4"/>
  <c r="D123" i="4"/>
  <c r="C123" i="4"/>
  <c r="B123" i="4"/>
  <c r="A123" i="4"/>
  <c r="J122" i="4"/>
  <c r="I122" i="4"/>
  <c r="H122" i="4"/>
  <c r="G122" i="4"/>
  <c r="F122" i="4"/>
  <c r="E122" i="4"/>
  <c r="D122" i="4"/>
  <c r="C122" i="4"/>
  <c r="B122" i="4"/>
  <c r="A122" i="4"/>
  <c r="J121" i="4"/>
  <c r="I121" i="4"/>
  <c r="H121" i="4"/>
  <c r="G121" i="4"/>
  <c r="F121" i="4"/>
  <c r="E121" i="4"/>
  <c r="D121" i="4"/>
  <c r="C121" i="4"/>
  <c r="B121" i="4"/>
  <c r="A121" i="4"/>
  <c r="J120" i="4"/>
  <c r="I120" i="4"/>
  <c r="H120" i="4"/>
  <c r="G120" i="4"/>
  <c r="F120" i="4"/>
  <c r="E120" i="4"/>
  <c r="D120" i="4"/>
  <c r="C120" i="4"/>
  <c r="B120" i="4"/>
  <c r="A120" i="4"/>
  <c r="J119" i="4"/>
  <c r="I119" i="4"/>
  <c r="H119" i="4"/>
  <c r="G119" i="4"/>
  <c r="F119" i="4"/>
  <c r="E119" i="4"/>
  <c r="D119" i="4"/>
  <c r="C119" i="4"/>
  <c r="B119" i="4"/>
  <c r="A119" i="4"/>
  <c r="J118" i="4"/>
  <c r="I118" i="4"/>
  <c r="H118" i="4"/>
  <c r="G118" i="4"/>
  <c r="F118" i="4"/>
  <c r="E118" i="4"/>
  <c r="D118" i="4"/>
  <c r="C118" i="4"/>
  <c r="B118" i="4"/>
  <c r="A118" i="4"/>
  <c r="J117" i="4"/>
  <c r="I117" i="4"/>
  <c r="H117" i="4"/>
  <c r="G117" i="4"/>
  <c r="F117" i="4"/>
  <c r="E117" i="4"/>
  <c r="D117" i="4"/>
  <c r="C117" i="4"/>
  <c r="B117" i="4"/>
  <c r="A117" i="4"/>
  <c r="J116" i="4"/>
  <c r="I116" i="4"/>
  <c r="H116" i="4"/>
  <c r="G116" i="4"/>
  <c r="F116" i="4"/>
  <c r="E116" i="4"/>
  <c r="D116" i="4"/>
  <c r="C116" i="4"/>
  <c r="B116" i="4"/>
  <c r="A116" i="4"/>
  <c r="J115" i="4"/>
  <c r="I115" i="4"/>
  <c r="H115" i="4"/>
  <c r="G115" i="4"/>
  <c r="F115" i="4"/>
  <c r="E115" i="4"/>
  <c r="D115" i="4"/>
  <c r="C115" i="4"/>
  <c r="B115" i="4"/>
  <c r="A115" i="4"/>
  <c r="J114" i="4"/>
  <c r="I114" i="4"/>
  <c r="H114" i="4"/>
  <c r="G114" i="4"/>
  <c r="F114" i="4"/>
  <c r="E114" i="4"/>
  <c r="D114" i="4"/>
  <c r="C114" i="4"/>
  <c r="B114" i="4"/>
  <c r="A114" i="4"/>
  <c r="J113" i="4"/>
  <c r="I113" i="4"/>
  <c r="H113" i="4"/>
  <c r="G113" i="4"/>
  <c r="F113" i="4"/>
  <c r="E113" i="4"/>
  <c r="D113" i="4"/>
  <c r="C113" i="4"/>
  <c r="B113" i="4"/>
  <c r="A113" i="4"/>
  <c r="J112" i="4"/>
  <c r="I112" i="4"/>
  <c r="H112" i="4"/>
  <c r="G112" i="4"/>
  <c r="F112" i="4"/>
  <c r="E112" i="4"/>
  <c r="D112" i="4"/>
  <c r="C112" i="4"/>
  <c r="B112" i="4"/>
  <c r="A112" i="4"/>
  <c r="J111" i="4"/>
  <c r="I111" i="4"/>
  <c r="H111" i="4"/>
  <c r="G111" i="4"/>
  <c r="F111" i="4"/>
  <c r="E111" i="4"/>
  <c r="D111" i="4"/>
  <c r="C111" i="4"/>
  <c r="B111" i="4"/>
  <c r="A111" i="4"/>
  <c r="J110" i="4"/>
  <c r="I110" i="4"/>
  <c r="H110" i="4"/>
  <c r="G110" i="4"/>
  <c r="F110" i="4"/>
  <c r="E110" i="4"/>
  <c r="D110" i="4"/>
  <c r="C110" i="4"/>
  <c r="B110" i="4"/>
  <c r="A110" i="4"/>
  <c r="J109" i="4"/>
  <c r="I109" i="4"/>
  <c r="H109" i="4"/>
  <c r="G109" i="4"/>
  <c r="F109" i="4"/>
  <c r="E109" i="4"/>
  <c r="D109" i="4"/>
  <c r="C109" i="4"/>
  <c r="B109" i="4"/>
  <c r="A109" i="4"/>
  <c r="J108" i="4"/>
  <c r="I108" i="4"/>
  <c r="H108" i="4"/>
  <c r="G108" i="4"/>
  <c r="F108" i="4"/>
  <c r="E108" i="4"/>
  <c r="D108" i="4"/>
  <c r="C108" i="4"/>
  <c r="B108" i="4"/>
  <c r="A108" i="4"/>
  <c r="J107" i="4"/>
  <c r="I107" i="4"/>
  <c r="H107" i="4"/>
  <c r="G107" i="4"/>
  <c r="F107" i="4"/>
  <c r="E107" i="4"/>
  <c r="D107" i="4"/>
  <c r="C107" i="4"/>
  <c r="B107" i="4"/>
  <c r="A107" i="4"/>
  <c r="J106" i="4"/>
  <c r="I106" i="4"/>
  <c r="H106" i="4"/>
  <c r="G106" i="4"/>
  <c r="F106" i="4"/>
  <c r="E106" i="4"/>
  <c r="D106" i="4"/>
  <c r="C106" i="4"/>
  <c r="B106" i="4"/>
  <c r="A106" i="4"/>
  <c r="J105" i="4"/>
  <c r="I105" i="4"/>
  <c r="H105" i="4"/>
  <c r="G105" i="4"/>
  <c r="F105" i="4"/>
  <c r="E105" i="4"/>
  <c r="D105" i="4"/>
  <c r="C105" i="4"/>
  <c r="B105" i="4"/>
  <c r="A105" i="4"/>
  <c r="J104" i="4"/>
  <c r="I104" i="4"/>
  <c r="H104" i="4"/>
  <c r="G104" i="4"/>
  <c r="F104" i="4"/>
  <c r="E104" i="4"/>
  <c r="D104" i="4"/>
  <c r="C104" i="4"/>
  <c r="B104" i="4"/>
  <c r="A104" i="4"/>
  <c r="J103" i="4"/>
  <c r="I103" i="4"/>
  <c r="H103" i="4"/>
  <c r="G103" i="4"/>
  <c r="F103" i="4"/>
  <c r="E103" i="4"/>
  <c r="D103" i="4"/>
  <c r="C103" i="4"/>
  <c r="B103" i="4"/>
  <c r="A103" i="4"/>
  <c r="J102" i="4"/>
  <c r="I102" i="4"/>
  <c r="H102" i="4"/>
  <c r="G102" i="4"/>
  <c r="F102" i="4"/>
  <c r="E102" i="4"/>
  <c r="D102" i="4"/>
  <c r="C102" i="4"/>
  <c r="B102" i="4"/>
  <c r="A102" i="4"/>
  <c r="J101" i="4"/>
  <c r="I101" i="4"/>
  <c r="H101" i="4"/>
  <c r="G101" i="4"/>
  <c r="F101" i="4"/>
  <c r="E101" i="4"/>
  <c r="D101" i="4"/>
  <c r="C101" i="4"/>
  <c r="B101" i="4"/>
  <c r="A101" i="4"/>
  <c r="J100" i="4"/>
  <c r="I100" i="4"/>
  <c r="H100" i="4"/>
  <c r="G100" i="4"/>
  <c r="F100" i="4"/>
  <c r="E100" i="4"/>
  <c r="D100" i="4"/>
  <c r="C100" i="4"/>
  <c r="B100" i="4"/>
  <c r="A100" i="4"/>
  <c r="J99" i="4"/>
  <c r="I99" i="4"/>
  <c r="H99" i="4"/>
  <c r="G99" i="4"/>
  <c r="F99" i="4"/>
  <c r="E99" i="4"/>
  <c r="D99" i="4"/>
  <c r="C99" i="4"/>
  <c r="B99" i="4"/>
  <c r="A99" i="4"/>
  <c r="J98" i="4"/>
  <c r="I98" i="4"/>
  <c r="H98" i="4"/>
  <c r="G98" i="4"/>
  <c r="F98" i="4"/>
  <c r="E98" i="4"/>
  <c r="D98" i="4"/>
  <c r="C98" i="4"/>
  <c r="B98" i="4"/>
  <c r="A98" i="4"/>
  <c r="J97" i="4"/>
  <c r="I97" i="4"/>
  <c r="H97" i="4"/>
  <c r="G97" i="4"/>
  <c r="F97" i="4"/>
  <c r="E97" i="4"/>
  <c r="D97" i="4"/>
  <c r="C97" i="4"/>
  <c r="B97" i="4"/>
  <c r="A97" i="4"/>
  <c r="J96" i="4"/>
  <c r="I96" i="4"/>
  <c r="H96" i="4"/>
  <c r="G96" i="4"/>
  <c r="F96" i="4"/>
  <c r="E96" i="4"/>
  <c r="D96" i="4"/>
  <c r="C96" i="4"/>
  <c r="B96" i="4"/>
  <c r="A96" i="4"/>
  <c r="J95" i="4"/>
  <c r="I95" i="4"/>
  <c r="H95" i="4"/>
  <c r="G95" i="4"/>
  <c r="F95" i="4"/>
  <c r="E95" i="4"/>
  <c r="D95" i="4"/>
  <c r="C95" i="4"/>
  <c r="B95" i="4"/>
  <c r="A95" i="4"/>
  <c r="J94" i="4"/>
  <c r="I94" i="4"/>
  <c r="H94" i="4"/>
  <c r="G94" i="4"/>
  <c r="F94" i="4"/>
  <c r="E94" i="4"/>
  <c r="D94" i="4"/>
  <c r="C94" i="4"/>
  <c r="B94" i="4"/>
  <c r="A94" i="4"/>
  <c r="J93" i="4"/>
  <c r="I93" i="4"/>
  <c r="H93" i="4"/>
  <c r="G93" i="4"/>
  <c r="F93" i="4"/>
  <c r="E93" i="4"/>
  <c r="D93" i="4"/>
  <c r="C93" i="4"/>
  <c r="B93" i="4"/>
  <c r="A93" i="4"/>
  <c r="J92" i="4"/>
  <c r="I92" i="4"/>
  <c r="H92" i="4"/>
  <c r="G92" i="4"/>
  <c r="F92" i="4"/>
  <c r="E92" i="4"/>
  <c r="D92" i="4"/>
  <c r="C92" i="4"/>
  <c r="B92" i="4"/>
  <c r="A92" i="4"/>
  <c r="J91" i="4"/>
  <c r="I91" i="4"/>
  <c r="H91" i="4"/>
  <c r="G91" i="4"/>
  <c r="F91" i="4"/>
  <c r="E91" i="4"/>
  <c r="D91" i="4"/>
  <c r="C91" i="4"/>
  <c r="B91" i="4"/>
  <c r="A91" i="4"/>
  <c r="J90" i="4"/>
  <c r="I90" i="4"/>
  <c r="H90" i="4"/>
  <c r="G90" i="4"/>
  <c r="F90" i="4"/>
  <c r="E90" i="4"/>
  <c r="D90" i="4"/>
  <c r="C90" i="4"/>
  <c r="B90" i="4"/>
  <c r="A90" i="4"/>
  <c r="J89" i="4"/>
  <c r="I89" i="4"/>
  <c r="H89" i="4"/>
  <c r="G89" i="4"/>
  <c r="F89" i="4"/>
  <c r="E89" i="4"/>
  <c r="D89" i="4"/>
  <c r="C89" i="4"/>
  <c r="B89" i="4"/>
  <c r="A89" i="4"/>
  <c r="J88" i="4"/>
  <c r="I88" i="4"/>
  <c r="H88" i="4"/>
  <c r="G88" i="4"/>
  <c r="F88" i="4"/>
  <c r="E88" i="4"/>
  <c r="D88" i="4"/>
  <c r="C88" i="4"/>
  <c r="B88" i="4"/>
  <c r="A88" i="4"/>
  <c r="J87" i="4"/>
  <c r="I87" i="4"/>
  <c r="H87" i="4"/>
  <c r="G87" i="4"/>
  <c r="F87" i="4"/>
  <c r="E87" i="4"/>
  <c r="D87" i="4"/>
  <c r="C87" i="4"/>
  <c r="B87" i="4"/>
  <c r="A87" i="4"/>
  <c r="J86" i="4"/>
  <c r="I86" i="4"/>
  <c r="H86" i="4"/>
  <c r="G86" i="4"/>
  <c r="F86" i="4"/>
  <c r="E86" i="4"/>
  <c r="D86" i="4"/>
  <c r="C86" i="4"/>
  <c r="B86" i="4"/>
  <c r="A86" i="4"/>
  <c r="J85" i="4"/>
  <c r="I85" i="4"/>
  <c r="H85" i="4"/>
  <c r="G85" i="4"/>
  <c r="F85" i="4"/>
  <c r="E85" i="4"/>
  <c r="D85" i="4"/>
  <c r="C85" i="4"/>
  <c r="B85" i="4"/>
  <c r="A85" i="4"/>
  <c r="J84" i="4"/>
  <c r="I84" i="4"/>
  <c r="H84" i="4"/>
  <c r="G84" i="4"/>
  <c r="F84" i="4"/>
  <c r="E84" i="4"/>
  <c r="D84" i="4"/>
  <c r="C84" i="4"/>
  <c r="B84" i="4"/>
  <c r="A84" i="4"/>
  <c r="J83" i="4"/>
  <c r="I83" i="4"/>
  <c r="H83" i="4"/>
  <c r="G83" i="4"/>
  <c r="F83" i="4"/>
  <c r="E83" i="4"/>
  <c r="D83" i="4"/>
  <c r="C83" i="4"/>
  <c r="B83" i="4"/>
  <c r="A83" i="4"/>
  <c r="J82" i="4"/>
  <c r="I82" i="4"/>
  <c r="H82" i="4"/>
  <c r="G82" i="4"/>
  <c r="F82" i="4"/>
  <c r="E82" i="4"/>
  <c r="D82" i="4"/>
  <c r="C82" i="4"/>
  <c r="B82" i="4"/>
  <c r="A82" i="4"/>
  <c r="J81" i="4"/>
  <c r="I81" i="4"/>
  <c r="H81" i="4"/>
  <c r="G81" i="4"/>
  <c r="F81" i="4"/>
  <c r="E81" i="4"/>
  <c r="D81" i="4"/>
  <c r="C81" i="4"/>
  <c r="B81" i="4"/>
  <c r="A81" i="4"/>
  <c r="J80" i="4"/>
  <c r="I80" i="4"/>
  <c r="H80" i="4"/>
  <c r="G80" i="4"/>
  <c r="F80" i="4"/>
  <c r="E80" i="4"/>
  <c r="D80" i="4"/>
  <c r="C80" i="4"/>
  <c r="B80" i="4"/>
  <c r="A80" i="4"/>
  <c r="J79" i="4"/>
  <c r="I79" i="4"/>
  <c r="H79" i="4"/>
  <c r="G79" i="4"/>
  <c r="F79" i="4"/>
  <c r="E79" i="4"/>
  <c r="D79" i="4"/>
  <c r="C79" i="4"/>
  <c r="B79" i="4"/>
  <c r="A79" i="4"/>
  <c r="J78" i="4"/>
  <c r="I78" i="4"/>
  <c r="H78" i="4"/>
  <c r="G78" i="4"/>
  <c r="F78" i="4"/>
  <c r="E78" i="4"/>
  <c r="D78" i="4"/>
  <c r="C78" i="4"/>
  <c r="B78" i="4"/>
  <c r="A78" i="4"/>
  <c r="J77" i="4"/>
  <c r="I77" i="4"/>
  <c r="H77" i="4"/>
  <c r="G77" i="4"/>
  <c r="F77" i="4"/>
  <c r="E77" i="4"/>
  <c r="D77" i="4"/>
  <c r="C77" i="4"/>
  <c r="B77" i="4"/>
  <c r="A77" i="4"/>
  <c r="J76" i="4"/>
  <c r="I76" i="4"/>
  <c r="H76" i="4"/>
  <c r="G76" i="4"/>
  <c r="F76" i="4"/>
  <c r="E76" i="4"/>
  <c r="D76" i="4"/>
  <c r="C76" i="4"/>
  <c r="B76" i="4"/>
  <c r="A76" i="4"/>
  <c r="J75" i="4"/>
  <c r="I75" i="4"/>
  <c r="H75" i="4"/>
  <c r="G75" i="4"/>
  <c r="F75" i="4"/>
  <c r="E75" i="4"/>
  <c r="D75" i="4"/>
  <c r="C75" i="4"/>
  <c r="B75" i="4"/>
  <c r="A75" i="4"/>
  <c r="J74" i="4"/>
  <c r="I74" i="4"/>
  <c r="H74" i="4"/>
  <c r="G74" i="4"/>
  <c r="F74" i="4"/>
  <c r="E74" i="4"/>
  <c r="D74" i="4"/>
  <c r="C74" i="4"/>
  <c r="B74" i="4"/>
  <c r="A74" i="4"/>
  <c r="J73" i="4"/>
  <c r="I73" i="4"/>
  <c r="H73" i="4"/>
  <c r="G73" i="4"/>
  <c r="F73" i="4"/>
  <c r="E73" i="4"/>
  <c r="D73" i="4"/>
  <c r="C73" i="4"/>
  <c r="B73" i="4"/>
  <c r="A73" i="4"/>
  <c r="J72" i="4"/>
  <c r="I72" i="4"/>
  <c r="H72" i="4"/>
  <c r="G72" i="4"/>
  <c r="F72" i="4"/>
  <c r="E72" i="4"/>
  <c r="D72" i="4"/>
  <c r="C72" i="4"/>
  <c r="B72" i="4"/>
  <c r="A72" i="4"/>
  <c r="J71" i="4"/>
  <c r="I71" i="4"/>
  <c r="H71" i="4"/>
  <c r="G71" i="4"/>
  <c r="F71" i="4"/>
  <c r="E71" i="4"/>
  <c r="D71" i="4"/>
  <c r="C71" i="4"/>
  <c r="B71" i="4"/>
  <c r="A71" i="4"/>
  <c r="J70" i="4"/>
  <c r="I70" i="4"/>
  <c r="H70" i="4"/>
  <c r="G70" i="4"/>
  <c r="F70" i="4"/>
  <c r="E70" i="4"/>
  <c r="D70" i="4"/>
  <c r="C70" i="4"/>
  <c r="B70" i="4"/>
  <c r="A70" i="4"/>
  <c r="J69" i="4"/>
  <c r="I69" i="4"/>
  <c r="H69" i="4"/>
  <c r="G69" i="4"/>
  <c r="F69" i="4"/>
  <c r="E69" i="4"/>
  <c r="D69" i="4"/>
  <c r="C69" i="4"/>
  <c r="B69" i="4"/>
  <c r="A69" i="4"/>
  <c r="J68" i="4"/>
  <c r="I68" i="4"/>
  <c r="H68" i="4"/>
  <c r="G68" i="4"/>
  <c r="F68" i="4"/>
  <c r="E68" i="4"/>
  <c r="D68" i="4"/>
  <c r="C68" i="4"/>
  <c r="B68" i="4"/>
  <c r="A68" i="4"/>
  <c r="J67" i="4"/>
  <c r="I67" i="4"/>
  <c r="H67" i="4"/>
  <c r="G67" i="4"/>
  <c r="F67" i="4"/>
  <c r="E67" i="4"/>
  <c r="D67" i="4"/>
  <c r="C67" i="4"/>
  <c r="B67" i="4"/>
  <c r="A67" i="4"/>
  <c r="J66" i="4"/>
  <c r="I66" i="4"/>
  <c r="H66" i="4"/>
  <c r="G66" i="4"/>
  <c r="F66" i="4"/>
  <c r="E66" i="4"/>
  <c r="D66" i="4"/>
  <c r="C66" i="4"/>
  <c r="B66" i="4"/>
  <c r="A66" i="4"/>
  <c r="J65" i="4"/>
  <c r="I65" i="4"/>
  <c r="H65" i="4"/>
  <c r="G65" i="4"/>
  <c r="F65" i="4"/>
  <c r="E65" i="4"/>
  <c r="D65" i="4"/>
  <c r="C65" i="4"/>
  <c r="B65" i="4"/>
  <c r="A65" i="4"/>
  <c r="J64" i="4"/>
  <c r="I64" i="4"/>
  <c r="H64" i="4"/>
  <c r="G64" i="4"/>
  <c r="F64" i="4"/>
  <c r="E64" i="4"/>
  <c r="D64" i="4"/>
  <c r="C64" i="4"/>
  <c r="B64" i="4"/>
  <c r="A64" i="4"/>
  <c r="J63" i="4"/>
  <c r="I63" i="4"/>
  <c r="H63" i="4"/>
  <c r="G63" i="4"/>
  <c r="F63" i="4"/>
  <c r="E63" i="4"/>
  <c r="D63" i="4"/>
  <c r="C63" i="4"/>
  <c r="B63" i="4"/>
  <c r="A63" i="4"/>
  <c r="J62" i="4"/>
  <c r="I62" i="4"/>
  <c r="H62" i="4"/>
  <c r="G62" i="4"/>
  <c r="F62" i="4"/>
  <c r="E62" i="4"/>
  <c r="D62" i="4"/>
  <c r="C62" i="4"/>
  <c r="B62" i="4"/>
  <c r="A62" i="4"/>
  <c r="J61" i="4"/>
  <c r="I61" i="4"/>
  <c r="H61" i="4"/>
  <c r="G61" i="4"/>
  <c r="F61" i="4"/>
  <c r="E61" i="4"/>
  <c r="D61" i="4"/>
  <c r="C61" i="4"/>
  <c r="B61" i="4"/>
  <c r="A61" i="4"/>
  <c r="J60" i="4"/>
  <c r="I60" i="4"/>
  <c r="H60" i="4"/>
  <c r="G60" i="4"/>
  <c r="F60" i="4"/>
  <c r="E60" i="4"/>
  <c r="D60" i="4"/>
  <c r="C60" i="4"/>
  <c r="B60" i="4"/>
  <c r="A60" i="4"/>
  <c r="J59" i="4"/>
  <c r="I59" i="4"/>
  <c r="H59" i="4"/>
  <c r="G59" i="4"/>
  <c r="F59" i="4"/>
  <c r="E59" i="4"/>
  <c r="D59" i="4"/>
  <c r="C59" i="4"/>
  <c r="B59" i="4"/>
  <c r="A59" i="4"/>
  <c r="J58" i="4"/>
  <c r="I58" i="4"/>
  <c r="H58" i="4"/>
  <c r="G58" i="4"/>
  <c r="F58" i="4"/>
  <c r="E58" i="4"/>
  <c r="D58" i="4"/>
  <c r="C58" i="4"/>
  <c r="B58" i="4"/>
  <c r="A58" i="4"/>
  <c r="J57" i="4"/>
  <c r="I57" i="4"/>
  <c r="H57" i="4"/>
  <c r="G57" i="4"/>
  <c r="F57" i="4"/>
  <c r="E57" i="4"/>
  <c r="D57" i="4"/>
  <c r="C57" i="4"/>
  <c r="B57" i="4"/>
  <c r="A57" i="4"/>
  <c r="J56" i="4"/>
  <c r="I56" i="4"/>
  <c r="H56" i="4"/>
  <c r="G56" i="4"/>
  <c r="F56" i="4"/>
  <c r="E56" i="4"/>
  <c r="D56" i="4"/>
  <c r="C56" i="4"/>
  <c r="B56" i="4"/>
  <c r="A56" i="4"/>
  <c r="J55" i="4"/>
  <c r="I55" i="4"/>
  <c r="H55" i="4"/>
  <c r="G55" i="4"/>
  <c r="F55" i="4"/>
  <c r="E55" i="4"/>
  <c r="D55" i="4"/>
  <c r="C55" i="4"/>
  <c r="B55" i="4"/>
  <c r="A55" i="4"/>
  <c r="J54" i="4"/>
  <c r="I54" i="4"/>
  <c r="H54" i="4"/>
  <c r="G54" i="4"/>
  <c r="F54" i="4"/>
  <c r="E54" i="4"/>
  <c r="D54" i="4"/>
  <c r="C54" i="4"/>
  <c r="B54" i="4"/>
  <c r="A54" i="4"/>
  <c r="J53" i="4"/>
  <c r="I53" i="4"/>
  <c r="H53" i="4"/>
  <c r="G53" i="4"/>
  <c r="F53" i="4"/>
  <c r="E53" i="4"/>
  <c r="D53" i="4"/>
  <c r="C53" i="4"/>
  <c r="B53" i="4"/>
  <c r="A53" i="4"/>
  <c r="J52" i="4"/>
  <c r="I52" i="4"/>
  <c r="H52" i="4"/>
  <c r="G52" i="4"/>
  <c r="F52" i="4"/>
  <c r="E52" i="4"/>
  <c r="D52" i="4"/>
  <c r="C52" i="4"/>
  <c r="B52" i="4"/>
  <c r="A52" i="4"/>
  <c r="J51" i="4"/>
  <c r="I51" i="4"/>
  <c r="H51" i="4"/>
  <c r="G51" i="4"/>
  <c r="F51" i="4"/>
  <c r="E51" i="4"/>
  <c r="D51" i="4"/>
  <c r="C51" i="4"/>
  <c r="B51" i="4"/>
  <c r="A51" i="4"/>
  <c r="J50" i="4"/>
  <c r="I50" i="4"/>
  <c r="H50" i="4"/>
  <c r="G50" i="4"/>
  <c r="F50" i="4"/>
  <c r="E50" i="4"/>
  <c r="D50" i="4"/>
  <c r="C50" i="4"/>
  <c r="B50" i="4"/>
  <c r="A50" i="4"/>
  <c r="J49" i="4"/>
  <c r="I49" i="4"/>
  <c r="H49" i="4"/>
  <c r="G49" i="4"/>
  <c r="F49" i="4"/>
  <c r="E49" i="4"/>
  <c r="D49" i="4"/>
  <c r="C49" i="4"/>
  <c r="B49" i="4"/>
  <c r="A49" i="4"/>
  <c r="J48" i="4"/>
  <c r="I48" i="4"/>
  <c r="H48" i="4"/>
  <c r="G48" i="4"/>
  <c r="F48" i="4"/>
  <c r="E48" i="4"/>
  <c r="D48" i="4"/>
  <c r="C48" i="4"/>
  <c r="B48" i="4"/>
  <c r="A48" i="4"/>
  <c r="J47" i="4"/>
  <c r="I47" i="4"/>
  <c r="H47" i="4"/>
  <c r="G47" i="4"/>
  <c r="F47" i="4"/>
  <c r="E47" i="4"/>
  <c r="D47" i="4"/>
  <c r="C47" i="4"/>
  <c r="B47" i="4"/>
  <c r="A47" i="4"/>
  <c r="J46" i="4"/>
  <c r="I46" i="4"/>
  <c r="H46" i="4"/>
  <c r="G46" i="4"/>
  <c r="F46" i="4"/>
  <c r="E46" i="4"/>
  <c r="D46" i="4"/>
  <c r="C46" i="4"/>
  <c r="B46" i="4"/>
  <c r="A46" i="4"/>
  <c r="J45" i="4"/>
  <c r="I45" i="4"/>
  <c r="H45" i="4"/>
  <c r="G45" i="4"/>
  <c r="F45" i="4"/>
  <c r="E45" i="4"/>
  <c r="D45" i="4"/>
  <c r="C45" i="4"/>
  <c r="B45" i="4"/>
  <c r="A45" i="4"/>
  <c r="J44" i="4"/>
  <c r="I44" i="4"/>
  <c r="H44" i="4"/>
  <c r="G44" i="4"/>
  <c r="F44" i="4"/>
  <c r="E44" i="4"/>
  <c r="D44" i="4"/>
  <c r="C44" i="4"/>
  <c r="B44" i="4"/>
  <c r="A44" i="4"/>
  <c r="J43" i="4"/>
  <c r="I43" i="4"/>
  <c r="H43" i="4"/>
  <c r="G43" i="4"/>
  <c r="F43" i="4"/>
  <c r="E43" i="4"/>
  <c r="D43" i="4"/>
  <c r="C43" i="4"/>
  <c r="B43" i="4"/>
  <c r="A43" i="4"/>
  <c r="J42" i="4"/>
  <c r="I42" i="4"/>
  <c r="H42" i="4"/>
  <c r="G42" i="4"/>
  <c r="F42" i="4"/>
  <c r="E42" i="4"/>
  <c r="D42" i="4"/>
  <c r="C42" i="4"/>
  <c r="B42" i="4"/>
  <c r="A42" i="4"/>
  <c r="J41" i="4"/>
  <c r="I41" i="4"/>
  <c r="H41" i="4"/>
  <c r="G41" i="4"/>
  <c r="F41" i="4"/>
  <c r="E41" i="4"/>
  <c r="D41" i="4"/>
  <c r="C41" i="4"/>
  <c r="B41" i="4"/>
  <c r="A41" i="4"/>
  <c r="J40" i="4"/>
  <c r="I40" i="4"/>
  <c r="H40" i="4"/>
  <c r="G40" i="4"/>
  <c r="F40" i="4"/>
  <c r="E40" i="4"/>
  <c r="D40" i="4"/>
  <c r="C40" i="4"/>
  <c r="B40" i="4"/>
  <c r="A40" i="4"/>
  <c r="J39" i="4"/>
  <c r="I39" i="4"/>
  <c r="H39" i="4"/>
  <c r="G39" i="4"/>
  <c r="F39" i="4"/>
  <c r="E39" i="4"/>
  <c r="D39" i="4"/>
  <c r="C39" i="4"/>
  <c r="B39" i="4"/>
  <c r="A39" i="4"/>
  <c r="J38" i="4"/>
  <c r="I38" i="4"/>
  <c r="H38" i="4"/>
  <c r="G38" i="4"/>
  <c r="F38" i="4"/>
  <c r="E38" i="4"/>
  <c r="D38" i="4"/>
  <c r="C38" i="4"/>
  <c r="B38" i="4"/>
  <c r="A38" i="4"/>
  <c r="J37" i="4"/>
  <c r="I37" i="4"/>
  <c r="H37" i="4"/>
  <c r="G37" i="4"/>
  <c r="F37" i="4"/>
  <c r="E37" i="4"/>
  <c r="D37" i="4"/>
  <c r="C37" i="4"/>
  <c r="B37" i="4"/>
  <c r="A37" i="4"/>
  <c r="J36" i="4"/>
  <c r="I36" i="4"/>
  <c r="H36" i="4"/>
  <c r="G36" i="4"/>
  <c r="F36" i="4"/>
  <c r="E36" i="4"/>
  <c r="D36" i="4"/>
  <c r="C36" i="4"/>
  <c r="B36" i="4"/>
  <c r="A36" i="4"/>
  <c r="J35" i="4"/>
  <c r="I35" i="4"/>
  <c r="H35" i="4"/>
  <c r="G35" i="4"/>
  <c r="F35" i="4"/>
  <c r="E35" i="4"/>
  <c r="D35" i="4"/>
  <c r="C35" i="4"/>
  <c r="B35" i="4"/>
  <c r="A35" i="4"/>
  <c r="J34" i="4"/>
  <c r="I34" i="4"/>
  <c r="H34" i="4"/>
  <c r="G34" i="4"/>
  <c r="F34" i="4"/>
  <c r="E34" i="4"/>
  <c r="D34" i="4"/>
  <c r="C34" i="4"/>
  <c r="B34" i="4"/>
  <c r="A34" i="4"/>
  <c r="J33" i="4"/>
  <c r="I33" i="4"/>
  <c r="H33" i="4"/>
  <c r="G33" i="4"/>
  <c r="F33" i="4"/>
  <c r="E33" i="4"/>
  <c r="D33" i="4"/>
  <c r="C33" i="4"/>
  <c r="B33" i="4"/>
  <c r="A33" i="4"/>
  <c r="J32" i="4"/>
  <c r="I32" i="4"/>
  <c r="H32" i="4"/>
  <c r="G32" i="4"/>
  <c r="F32" i="4"/>
  <c r="E32" i="4"/>
  <c r="D32" i="4"/>
  <c r="C32" i="4"/>
  <c r="B32" i="4"/>
  <c r="A32" i="4"/>
  <c r="J31" i="4"/>
  <c r="I31" i="4"/>
  <c r="H31" i="4"/>
  <c r="G31" i="4"/>
  <c r="F31" i="4"/>
  <c r="E31" i="4"/>
  <c r="D31" i="4"/>
  <c r="C31" i="4"/>
  <c r="B31" i="4"/>
  <c r="A31" i="4"/>
  <c r="J30" i="4"/>
  <c r="I30" i="4"/>
  <c r="H30" i="4"/>
  <c r="G30" i="4"/>
  <c r="F30" i="4"/>
  <c r="E30" i="4"/>
  <c r="D30" i="4"/>
  <c r="C30" i="4"/>
  <c r="B30" i="4"/>
  <c r="A30" i="4"/>
  <c r="J29" i="4"/>
  <c r="I29" i="4"/>
  <c r="H29" i="4"/>
  <c r="G29" i="4"/>
  <c r="F29" i="4"/>
  <c r="E29" i="4"/>
  <c r="D29" i="4"/>
  <c r="C29" i="4"/>
  <c r="B29" i="4"/>
  <c r="A29" i="4"/>
  <c r="J28" i="4"/>
  <c r="I28" i="4"/>
  <c r="H28" i="4"/>
  <c r="G28" i="4"/>
  <c r="F28" i="4"/>
  <c r="E28" i="4"/>
  <c r="D28" i="4"/>
  <c r="C28" i="4"/>
  <c r="B28" i="4"/>
  <c r="A28" i="4"/>
  <c r="J27" i="4"/>
  <c r="I27" i="4"/>
  <c r="H27" i="4"/>
  <c r="G27" i="4"/>
  <c r="F27" i="4"/>
  <c r="E27" i="4"/>
  <c r="D27" i="4"/>
  <c r="C27" i="4"/>
  <c r="B27" i="4"/>
  <c r="A27" i="4"/>
  <c r="J26" i="4"/>
  <c r="I26" i="4"/>
  <c r="H26" i="4"/>
  <c r="G26" i="4"/>
  <c r="F26" i="4"/>
  <c r="E26" i="4"/>
  <c r="D26" i="4"/>
  <c r="C26" i="4"/>
  <c r="B26" i="4"/>
  <c r="A26" i="4"/>
  <c r="J25" i="4"/>
  <c r="I25" i="4"/>
  <c r="H25" i="4"/>
  <c r="G25" i="4"/>
  <c r="F25" i="4"/>
  <c r="E25" i="4"/>
  <c r="D25" i="4"/>
  <c r="C25" i="4"/>
  <c r="B25" i="4"/>
  <c r="A25" i="4"/>
  <c r="J24" i="4"/>
  <c r="I24" i="4"/>
  <c r="H24" i="4"/>
  <c r="G24" i="4"/>
  <c r="F24" i="4"/>
  <c r="E24" i="4"/>
  <c r="D24" i="4"/>
  <c r="C24" i="4"/>
  <c r="B24" i="4"/>
  <c r="A24" i="4"/>
  <c r="J23" i="4"/>
  <c r="I23" i="4"/>
  <c r="H23" i="4"/>
  <c r="G23" i="4"/>
  <c r="F23" i="4"/>
  <c r="E23" i="4"/>
  <c r="D23" i="4"/>
  <c r="C23" i="4"/>
  <c r="B23" i="4"/>
  <c r="A23" i="4"/>
  <c r="J22" i="4"/>
  <c r="I22" i="4"/>
  <c r="H22" i="4"/>
  <c r="G22" i="4"/>
  <c r="F22" i="4"/>
  <c r="E22" i="4"/>
  <c r="D22" i="4"/>
  <c r="C22" i="4"/>
  <c r="B22" i="4"/>
  <c r="A22" i="4"/>
  <c r="J21" i="4"/>
  <c r="I21" i="4"/>
  <c r="H21" i="4"/>
  <c r="G21" i="4"/>
  <c r="F21" i="4"/>
  <c r="E21" i="4"/>
  <c r="D21" i="4"/>
  <c r="C21" i="4"/>
  <c r="B21" i="4"/>
  <c r="A21" i="4"/>
  <c r="J20" i="4"/>
  <c r="I20" i="4"/>
  <c r="H20" i="4"/>
  <c r="G20" i="4"/>
  <c r="F20" i="4"/>
  <c r="E20" i="4"/>
  <c r="D20" i="4"/>
  <c r="C20" i="4"/>
  <c r="B20" i="4"/>
  <c r="A20" i="4"/>
  <c r="J19" i="4"/>
  <c r="I19" i="4"/>
  <c r="H19" i="4"/>
  <c r="G19" i="4"/>
  <c r="F19" i="4"/>
  <c r="E19" i="4"/>
  <c r="D19" i="4"/>
  <c r="C19" i="4"/>
  <c r="B19" i="4"/>
  <c r="A19" i="4"/>
  <c r="J18" i="4"/>
  <c r="I18" i="4"/>
  <c r="H18" i="4"/>
  <c r="G18" i="4"/>
  <c r="F18" i="4"/>
  <c r="E18" i="4"/>
  <c r="D18" i="4"/>
  <c r="C18" i="4"/>
  <c r="B18" i="4"/>
  <c r="A18" i="4"/>
  <c r="J17" i="4"/>
  <c r="I17" i="4"/>
  <c r="H17" i="4"/>
  <c r="G17" i="4"/>
  <c r="F17" i="4"/>
  <c r="E17" i="4"/>
  <c r="D17" i="4"/>
  <c r="C17" i="4"/>
  <c r="B17" i="4"/>
  <c r="A17" i="4"/>
  <c r="J16" i="4"/>
  <c r="I16" i="4"/>
  <c r="H16" i="4"/>
  <c r="G16" i="4"/>
  <c r="F16" i="4"/>
  <c r="E16" i="4"/>
  <c r="D16" i="4"/>
  <c r="C16" i="4"/>
  <c r="B16" i="4"/>
  <c r="A16" i="4"/>
  <c r="J15" i="4"/>
  <c r="I15" i="4"/>
  <c r="H15" i="4"/>
  <c r="G15" i="4"/>
  <c r="F15" i="4"/>
  <c r="E15" i="4"/>
  <c r="D15" i="4"/>
  <c r="C15" i="4"/>
  <c r="B15" i="4"/>
  <c r="A15" i="4"/>
  <c r="J14" i="4"/>
  <c r="I14" i="4"/>
  <c r="H14" i="4"/>
  <c r="G14" i="4"/>
  <c r="F14" i="4"/>
  <c r="E14" i="4"/>
  <c r="D14" i="4"/>
  <c r="C14" i="4"/>
  <c r="B14" i="4"/>
  <c r="A14" i="4"/>
  <c r="J13" i="4"/>
  <c r="I13" i="4"/>
  <c r="H13" i="4"/>
  <c r="G13" i="4"/>
  <c r="F13" i="4"/>
  <c r="E13" i="4"/>
  <c r="D13" i="4"/>
  <c r="C13" i="4"/>
  <c r="B13" i="4"/>
  <c r="A13" i="4"/>
  <c r="J12" i="4"/>
  <c r="I12" i="4"/>
  <c r="H12" i="4"/>
  <c r="G12" i="4"/>
  <c r="F12" i="4"/>
  <c r="E12" i="4"/>
  <c r="D12" i="4"/>
  <c r="C12" i="4"/>
  <c r="B12" i="4"/>
  <c r="A12" i="4"/>
  <c r="J11" i="4"/>
  <c r="I11" i="4"/>
  <c r="H11" i="4"/>
  <c r="G11" i="4"/>
  <c r="F11" i="4"/>
  <c r="E11" i="4"/>
  <c r="D11" i="4"/>
  <c r="C11" i="4"/>
  <c r="B11" i="4"/>
  <c r="A11" i="4"/>
  <c r="J10" i="4"/>
  <c r="I10" i="4"/>
  <c r="H10" i="4"/>
  <c r="G10" i="4"/>
  <c r="F10" i="4"/>
  <c r="E10" i="4"/>
  <c r="D10" i="4"/>
  <c r="C10" i="4"/>
  <c r="B10" i="4"/>
  <c r="A10" i="4"/>
  <c r="J9" i="4"/>
  <c r="I9" i="4"/>
  <c r="H9" i="4"/>
  <c r="G9" i="4"/>
  <c r="F9" i="4"/>
  <c r="E9" i="4"/>
  <c r="D9" i="4"/>
  <c r="C9" i="4"/>
  <c r="B9" i="4"/>
  <c r="A9" i="4"/>
  <c r="J8" i="4"/>
  <c r="I8" i="4"/>
  <c r="H8" i="4"/>
  <c r="G8" i="4"/>
  <c r="F8" i="4"/>
  <c r="E8" i="4"/>
  <c r="D8" i="4"/>
  <c r="C8" i="4"/>
  <c r="B8" i="4"/>
  <c r="A8" i="4"/>
  <c r="J7" i="4"/>
  <c r="I7" i="4"/>
  <c r="H7" i="4"/>
  <c r="G7" i="4"/>
  <c r="F7" i="4"/>
  <c r="E7" i="4"/>
  <c r="D7" i="4"/>
  <c r="C7" i="4"/>
  <c r="B7" i="4"/>
  <c r="A7" i="4"/>
  <c r="J6" i="4"/>
  <c r="I6" i="4"/>
  <c r="H6" i="4"/>
  <c r="G6" i="4"/>
  <c r="F6" i="4"/>
  <c r="E6" i="4"/>
  <c r="D6" i="4"/>
  <c r="C6" i="4"/>
  <c r="B6" i="4"/>
  <c r="A6" i="4"/>
  <c r="J5" i="4"/>
  <c r="I5" i="4"/>
  <c r="H5" i="4"/>
  <c r="G5" i="4"/>
  <c r="F5" i="4"/>
  <c r="E5" i="4"/>
  <c r="D5" i="4"/>
  <c r="C5" i="4"/>
  <c r="B5" i="4"/>
  <c r="A5" i="4"/>
  <c r="J4" i="4"/>
  <c r="I4" i="4"/>
  <c r="H4" i="4"/>
  <c r="G4" i="4"/>
  <c r="F4" i="4"/>
  <c r="E4" i="4"/>
  <c r="D4" i="4"/>
  <c r="C4" i="4"/>
  <c r="B4" i="4"/>
  <c r="A4" i="4"/>
  <c r="J3" i="4"/>
  <c r="I3" i="4"/>
  <c r="H3" i="4"/>
  <c r="G3" i="4"/>
  <c r="F3" i="4"/>
  <c r="E3" i="4"/>
  <c r="D3" i="4"/>
  <c r="C3" i="4"/>
  <c r="B3" i="4"/>
  <c r="A3" i="4"/>
  <c r="J2" i="4"/>
  <c r="I2" i="4"/>
  <c r="H2" i="4"/>
  <c r="G2" i="4"/>
  <c r="F2" i="4"/>
  <c r="E2" i="4"/>
  <c r="D2" i="4"/>
  <c r="C2" i="4"/>
  <c r="B2" i="4"/>
  <c r="A2" i="4"/>
  <c r="J1" i="4"/>
  <c r="I1" i="4"/>
  <c r="H1" i="4"/>
  <c r="G1" i="4"/>
  <c r="F1" i="4"/>
  <c r="E1" i="4"/>
  <c r="D1" i="4"/>
  <c r="C1" i="4"/>
  <c r="B1" i="4"/>
  <c r="A1" i="4"/>
</calcChain>
</file>

<file path=xl/sharedStrings.xml><?xml version="1.0" encoding="utf-8"?>
<sst xmlns="http://schemas.openxmlformats.org/spreadsheetml/2006/main" count="7066" uniqueCount="471">
  <si>
    <t>유입확인불가</t>
  </si>
  <si>
    <t>전화</t>
  </si>
  <si>
    <t>No</t>
  </si>
  <si>
    <t>유입일시</t>
  </si>
  <si>
    <t>처리상태</t>
  </si>
  <si>
    <t>상담메모</t>
  </si>
  <si>
    <t>상담경로</t>
  </si>
  <si>
    <t>유입매체</t>
  </si>
  <si>
    <t>DB판정</t>
  </si>
  <si>
    <t>inType</t>
  </si>
  <si>
    <t>키워드</t>
  </si>
  <si>
    <t>세부경로</t>
  </si>
  <si>
    <t>네이버예약</t>
  </si>
  <si>
    <t>검색</t>
  </si>
  <si>
    <t>클릭로그</t>
  </si>
  <si>
    <t>파산신청</t>
  </si>
  <si>
    <t>네이버 예약</t>
  </si>
  <si>
    <t>상담신청</t>
  </si>
  <si>
    <t>배너</t>
  </si>
  <si>
    <t>정상DB</t>
  </si>
  <si>
    <t>nim003</t>
  </si>
  <si>
    <t/>
  </si>
  <si>
    <t>모바일 하단 상담폼</t>
  </si>
  <si>
    <t>NIP002</t>
  </si>
  <si>
    <t>AI 진단</t>
  </si>
  <si>
    <t>PC 하단 상담폼</t>
  </si>
  <si>
    <t>중복DB</t>
  </si>
  <si>
    <t>메인 상단 상담폼</t>
  </si>
  <si>
    <t>개인파산신청자격</t>
  </si>
  <si>
    <t>NK</t>
  </si>
  <si>
    <t>개인회생</t>
  </si>
  <si>
    <t>네이버톡톡</t>
  </si>
  <si>
    <t>네이버 톡톡</t>
  </si>
  <si>
    <t>카카오톡</t>
  </si>
  <si>
    <t>NIM001</t>
  </si>
  <si>
    <t>개인회생상담</t>
  </si>
  <si>
    <t>개인회생파산</t>
  </si>
  <si>
    <t>전화 문의</t>
  </si>
  <si>
    <t>개인회생신청자격</t>
  </si>
  <si>
    <t>nim_sq02</t>
  </si>
  <si>
    <t>파산신청자격</t>
  </si>
  <si>
    <t>개인사업자개인회생</t>
  </si>
  <si>
    <t>%EA%B0%9C%EC%9D%B8%ED%8C%8C%EC%82%B0%EB%B3%80%ED%98%B8%EC%82%AC</t>
  </si>
  <si>
    <t>개인파산</t>
  </si>
  <si>
    <t>개인회생전문</t>
  </si>
  <si>
    <t>개인파산신청</t>
  </si>
  <si>
    <t>개인회생신청</t>
  </si>
  <si>
    <t>부산개인회생</t>
  </si>
  <si>
    <t>개인회생법률사무소</t>
  </si>
  <si>
    <t>회생</t>
  </si>
  <si>
    <t>nim_sq01</t>
  </si>
  <si>
    <t>안산개인회생</t>
  </si>
  <si>
    <t>처리상태 예시</t>
  </si>
  <si>
    <t>확인전</t>
  </si>
  <si>
    <t>미처리</t>
  </si>
  <si>
    <t>연락시도</t>
  </si>
  <si>
    <t>상담완료</t>
  </si>
  <si>
    <t>예약완료</t>
  </si>
  <si>
    <t>전화 또는 콜 값</t>
  </si>
  <si>
    <t>계약완료</t>
  </si>
  <si>
    <t>보류</t>
  </si>
  <si>
    <t>종료</t>
  </si>
  <si>
    <t>2026. 6. 1 오전 12:27:14</t>
  </si>
  <si>
    <t>2026. 6. 1 오전 11:11:22</t>
  </si>
  <si>
    <t>2026. 6. 1 오후 12:07:04</t>
  </si>
  <si>
    <t>2026. 6. 1 오후 1:02:21</t>
  </si>
  <si>
    <t>2026. 6. 1 오후 3:48:01</t>
  </si>
  <si>
    <t>2026. 6. 1 오후 3:48:07</t>
  </si>
  <si>
    <t>2026. 6. 1 오후 8:09:04</t>
  </si>
  <si>
    <t>2026. 6. 1 오후 9:57:28</t>
  </si>
  <si>
    <t>2026. 6. 2 오전 10:09:59</t>
  </si>
  <si>
    <t>2026. 6. 2 오전 10:27:50</t>
  </si>
  <si>
    <t>2026. 6. 2 오전 11:12:41</t>
  </si>
  <si>
    <t>2026. 6. 2 오후 12:15:26</t>
  </si>
  <si>
    <t>2026. 6. 2 오후 12:15:58</t>
  </si>
  <si>
    <t>2026. 6. 2 오후 1:51:44</t>
  </si>
  <si>
    <t>2026. 6. 2 오후 4:31:28</t>
  </si>
  <si>
    <t>2026. 6. 2 오후 4:57:14</t>
  </si>
  <si>
    <t>2026. 6. 2 오후 6:05:59</t>
  </si>
  <si>
    <t>2026. 6. 2 오후 8:22:39</t>
  </si>
  <si>
    <t>2026. 6. 2 오후 9:14:45</t>
  </si>
  <si>
    <t>2026. 6. 3 오전 9:27:13</t>
  </si>
  <si>
    <t>2026. 6. 3 오전 11:21:37</t>
  </si>
  <si>
    <t>2026. 6. 3 오후 12:41:51</t>
  </si>
  <si>
    <t>2026. 6. 3 오후 1:02:37</t>
  </si>
  <si>
    <t>2026. 6. 3 오후 1:20:43</t>
  </si>
  <si>
    <t>2026. 6. 3 오후 1:42:12</t>
  </si>
  <si>
    <t>2026. 6. 3 오후 2:20:04</t>
  </si>
  <si>
    <t>2026. 6. 3 오후 3:19:20</t>
  </si>
  <si>
    <t>2026. 6. 3 오후 3:21:29</t>
  </si>
  <si>
    <t>2026. 6. 3 오후 3:34:42</t>
  </si>
  <si>
    <t>2026. 6. 3 오후 3:41:24</t>
  </si>
  <si>
    <t>2026. 6. 3 오후 3:50:05</t>
  </si>
  <si>
    <t>2026. 6. 3 오후 3:54:08</t>
  </si>
  <si>
    <t>2026. 6. 3 오후 4:25:17</t>
  </si>
  <si>
    <t>2026. 6. 3 오후 5:12:23</t>
  </si>
  <si>
    <t>2026. 6. 3 오후 5:51:30</t>
  </si>
  <si>
    <t>2026. 6. 3 오후 5:51:49</t>
  </si>
  <si>
    <t>2026. 6. 3 오후 6:10:48</t>
  </si>
  <si>
    <t>2026. 6. 3 오후 6:11:01</t>
  </si>
  <si>
    <t>2026. 6. 3 오후 6:32:38</t>
  </si>
  <si>
    <t>2026. 6. 3 오후 6:32:48</t>
  </si>
  <si>
    <t>2026. 6. 3 오후 7:41:39</t>
  </si>
  <si>
    <t>2026. 6. 3 오후 7:44:20</t>
  </si>
  <si>
    <t>2026. 6. 4 오전 11:28:11</t>
  </si>
  <si>
    <t>2026. 6. 4 오후 5:45:00</t>
  </si>
  <si>
    <t>2026. 6. 4 오후 5:57:42</t>
  </si>
  <si>
    <t>2026. 6. 4 오후 6:27:57</t>
  </si>
  <si>
    <t>2026. 6. 4 오후 6:28:02</t>
  </si>
  <si>
    <t>2026. 6. 4 오후 7:03:58</t>
  </si>
  <si>
    <t>2026. 6. 4 오후 8:52:18</t>
  </si>
  <si>
    <t>2026. 6. 4 오후 9:22:37</t>
  </si>
  <si>
    <t>2026. 6. 4 오후 9:22:55</t>
  </si>
  <si>
    <t>2026. 6. 5 오전 8:16:24</t>
  </si>
  <si>
    <t>2026. 6. 5 오후 1:00:28</t>
  </si>
  <si>
    <t>2026. 6. 5 오후 3:56:15</t>
  </si>
  <si>
    <t>2026. 6. 5 오후 5:10:24</t>
  </si>
  <si>
    <t>2026. 6. 5 오후 6:07:59</t>
  </si>
  <si>
    <t>2026. 6. 5 오후 6:23:19</t>
  </si>
  <si>
    <t>2026. 6. 5 오후 9:08:12</t>
  </si>
  <si>
    <t>2026. 6. 8 오전 9:14:37</t>
  </si>
  <si>
    <t>2026. 6. 8 오전 10:15:33</t>
  </si>
  <si>
    <t>2026. 6. 8 오전 11:10:17</t>
  </si>
  <si>
    <t>2026. 6. 8 오전 11:20:51</t>
  </si>
  <si>
    <t>2026. 6. 8 오전 11:24:15</t>
  </si>
  <si>
    <t>2026. 6. 8 오전 11:34:31</t>
  </si>
  <si>
    <t>2026. 6. 8 오후 1:53:55</t>
  </si>
  <si>
    <t>2026. 6. 8 오후 1:54:06</t>
  </si>
  <si>
    <t>2026. 6. 8 오후 2:17:55</t>
  </si>
  <si>
    <t>2026. 6. 8 오후 2:49:19</t>
  </si>
  <si>
    <t>2026. 6. 8 오후 4:14:54</t>
  </si>
  <si>
    <t>2026. 6. 8 오후 4:15:15</t>
  </si>
  <si>
    <t>2026. 6. 8 오후 4:15:36</t>
  </si>
  <si>
    <t>2026. 6. 8 오후 4:15:46</t>
  </si>
  <si>
    <t>2026. 6. 8 오후 4:16:38</t>
  </si>
  <si>
    <t>2026. 6. 8 오후 4:17:08</t>
  </si>
  <si>
    <t>2026. 6. 8 오후 4:17:12</t>
  </si>
  <si>
    <t>2026. 6. 8 오후 4:17:34</t>
  </si>
  <si>
    <t>2026. 6. 8 오후 4:28:48</t>
  </si>
  <si>
    <t>2026. 6. 8 오후 4:31:46</t>
  </si>
  <si>
    <t>2026. 6. 8 오후 4:32:08</t>
  </si>
  <si>
    <t>2026. 6. 8 오후 4:38:29</t>
  </si>
  <si>
    <t>2026. 6. 8 오후 4:40:40</t>
  </si>
  <si>
    <t>2026. 6. 8 오후 4:41:05</t>
  </si>
  <si>
    <t>2026. 6. 8 오후 4:42:13</t>
  </si>
  <si>
    <t>2026. 6. 8 오후 4:42:19</t>
  </si>
  <si>
    <t>2026. 6. 8 오후 6:34:38</t>
  </si>
  <si>
    <t>2026. 6. 8 오후 10:11:49</t>
  </si>
  <si>
    <t>2026. 6. 9 오전 9:12:42</t>
  </si>
  <si>
    <t>2026. 6. 9 오전 10:11:13</t>
  </si>
  <si>
    <t>2026. 6. 9 오전 10:22:00</t>
  </si>
  <si>
    <t>2026. 6. 9 오전 10:55:28</t>
  </si>
  <si>
    <t>2026. 6. 9 오전 11:04:08</t>
  </si>
  <si>
    <t>2026. 6. 9 오전 11:52:47</t>
  </si>
  <si>
    <t>2026. 6. 9 오후 5:37:10</t>
  </si>
  <si>
    <t>2026. 6. 9 오후 6:35:08</t>
  </si>
  <si>
    <t>2026. 6. 9 오후 10:02:35</t>
  </si>
  <si>
    <t>2026. 6. 10 오전 11:08:28</t>
  </si>
  <si>
    <t>2026. 6. 10 오전 11:16:52</t>
  </si>
  <si>
    <t>2026. 6. 10 오전 11:22:27</t>
  </si>
  <si>
    <t>2026. 6. 10 오전 11:22:34</t>
  </si>
  <si>
    <t>2026. 6. 10 오전 11:22:41</t>
  </si>
  <si>
    <t>2026. 6. 10 오후 1:55:30</t>
  </si>
  <si>
    <t>2026. 6. 10 오후 3:31:40</t>
  </si>
  <si>
    <t>2026. 6. 10 오후 3:32:27</t>
  </si>
  <si>
    <t>2026. 6. 10 오후 3:35:07</t>
  </si>
  <si>
    <t>2026. 6. 10 오후 3:37:08</t>
  </si>
  <si>
    <t>2026. 6. 10 오후 3:38:35</t>
  </si>
  <si>
    <t>2026. 6. 10 오후 5:55:32</t>
  </si>
  <si>
    <t>2026. 6. 10 오후 6:53:56</t>
  </si>
  <si>
    <t>2026. 6. 10 오후 6:54:02</t>
  </si>
  <si>
    <t>2026. 6. 10 오후 10:59:18</t>
  </si>
  <si>
    <t>2026. 6. 10 오후 10:59:34</t>
  </si>
  <si>
    <t>2026. 6. 10 오후 11:25:47</t>
  </si>
  <si>
    <t>2026. 6. 11 오전 8:12:40</t>
  </si>
  <si>
    <t>2026. 6. 11 오전 11:57:55</t>
  </si>
  <si>
    <t>2026. 6. 11 오전 11:58:31</t>
  </si>
  <si>
    <t>2026. 6. 11 오후 12:10:56</t>
  </si>
  <si>
    <t>2026. 6. 11 오후 12:46:29</t>
  </si>
  <si>
    <t>2026. 6. 11 오후 12:48:07</t>
  </si>
  <si>
    <t>2026. 6. 11 오후 12:56:06</t>
  </si>
  <si>
    <t>2026. 6. 11 오후 12:56:31</t>
  </si>
  <si>
    <t>2026. 6. 11 오후 1:42:39</t>
  </si>
  <si>
    <t>2026. 6. 11 오후 1:43:38</t>
  </si>
  <si>
    <t>2026. 6. 11 오후 3:09:34</t>
  </si>
  <si>
    <t>2026. 6. 11 오후 6:59:46</t>
  </si>
  <si>
    <t>2026. 6. 11 오후 7:29:34</t>
  </si>
  <si>
    <t>2026. 6. 12 오전 12:32:45</t>
  </si>
  <si>
    <t>2026. 6. 12 오전 12:32:57</t>
  </si>
  <si>
    <t>2026. 6. 12 오후 12:58:23</t>
  </si>
  <si>
    <t>2026. 6. 12 오후 1:00:51</t>
  </si>
  <si>
    <t>2026. 6. 12 오후 1:06:22</t>
  </si>
  <si>
    <t>2026. 6. 12 오후 1:16:26</t>
  </si>
  <si>
    <t>2026. 6. 12 오후 3:14:59</t>
  </si>
  <si>
    <t>2026. 6. 12 오후 3:40:16</t>
  </si>
  <si>
    <t>2026. 6. 12 오후 3:48:32</t>
  </si>
  <si>
    <t>2026. 6. 12 오후 6:16:49</t>
  </si>
  <si>
    <t>2026. 6. 12 오후 6:33:07</t>
  </si>
  <si>
    <t>2026. 6. 12 오후 8:47:57</t>
  </si>
  <si>
    <t>2026. 6. 15 오전 9:44:28</t>
  </si>
  <si>
    <t>2026. 6. 15 오전 9:57:44</t>
  </si>
  <si>
    <t>2026. 6. 15 오전 9:58:47</t>
  </si>
  <si>
    <t>2026. 6. 15 오후 12:44:16</t>
  </si>
  <si>
    <t>2026. 6. 15 오후 2:44:05</t>
  </si>
  <si>
    <t>2026. 6. 15 오후 3:49:54</t>
  </si>
  <si>
    <t>2026. 6. 15 오후 5:38:25</t>
  </si>
  <si>
    <t>2026. 6. 15 오후 5:39:34</t>
  </si>
  <si>
    <t>2026. 6. 15 오후 5:47:26</t>
  </si>
  <si>
    <t>2026. 6. 15 오후 9:56:12</t>
  </si>
  <si>
    <t>2026. 6. 16 오전 8:30:01</t>
  </si>
  <si>
    <t>2026. 6. 16 오전 8:31:01</t>
  </si>
  <si>
    <t>2026. 6. 16 오전 10:17:17</t>
  </si>
  <si>
    <t>2026. 6. 16 오전 10:31:03</t>
  </si>
  <si>
    <t>2026. 6. 16 오후 2:39:31</t>
  </si>
  <si>
    <t>2026. 6. 16 오후 4:30:42</t>
  </si>
  <si>
    <t>2026. 6. 16 오후 5:47:13</t>
  </si>
  <si>
    <t>2026. 6. 16 오후 6:17:11</t>
  </si>
  <si>
    <t>2026. 6. 16 오후 6:19:39</t>
  </si>
  <si>
    <t>2026. 6. 16 오후 6:24:30</t>
  </si>
  <si>
    <t>2026. 6. 16 오후 6:32:24</t>
  </si>
  <si>
    <t>2026. 6. 16 오후 7:34:15</t>
  </si>
  <si>
    <t>2026. 6. 16 오후 7:48:05</t>
  </si>
  <si>
    <t>2026. 6. 16 오후 8:49:19</t>
  </si>
  <si>
    <t>2026. 6. 16 오후 10:59:07</t>
  </si>
  <si>
    <t>2026. 6. 17 오전 10:13:22</t>
  </si>
  <si>
    <t>2026. 6. 17 오전 10:23:23</t>
  </si>
  <si>
    <t>2026. 6. 17 오전 10:55:38</t>
  </si>
  <si>
    <t>2026. 6. 17 오전 11:01:17</t>
  </si>
  <si>
    <t>2026. 6. 17 오전 11:20:42</t>
  </si>
  <si>
    <t>2026. 6. 17 오전 11:32:38</t>
  </si>
  <si>
    <t>2026. 6. 17 오전 11:36:54</t>
  </si>
  <si>
    <t>2026. 6. 17 오후 1:14:02</t>
  </si>
  <si>
    <t>2026. 6. 17 오후 1:14:11</t>
  </si>
  <si>
    <t>2026. 6. 17 오후 2:31:57</t>
  </si>
  <si>
    <t>2026. 6. 17 오후 2:56:49</t>
  </si>
  <si>
    <t>2026. 6. 17 오후 4:26:58</t>
  </si>
  <si>
    <t>2026. 6. 18 오전 10:09:45</t>
  </si>
  <si>
    <t>2026. 6. 18 오전 10:45:56</t>
  </si>
  <si>
    <t>2026. 6. 18 오전 10:46:04</t>
  </si>
  <si>
    <t>2026. 6. 18 오전 11:12:47</t>
  </si>
  <si>
    <t>2026. 6. 18 오후 12:19:15</t>
  </si>
  <si>
    <t>2026. 6. 18 오후 12:49:44</t>
  </si>
  <si>
    <t>2026. 6. 18 오후 1:47:28</t>
  </si>
  <si>
    <t>2026. 6. 18 오후 2:37:22</t>
  </si>
  <si>
    <t>2026. 6. 18 오후 2:53:12</t>
  </si>
  <si>
    <t>2026. 6. 18 오후 2:54:38</t>
  </si>
  <si>
    <t>2026. 6. 18 오후 3:11:11</t>
  </si>
  <si>
    <t>2026. 6. 18 오후 4:12:02</t>
  </si>
  <si>
    <t>2026. 6. 18 오후 4:12:13</t>
  </si>
  <si>
    <t>2026. 6. 18 오후 4:12:26</t>
  </si>
  <si>
    <t>2026. 6. 18 오후 4:12:32</t>
  </si>
  <si>
    <t>2026. 6. 18 오후 4:12:43</t>
  </si>
  <si>
    <t>2026. 6. 18 오후 4:16:07</t>
  </si>
  <si>
    <t>2026. 6. 18 오후 5:37:43</t>
  </si>
  <si>
    <t>2026. 6. 18 오후 10:22:07</t>
  </si>
  <si>
    <t>2026. 6. 18 오후 10:43:25</t>
  </si>
  <si>
    <t>2026. 6. 19 오후 4:10:00</t>
  </si>
  <si>
    <t>2026. 6. 19 오후 4:35:43</t>
  </si>
  <si>
    <t>2026. 6. 19 오후 5:37:38</t>
  </si>
  <si>
    <t>2026. 6. 19 오후 5:38:09</t>
  </si>
  <si>
    <t>2026. 6. 19 오후 5:42:43</t>
  </si>
  <si>
    <t>2026. 6. 19 오후 9:39:47</t>
  </si>
  <si>
    <t>2026. 6. 21 오후 7:38:12</t>
  </si>
  <si>
    <t>2026. 6. 21 오후 7:38:21</t>
  </si>
  <si>
    <t>2026. 6. 22 오전 9:42:42</t>
  </si>
  <si>
    <t>2026. 6. 22 오후 12:15:02</t>
  </si>
  <si>
    <t>2026. 6. 22 오후 12:16:36</t>
  </si>
  <si>
    <t>2026. 6. 22 오후 1:08:34</t>
  </si>
  <si>
    <t>2026. 6. 22 오후 1:43:27</t>
  </si>
  <si>
    <t>2026. 6. 22 오후 2:20:42</t>
  </si>
  <si>
    <t>2026. 6. 22 오후 2:20:48</t>
  </si>
  <si>
    <t>2026. 6. 22 오후 3:01:46</t>
  </si>
  <si>
    <t>2026. 6. 22 오후 3:11:50</t>
  </si>
  <si>
    <t>2026. 6. 22 오후 3:12:20</t>
  </si>
  <si>
    <t>2026. 6. 22 오후 5:11:28</t>
  </si>
  <si>
    <t>2026. 6. 22 오후 5:14:14</t>
  </si>
  <si>
    <t>2026. 6. 22 오후 5:15:19</t>
  </si>
  <si>
    <t>2026. 6. 22 오후 5:15:36</t>
  </si>
  <si>
    <t>2026. 6. 22 오후 5:16:39</t>
  </si>
  <si>
    <t>2026. 6. 22 오후 5:19:32</t>
  </si>
  <si>
    <t>2026. 6. 22 오후 5:21:55</t>
  </si>
  <si>
    <t>2026. 6. 22 오후 6:02:52</t>
  </si>
  <si>
    <t>2026. 6. 22 오후 8:31:35</t>
  </si>
  <si>
    <t>2026. 6. 22 오후 10:10:37</t>
  </si>
  <si>
    <t>2026. 6. 22 오후 10:27:56</t>
  </si>
  <si>
    <t>2026. 6. 22 오후 10:27:58</t>
  </si>
  <si>
    <t>2026. 6. 22 오후 10:28:49</t>
  </si>
  <si>
    <t>2026. 6. 22 오후 11:17:26</t>
  </si>
  <si>
    <t>2026. 6. 22 오후 11:17:28</t>
  </si>
  <si>
    <t>2026. 6. 22 오후 11:18:01</t>
  </si>
  <si>
    <t>2026. 6. 23 오전 11:31:01</t>
  </si>
  <si>
    <t>2026. 6. 23 오전 11:42:55</t>
  </si>
  <si>
    <t>2026. 6. 23 오전 11:50:19</t>
  </si>
  <si>
    <t>2026. 6. 23 오전 11:51:40</t>
  </si>
  <si>
    <t>2026. 6. 23 오후 5:28:23</t>
  </si>
  <si>
    <t>2026. 6. 23 오후 6:00:07</t>
  </si>
  <si>
    <t>2026. 6. 23 오후 6:24:57</t>
  </si>
  <si>
    <t>2026. 6. 23 오후 6:32:32</t>
  </si>
  <si>
    <t>2026. 6. 23 오후 8:05:54</t>
  </si>
  <si>
    <t>2026. 6. 23 오후 10:25:44</t>
  </si>
  <si>
    <t>2026. 6. 24 오전 8:54:09</t>
  </si>
  <si>
    <t>2026. 6. 24 오전 9:26:48</t>
  </si>
  <si>
    <t>2026. 6. 24 오전 9:35:42</t>
  </si>
  <si>
    <t>2026. 6. 24 오전 9:37:02</t>
  </si>
  <si>
    <t>2026. 6. 24 오전 10:05:10</t>
  </si>
  <si>
    <t>2026. 6. 24 오후 2:24:39</t>
  </si>
  <si>
    <t>2026. 6. 24 오후 2:25:52</t>
  </si>
  <si>
    <t>2026. 6. 24 오후 4:33:40</t>
  </si>
  <si>
    <t>2026. 6. 24 오후 4:57:30</t>
  </si>
  <si>
    <t>2026. 6. 24 오후 5:25:36</t>
  </si>
  <si>
    <t>2026. 6. 24 오후 6:52:29</t>
  </si>
  <si>
    <t>2026. 6. 24 오후 8:07:48</t>
  </si>
  <si>
    <t>2026. 6. 24 오후 8:54:44</t>
  </si>
  <si>
    <t>2026. 6. 24 오후 9:38:33</t>
  </si>
  <si>
    <t>2026. 6. 24 오후 9:38:43</t>
  </si>
  <si>
    <t>2026. 6. 24 오후 9:38:45</t>
  </si>
  <si>
    <t>2026. 6. 24 오후 9:38:48</t>
  </si>
  <si>
    <t>2026. 6. 24 오후 9:43:44</t>
  </si>
  <si>
    <t>2026. 6. 25 오전 10:25:52</t>
  </si>
  <si>
    <t>2026. 6. 25 오전 10:49:53</t>
  </si>
  <si>
    <t>2026. 6. 25 오전 10:50:55</t>
  </si>
  <si>
    <t>2026. 6. 25 오후 1:55:43</t>
  </si>
  <si>
    <t>2026. 6. 25 오후 5:31:56</t>
  </si>
  <si>
    <t>2026. 6. 25 오후 5:34:26</t>
  </si>
  <si>
    <t>2026. 6. 25 오후 7:07:10</t>
  </si>
  <si>
    <t>2026. 6. 25 오후 7:49:56</t>
  </si>
  <si>
    <t>2026. 6. 26 오전 8:10:32</t>
  </si>
  <si>
    <t>2026. 6. 26 오전 9:52:05</t>
  </si>
  <si>
    <t>2026. 6. 26 오전 10:00:51</t>
  </si>
  <si>
    <t>2026. 6. 26 오전 10:48:56</t>
  </si>
  <si>
    <t>2026. 6. 26 오전 11:13:42</t>
  </si>
  <si>
    <t>2026. 6. 26 오후 12:05:17</t>
  </si>
  <si>
    <t>2026. 6. 26 오후 12:07:29</t>
  </si>
  <si>
    <t>2026. 6. 26 오후 12:07:51</t>
  </si>
  <si>
    <t>2026. 6. 26 오후 12:08:27</t>
  </si>
  <si>
    <t>2026. 6. 26 오후 12:49:07</t>
  </si>
  <si>
    <t>2026. 6. 26 오후 12:57:21</t>
  </si>
  <si>
    <t>2026. 6. 26 오후 1:00:31</t>
  </si>
  <si>
    <t>2026. 6. 26 오후 1:14:48</t>
  </si>
  <si>
    <t>2026. 6. 26 오후 1:37:30</t>
  </si>
  <si>
    <t>2026. 6. 26 오후 1:59:21</t>
  </si>
  <si>
    <t>2026. 6. 26 오후 3:30:35</t>
  </si>
  <si>
    <t>2026. 6. 26 오후 3:50:44</t>
  </si>
  <si>
    <t>2026. 6. 26 오후 4:02:20</t>
  </si>
  <si>
    <t>2026. 6. 26 오후 4:03:02</t>
  </si>
  <si>
    <t>2026. 6. 26 오후 4:05:58</t>
  </si>
  <si>
    <t>2026. 6. 26 오후 4:14:38</t>
  </si>
  <si>
    <t>2026. 6. 26 오후 4:21:06</t>
  </si>
  <si>
    <t>2026. 6. 26 오후 4:27:06</t>
  </si>
  <si>
    <t>2026. 6. 26 오후 4:27:26</t>
  </si>
  <si>
    <t>2026. 6. 26 오후 4:27:38</t>
  </si>
  <si>
    <t>2026. 6. 26 오후 4:58:52</t>
  </si>
  <si>
    <t>2026. 6. 26 오후 6:16:39</t>
  </si>
  <si>
    <t>2026. 6. 26 오후 6:39:53</t>
  </si>
  <si>
    <t>2026. 6. 26 오후 6:40:07</t>
  </si>
  <si>
    <t>2026. 6. 26 오후 6:43:56</t>
  </si>
  <si>
    <t>2026. 6. 26 오후 6:44:36</t>
  </si>
  <si>
    <t>2026. 6. 26 오후 8:15:10</t>
  </si>
  <si>
    <t>2026. 6. 26 오후 8:36:34</t>
  </si>
  <si>
    <t>2026. 6. 26 오후 10:00:14</t>
  </si>
  <si>
    <t>2026. 6. 29 오전 9:30:33</t>
  </si>
  <si>
    <t>2026. 6. 29 오전 10:49:27</t>
  </si>
  <si>
    <t>2026. 6. 29 오전 11:01:18</t>
  </si>
  <si>
    <t>2026. 6. 29 오전 11:25:03</t>
  </si>
  <si>
    <t>2026. 6. 29 오전 11:52:53</t>
  </si>
  <si>
    <t>2026. 6. 29 오후 12:41:35</t>
  </si>
  <si>
    <t>2026. 6. 29 오후 2:07:17</t>
  </si>
  <si>
    <t>2026. 6. 29 오후 2:25:15</t>
  </si>
  <si>
    <t>2026. 6. 29 오후 2:25:48</t>
  </si>
  <si>
    <t>2026. 6. 29 오후 2:53:53</t>
  </si>
  <si>
    <t>2026. 6. 29 오후 3:57:50</t>
  </si>
  <si>
    <t>2026. 6. 29 오후 4:04:56</t>
  </si>
  <si>
    <t>2026. 6. 29 오후 7:29:59</t>
  </si>
  <si>
    <t>2026. 6. 29 오후 9:44:02</t>
  </si>
  <si>
    <t>기기구분</t>
  </si>
  <si>
    <t>모바일</t>
  </si>
  <si>
    <t>PC</t>
  </si>
  <si>
    <t>태블릿</t>
  </si>
  <si>
    <t>2026. 6. 30 오전 8:05:06</t>
  </si>
  <si>
    <t>2026. 6. 30 오전 9:12:50</t>
  </si>
  <si>
    <t>2026. 6. 30 오후 1:12:41</t>
  </si>
  <si>
    <t>2026. 6. 30 오후 1:16:40</t>
  </si>
  <si>
    <t>2026. 6. 30 오후 1:20:04</t>
  </si>
  <si>
    <t>2026. 6. 30 오후 2:22:12</t>
  </si>
  <si>
    <t>2026. 6. 30 오후 3:18:54</t>
  </si>
  <si>
    <t>2026. 6. 30 오후 3:19:23</t>
  </si>
  <si>
    <t>2026. 6. 30 오후 3:20:13</t>
  </si>
  <si>
    <t>2026. 6. 30 오후 5:09:49</t>
  </si>
  <si>
    <t>2026. 6. 30 오후 7:10:37</t>
  </si>
  <si>
    <t>2026. 5. 1 오전 6:13:10</t>
  </si>
  <si>
    <t>2026. 5. 4 오후 1:18:00</t>
  </si>
  <si>
    <t>2026. 5. 6 오후 7:17:33</t>
  </si>
  <si>
    <t>2026. 5. 6 오후 8:39:45</t>
  </si>
  <si>
    <t>2026. 5. 6 오후 10:10:56</t>
  </si>
  <si>
    <t>2026. 5. 7 오전 2:56:29</t>
  </si>
  <si>
    <t>2026. 5. 7 오후 2:38:51</t>
  </si>
  <si>
    <t>2026. 5. 7 오후 11:03:41</t>
  </si>
  <si>
    <t>2026. 5. 8 오전 12:18:32</t>
  </si>
  <si>
    <t>2026. 5. 8 오전 10:14:12</t>
  </si>
  <si>
    <t>2026. 5. 8 오후 12:17:01</t>
  </si>
  <si>
    <t>2026. 5. 8 오후 10:28:33</t>
  </si>
  <si>
    <t>2026. 5. 8 오후 10:29:05</t>
  </si>
  <si>
    <t>2026. 5. 8 오후 10:49:11</t>
  </si>
  <si>
    <t>2026. 5. 12 오전 10:07:51</t>
  </si>
  <si>
    <t>워크아웃</t>
  </si>
  <si>
    <t>2026. 5. 12 오후 12:54:30</t>
  </si>
  <si>
    <t>2026. 5. 12 오후 7:07:01</t>
  </si>
  <si>
    <t>2026. 5. 12 오후 7:38:36</t>
  </si>
  <si>
    <t>2026. 5. 12 오후 11:29:58</t>
  </si>
  <si>
    <t>2026. 5. 13 오후 3:29:12</t>
  </si>
  <si>
    <t>2026. 5. 13 오후 3:43:42</t>
  </si>
  <si>
    <t>2026. 5. 13 오후 4:15:17</t>
  </si>
  <si>
    <t>2026. 5. 13 오후 7:57:02</t>
  </si>
  <si>
    <t>2026. 5. 13 오후 10:32:48</t>
  </si>
  <si>
    <t>2026. 5. 14 오전 12:32:58</t>
  </si>
  <si>
    <t>2026. 5. 14 오전 8:07:17</t>
  </si>
  <si>
    <t>2026. 5. 14 오전 10:17:12</t>
  </si>
  <si>
    <t>2026. 5. 14 오후 4:10:08</t>
  </si>
  <si>
    <t>2026. 5. 14 오후 4:42:44</t>
  </si>
  <si>
    <t>2026. 5. 14 오후 8:23:31</t>
  </si>
  <si>
    <t>2026. 5. 14 오후 11:25:45</t>
  </si>
  <si>
    <t>2026. 5. 14 오후 11:27:21</t>
  </si>
  <si>
    <t>2026. 5. 14 오후 11:28:29</t>
  </si>
  <si>
    <t>2026. 5. 15 오전 9:30:26</t>
  </si>
  <si>
    <t>2026. 5. 15 오후 12:15:36</t>
  </si>
  <si>
    <t>2026. 5. 15 오후 12:32:20</t>
  </si>
  <si>
    <t>2026. 5. 15 오후 7:39:58</t>
  </si>
  <si>
    <t>2026. 5. 15 오후 9:45:58</t>
  </si>
  <si>
    <t>2026. 5. 15 오후 11:18:15</t>
  </si>
  <si>
    <t>2026. 5. 18 오후 8:00:05</t>
  </si>
  <si>
    <t>2026. 5. 18 오후 11:20:45</t>
  </si>
  <si>
    <t>2026. 5. 19 오전 8:58:33</t>
  </si>
  <si>
    <t>2026. 5. 19 오후 7:34:02</t>
  </si>
  <si>
    <t>2026. 5. 20 오후 9:53:25</t>
  </si>
  <si>
    <t>2026. 5. 21 오전 10:07:17</t>
  </si>
  <si>
    <t>2026. 5. 21 오전 10:07:29</t>
  </si>
  <si>
    <t>2026. 5. 21 오후 5:59:49</t>
  </si>
  <si>
    <t>2026. 5. 21 오후 6:07:48</t>
  </si>
  <si>
    <t>2026. 5. 21 오후 7:01:38</t>
  </si>
  <si>
    <t>2026. 5. 21 오후 7:51:02</t>
  </si>
  <si>
    <t>2026. 5. 21 오후 8:10:48</t>
  </si>
  <si>
    <t>2026. 5. 21 오후 11:53:55</t>
  </si>
  <si>
    <t>2026. 5. 22 오전 8:20:12</t>
  </si>
  <si>
    <t>2026. 5. 22 오전 9:58:40</t>
  </si>
  <si>
    <t>2026. 5. 22 오전 11:02:39</t>
  </si>
  <si>
    <t>2026. 5. 22 오후 3:22:43</t>
  </si>
  <si>
    <t>2026. 5. 22 오후 4:43:12</t>
  </si>
  <si>
    <t>2026. 5. 26 오전 8:11:45</t>
  </si>
  <si>
    <t>2026. 5. 26 오후 6:25:00</t>
  </si>
  <si>
    <t>2026. 5. 26 오후 8:50:05</t>
  </si>
  <si>
    <t>2026. 5. 27 오전 8:42:35</t>
  </si>
  <si>
    <t>2026. 5. 27 오전 9:48:31</t>
  </si>
  <si>
    <t>2026. 5. 27 오후 2:48:19</t>
  </si>
  <si>
    <t>2026. 5. 27 오후 2:59:40</t>
  </si>
  <si>
    <t>2026. 5. 27 오후 3:53:16</t>
  </si>
  <si>
    <t>2026. 5. 27 오후 5:54:35</t>
  </si>
  <si>
    <t>2026. 5. 27 오후 6:18:46</t>
  </si>
  <si>
    <t>2026. 5. 27 오후 9:17:14</t>
  </si>
  <si>
    <t>2026. 5. 28 오후 3:20:24</t>
  </si>
  <si>
    <t>2026. 5. 28 오후 3:54:47</t>
  </si>
  <si>
    <t>2026. 5. 28 오후 4:43:14</t>
  </si>
  <si>
    <t>2026. 5. 28 오후 5:28:16</t>
  </si>
  <si>
    <t>2026. 5. 28 오후 5:50:29</t>
  </si>
  <si>
    <t>2026. 5. 28 오후 8:50:02</t>
  </si>
  <si>
    <t>2026. 5. 29 오전 12:05:40</t>
  </si>
  <si>
    <t>2026. 5. 29 오전 12:42:08</t>
  </si>
  <si>
    <t>2026. 5. 29 오후 12:32:44</t>
  </si>
  <si>
    <t>2026. 5. 29 오후 6:38:45</t>
  </si>
  <si>
    <t>파산</t>
  </si>
  <si>
    <t>2026. 5. 29 오후 6:57:01</t>
  </si>
  <si>
    <t>2026. 5. 29 오후 11:07:49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</si>
</sst>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.\ m\.\ d\ am/pm\ h:mm:ss"/>
  </numFmts>
  <fonts count="8" x14ac:knownFonts="1">
    <font>
      <sz val="10"/>
      <color rgb="FF000000"/>
      <name val="Arial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8"/>
      <name val="Arial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111827"/>
        <bgColor rgb="FF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top" wrapText="1"/>
    </xf>
    <xf numFmtId="176" fontId="1" fillId="2" borderId="0" xfId="0" applyNumberFormat="1" applyFont="1" applyFill="1" applyAlignment="1">
      <alignment horizontal="left" vertical="top" wrapText="1"/>
    </xf>
    <xf numFmtId="0" fontId="2" fillId="0" borderId="0" xfId="0" applyFont="1"/>
    <xf numFmtId="0" fontId="2" fillId="0" borderId="0" xfId="0" applyFont="1" applyAlignment="1">
      <alignment horizontal="center"/>
    </xf>
    <xf numFmtId="176" fontId="2" fillId="0" borderId="0" xfId="0" applyNumberFormat="1" applyFont="1" applyAlignment="1">
      <alignment horizontal="left"/>
    </xf>
    <xf numFmtId="0" fontId="3" fillId="0" borderId="0" xfId="0" applyFont="1"/>
    <xf numFmtId="0" fontId="4" fillId="0" borderId="0" xfId="0" applyFont="1"/>
    <xf numFmtId="0" fontId="5" fillId="3" borderId="0" xfId="0" applyFont="1" applyFill="1" applyAlignment="1">
      <alignment horizontal="center" wrapText="1"/>
    </xf>
    <xf numFmtId="0" fontId="6" fillId="0" borderId="0" xfId="0" applyFont="1"/>
  </cellXfs>
  <cellStyles count="1">
    <cellStyle name="표준" xfId="0" builtinId="0"/>
  </cellStyles>
  <dxfs count="3">
    <dxf>
      <font>
        <b/>
      </font>
      <fill>
        <patternFill patternType="none"/>
      </fill>
    </dxf>
    <dxf>
      <font>
        <strike/>
        <color rgb="FFD9D9D9"/>
      </font>
      <fill>
        <patternFill patternType="solid">
          <fgColor rgb="FFF3F3F3"/>
          <bgColor rgb="FFF3F3F3"/>
        </patternFill>
      </fill>
    </dxf>
    <dxf>
      <font>
        <strike/>
        <color rgb="FFD9D9D9"/>
      </font>
      <fill>
        <patternFill patternType="solid">
          <fgColor rgb="FFF3F3F3"/>
          <bgColor rgb="FFF3F3F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://newstart-law.com/?inType=nim003&amp;NaPm=ci=6bYLBCgnBhQSavln-Wbe8BVw%7Ctr=gfa%7Cct=mq8yf5cr%7Chk=eead99989d900d58b1fe4f94a1006d942cd0c57a%7Cnacn=zZaJBMwH0qqeB" TargetMode="External"/><Relationship Id="rId299" Type="http://schemas.openxmlformats.org/officeDocument/2006/relationships/hyperlink" Target="https://newstart-law.com/?inType=NIM001&amp;NaPm=ci=6tgO04dXNyRKqeV3YAGH-lvQ%7Ctr=gfa%7Cct=mqyhdnw5%7Chk=1e366d0e74276b34a34743e8305428bbba8cb05d%7Cnacn=Q8PeDAiUl67PB" TargetMode="External"/><Relationship Id="rId21" Type="http://schemas.openxmlformats.org/officeDocument/2006/relationships/hyperlink" Target="http://newstart-law.com/?inType=nim003&amp;NaPm=ci=63CzLyAn41TwCnmGw5yv2pDw%7Ctr=gfa%7Cct=mpxfttvt%7Chk=879103375666f31c2e211049c1e7398dbe311710%7Cnacn=eZ5RDACulaS3B" TargetMode="External"/><Relationship Id="rId63" Type="http://schemas.openxmlformats.org/officeDocument/2006/relationships/hyperlink" Target="http://newstart-law.com/?inType=nim003&amp;NaPm=ci=68o9h7fiK9TVCuPciv22TM3Q%7Ctr=gfa%7Cct=mq4l6ufb%7Chk=808418c1f45c967334b960c384b74c08a0c34c12%7Cnacn=xhq0BkQHevT1B" TargetMode="External"/><Relationship Id="rId159" Type="http://schemas.openxmlformats.org/officeDocument/2006/relationships/hyperlink" Target="https://www.newstart-law.com/?inType=NK&amp;n_media=8753&amp;n_query=%EA%B0%9C%EC%9D%B8%ED%9A%8C%EC%83%9D&amp;n_rank=9&amp;n_ad_group=grp-a001-01-000000063063767&amp;n_ad=nad-a001-01-000000495340403&amp;n_keyword_id=nkw-a001-01-000007934680459&amp;n_keyword=%EA%B0%9C%EC%9D%B8%ED%9A%8C%EC%83%9D&amp;n_campaign_type=1&amp;n_ad_group_type=1&amp;n_match=1&amp;NaPm=ct=mqgi8sck%7Cci=ERea899514-696e-11f1-95f0-7a377ecd8059%7Ctr=sa%7Chk=21c4ca3e9302724e8d268bb35ec2b8ffd98358db%7Cnacn=DMc4B0gOjtp7" TargetMode="External"/><Relationship Id="rId170" Type="http://schemas.openxmlformats.org/officeDocument/2006/relationships/hyperlink" Target="https://newstart-law.com/?inType=NIP002&amp;NaPm=ci=6hxejk-7rkQJeuC-eBAXTOvg%7Ctr=gfa%7Cct=mqhk0qrt%7Chk=7428a78c91deef578ef50e9d6478bbac7b3521d5%7Cnacn=mwoMBIREmZpR" TargetMode="External"/><Relationship Id="rId226" Type="http://schemas.openxmlformats.org/officeDocument/2006/relationships/hyperlink" Target="https://www.newstart-law.com/?inType=NK&amp;n_media=8753&amp;n_query=%EA%B0%9C%EC%9D%B8%ED%8C%8C%EC%82%B0&amp;n_rank=1&amp;n_ad_group=grp-a001-01-000000063065512&amp;n_ad=nad-a001-01-000000495460286&amp;n_keyword_id=nkw-a001-01-000007934684740&amp;n_keyword=%EA%B0%9C%EC%9D%B8%ED%8C%8C%EC%82%B0&amp;n_campaign_type=1&amp;n_ad_group_type=1&amp;n_match=1&amp;NaPm=ct=mqpauqzb%7Cci=ER1217e2ff-6e45-11f1-81e1-e609e8bf4a3b%7Ctr=sa%7Chk=f8d6f0fd2fbb2bbd7598e68b730880769b1c9885%7Cnacn=eLnqCICqLOg8B" TargetMode="External"/><Relationship Id="rId268" Type="http://schemas.openxmlformats.org/officeDocument/2006/relationships/hyperlink" Target="http://newstart-law.com/?inType=nim003&amp;NaPm=ci=6qCSXEb9iMQvKaG9N13zERWA%7Ctr=gfa%7Cct=mqu9rjqq%7Chk=7c428b72b88edf27f04cf984068d26da95f809e0%7Cnacn=JB8CBsQ1lWwp" TargetMode="External"/><Relationship Id="rId32" Type="http://schemas.openxmlformats.org/officeDocument/2006/relationships/hyperlink" Target="http://newstart-law.com/?inType=NIM001&amp;NaPm=ci=636zWmRxGZQn2dF9Vm5ItrFQ%7Ctr=gfa%7Cct=mpxpbh95%7Chk=5a3378bab1641dc4a6460a9c35a77beb0a9e8b55%7Cnacn=vf2wDgB2Pl5sA" TargetMode="External"/><Relationship Id="rId74" Type="http://schemas.openxmlformats.org/officeDocument/2006/relationships/hyperlink" Target="https://newstart-law.com/" TargetMode="External"/><Relationship Id="rId128" Type="http://schemas.openxmlformats.org/officeDocument/2006/relationships/hyperlink" Target="http://newstart-law.com/?inType=nim003&amp;NaPm=ci=6cyxyoh5IrRWaKGHIgecXMmQ%7Ctr=gfa%7Cct=mqaec1p0%7Chk=d2bea60ac7ed048842c9cfd5038671ea51c19e01%7Cnacn=z7xxBggxOOUL" TargetMode="External"/><Relationship Id="rId5" Type="http://schemas.openxmlformats.org/officeDocument/2006/relationships/hyperlink" Target="https://newstart-law.com/?inType=NIP002&amp;NaPm=ci=61LJoODq38TfGxhhCs3eFxRA%7Ctr=gfa%7Cct=mpuujyhj%7Chk=a88b52aeac58f682a3d4bd818254b58b5d66f741%7Cnacn=yTfrCIifm51KA" TargetMode="External"/><Relationship Id="rId181" Type="http://schemas.openxmlformats.org/officeDocument/2006/relationships/hyperlink" Target="http://newstart-law.com/?inType=nim003&amp;NaPm=ci=6i_frEnrkOSbyruRZ8a4EAQg%7Ctr=gfa%7Cct=mqiz3f85%7Chk=4c29be37c3358b92345ecae192c556d1f39ebff9%7Cnacn=pbGJB0wIWION" TargetMode="External"/><Relationship Id="rId237" Type="http://schemas.openxmlformats.org/officeDocument/2006/relationships/hyperlink" Target="https://www.newstart-law.com/?inType=NK&amp;n_media=8753&amp;n_query=%EA%B0%9C%EC%9D%B8%ED%9A%8C%EC%83%9D%ED%8C%8C%EC%82%B0&amp;n_rank=1&amp;n_ad_group=grp-a001-01-000000063065632&amp;n_ad=nad-a001-01-000000485213835&amp;n_keyword_id=nkw-a001-01-000007951806231&amp;n_keyword=%EA%B0%9C%EC%9D%B8%ED%9A%8C%EC%83%9D%ED%8C%8C%EC%82%B0&amp;n_campaign_type=1&amp;n_ad_group_type=1&amp;n_match=1&amp;NaPm=ct=mqqjcjtd%7Cci=ER12ce3cd7-6ef3-11f1-8eec-025cbd97c4e5%7Ctr=sa%7Chk=f8ccf4863508383b0659481c03e5041b363fb2eb%7Cnacn=o1ReCAh2sUk" TargetMode="External"/><Relationship Id="rId279" Type="http://schemas.openxmlformats.org/officeDocument/2006/relationships/hyperlink" Target="http://newstart-law.com/?inType=nim003&amp;NaPm=ci=6qInOS-JwOQKadCqYCf9arGw%7Ctr=gfa%7Cct=mqugo37c%7Chk=58698a8b4830a26644b9f80d754ec377d23687e2%7Cnacn=pbwaB0AaigoV" TargetMode="External"/><Relationship Id="rId43" Type="http://schemas.openxmlformats.org/officeDocument/2006/relationships/hyperlink" Target="http://newstart-law.com/?inType=nim003&amp;NaPm=ci=64oXeE35VlRMmLSfuZ228aQA%7Ctr=gfa%7Cct=mpyvkftu%7Chk=9681581e1b7050d7e333171bac527127c9687f3f%7Cnacn=3YLcBkwiY9RU" TargetMode="External"/><Relationship Id="rId139" Type="http://schemas.openxmlformats.org/officeDocument/2006/relationships/hyperlink" Target="http://newstart-law.com/?inType=nim003&amp;NaPm=ci=6f9Zg876d5QHCEBNGanbYhsw%7Ctr=gfa%7Cct=mqei0ubp%7Chk=4556293d6a86220fd69ea1aa71490fc66afc6204%7Cnacn=6BNnBcg6jXiR" TargetMode="External"/><Relationship Id="rId290" Type="http://schemas.openxmlformats.org/officeDocument/2006/relationships/hyperlink" Target="http://newstart-law.com/?inType=nim003&amp;NaPm=ci=6qj7pOW8axS2e9V7bTsuBPlg%7Ctr=gfa%7Cct=mqun290z%7Chk=d66b3a487b370f06e48c9d8b4f7bc130c1629123%7Cnacn=J4ecDICF6ElEA" TargetMode="External"/><Relationship Id="rId304" Type="http://schemas.openxmlformats.org/officeDocument/2006/relationships/hyperlink" Target="http://newstart-law.com/?inType=nim003&amp;NaPm=ci=6t40Jltb13RceS8Sl0fyPHXw%7Ctr=gfa%7Cct=mqyo6z1o%7Chk=96a2d23903f2e464719dc02276624a8eda00f9db%7Cnacn=qvfWDohVYaShB" TargetMode="External"/><Relationship Id="rId85" Type="http://schemas.openxmlformats.org/officeDocument/2006/relationships/hyperlink" Target="http://newstart-law.com/?inType=nim003&amp;NaPm=ci=68VHX9iz4mQnGVOjKFJEyCNA%7Ctr=gfa%7Cct=mq50krge%7Chk=fd5fd31433b54101ad6e0e45430dac37fd0d644a%7Cnacn=L7MPBgALf9fnB" TargetMode="External"/><Relationship Id="rId150" Type="http://schemas.openxmlformats.org/officeDocument/2006/relationships/hyperlink" Target="http://newstart-law.com/?inType=nim003&amp;NaPm=ci=6gog39UldYTT6nGQr59vNifw%7Ctr=gfa%7Cct=mqfychds%7Chk=f1408f901a82121d5b077ab99c229b55d67a114e%7Cnacn=d0YXBwgVHptv" TargetMode="External"/><Relationship Id="rId192" Type="http://schemas.openxmlformats.org/officeDocument/2006/relationships/hyperlink" Target="http://newstart-law.com/?inType=NIM001&amp;NaPm=ci=6iEf8iqcZ4QRigMC9hTj-IAg%7Ctr=gfa%7Cct=mqj8wniq%7Chk=f523590d9597dbd4e558275d0d89ee8d12e9905b%7Cnacn=ICcyB0wsJxyU" TargetMode="External"/><Relationship Id="rId206" Type="http://schemas.openxmlformats.org/officeDocument/2006/relationships/hyperlink" Target="http://newstart-law.com/?inType=NIM001&amp;NaPm=ci=6mMU6jbVu1TfGd08chnq00xA%7Ctr=gfa%7Cct=mqop3k8l%7Chk=bf099f891badea92d45dc300892d631005abae09%7Cnacn=8c2XB4Qje5NwA" TargetMode="External"/><Relationship Id="rId248" Type="http://schemas.openxmlformats.org/officeDocument/2006/relationships/hyperlink" Target="https://newstart-law.com/?inType=NIP002&amp;NaPm=ci=6odvN2frnySqmKY_eaD2Eh8g%7Ctr=gfa%7Cct=mqrt3yp2%7Chk=2ef52c0a5a0c797ce64c2c4860ebf508a5c3b24f%7Cnacn=ZcSqBARPAo0i" TargetMode="External"/><Relationship Id="rId12" Type="http://schemas.openxmlformats.org/officeDocument/2006/relationships/hyperlink" Target="http://newstart-law.com/?inType=nim003&amp;NaPm=ci=62uQ9O8OEtTNidjJPZLo2EEA%7Ctr=gfa%7Cct=mpw2dwff%7Chk=bc1309493d5e84593d18d3a481355b21d1aecc36%7Cnacn=jDqaBsgZT0s5" TargetMode="External"/><Relationship Id="rId108" Type="http://schemas.openxmlformats.org/officeDocument/2006/relationships/hyperlink" Target="https://www.newstart-law.com/?inType=NK&amp;n_media=27758&amp;n_query=%EA%B0%9C%EC%9D%B8%ED%9A%8C%EC%83%9D%EC%8B%A0%EC%B2%AD%EC%9E%90%EA%B2%A9&amp;n_rank=7&amp;n_ad_group=grp-a001-01-000000063065651&amp;n_ad=nad-a001-01-000000485213838&amp;n_keyword_id=nkw-a001-01-000007951807343&amp;n_keyword=%EA%B0%9C%EC%9D%B8%ED%9A%8C%EC%83%9D%EC%8B%A0%EC%B2%AD%EC%9E%90%EA%B2%A9&amp;n_campaign_type=1&amp;n_ad_group_type=1&amp;n_match=1&amp;NaPm=ct=mq7w4bkc%7Cci=ER204c8cf5-64b2-11f1-9c04-a6396366f061%7Ctr=sa%7Chk=fb6a4280ff3f48358b1ef386" TargetMode="External"/><Relationship Id="rId54" Type="http://schemas.openxmlformats.org/officeDocument/2006/relationships/hyperlink" Target="http://newstart-law.com/?inType=nim003&amp;NaPm=ci=653mK5ABGwThGWa7fCPwsx7A%7Ctr=gfa%7Cct=mq0kiao9%7Chk=8a928edb9f53f1c94ad3b63b0138b2b053024d16%7Cnacn=jv0cB8gfZbIXA" TargetMode="External"/><Relationship Id="rId96" Type="http://schemas.openxmlformats.org/officeDocument/2006/relationships/hyperlink" Target="http://newstart-law.com/?inType=NIP002&amp;NaPm=ci=6ar1Y3nwlnTfGqnM7X9AdPmw%7Ctr=gfa%7Cct=mq7felhm%7Chk=ab497edac6ed7ce361a9c6f39271b8274ec6b689%7Cnacn=PRFNBgQIWrcp" TargetMode="External"/><Relationship Id="rId161" Type="http://schemas.openxmlformats.org/officeDocument/2006/relationships/hyperlink" Target="https://www.newstart-law.com/?inType=NK&amp;n_media=8753&amp;n_query=%EA%B0%9C%EC%9D%B8%ED%9A%8C%EC%83%9D%EC%8B%A0%EC%B2%AD%EC%9E%90%EA%B2%A9&amp;n_rank=3&amp;n_ad_group=grp-a001-01-000000063065632&amp;n_ad=nad-a001-01-000000485213835&amp;n_keyword_id=nkw-a001-01-000007951806209&amp;n_keyword=%EA%B0%9C%EC%9D%B8%ED%9A%8C%EC%83%9D%EC%8B%A0%EC%B2%AD%EC%9E%90%EA%B2%A9&amp;n_campaign_type=1&amp;n_ad_group_type=1&amp;n_match=1&amp;NaPm=ct=mqgktfup%7Cci=ERfb227fe2-6978-11f1-bfb3-4acd10d65935%7Ctr=sa%7Chk=1f2a25b464f53531e4871fd0e" TargetMode="External"/><Relationship Id="rId217" Type="http://schemas.openxmlformats.org/officeDocument/2006/relationships/hyperlink" Target="http://newstart-law.com/" TargetMode="External"/><Relationship Id="rId259" Type="http://schemas.openxmlformats.org/officeDocument/2006/relationships/hyperlink" Target="https://newstart-law.com/?inType=NIM001&amp;NaPm=ci=6pygBWfPLiSsS5HjaATlNRmw%7Ctr=gfa%7Cct=mqsuevtb%7Chk=3bad95e26c8caf9b1af3f590806d6c507d46fa57%7Cnacn=IbjoB0w24NeIB" TargetMode="External"/><Relationship Id="rId23" Type="http://schemas.openxmlformats.org/officeDocument/2006/relationships/hyperlink" Target="http://newstart-law.com/?inType=nim003&amp;NaPm=ci=63qtngcaPaR4qIuWvzPGYEzA%7Ctr=gfa%7Cct=mpxjhp7i%7Chk=3005a02293959bba2a98d0b1d9fb38fb42a92b5b%7Cnacn=uezJDACUgWGcB" TargetMode="External"/><Relationship Id="rId119" Type="http://schemas.openxmlformats.org/officeDocument/2006/relationships/hyperlink" Target="http://newstart-law.com/?inType=nim003&amp;NaPm=ci=6brrtc9LJ6T82RGr4ZkyqaUw%7Ctr=gfa%7Cct=mq8ylf9o%7Chk=38aa66f370114c719bfc9a418eacd11b22958bf6%7Cnacn=O4eODYAR8nbKB" TargetMode="External"/><Relationship Id="rId270" Type="http://schemas.openxmlformats.org/officeDocument/2006/relationships/hyperlink" Target="http://newstart-law.com/?inType=nim003&amp;NaPm=ci=6qX7guxZLySo2BafqyWQ9ofw%7Ctr=gfa%7Cct=mquclekc%7Chk=1d417d185c8e621ec5cab88b1ad4dbccf1635cc1%7Cnacn=B8A2BExvDgLT" TargetMode="External"/><Relationship Id="rId44" Type="http://schemas.openxmlformats.org/officeDocument/2006/relationships/hyperlink" Target="http://newstart-law.com/?inType=nim003&amp;NaPm=ci=64_jmT4FSSTS-l3UIwgqZRag%7Ctr=gfa%7Cct=mpz9009u%7Chk=d0da18ab3435973f5e9ea2b2c1ee25f9db186bee%7Cnacn=ObfnCQhkYa2DB" TargetMode="External"/><Relationship Id="rId65" Type="http://schemas.openxmlformats.org/officeDocument/2006/relationships/hyperlink" Target="http://newstart-law.com/?inType=nim003&amp;NaPm=ci=68yhYwTeZ1Q7Ka6QrltKn8gg%7Ctr=gfa%7Cct=mq4qjadx%7Chk=c766f91aa20786be3b6fef71790730baae7df7cd%7Cnacn=3gQGBAxHOCY7" TargetMode="External"/><Relationship Id="rId86" Type="http://schemas.openxmlformats.org/officeDocument/2006/relationships/hyperlink" Target="https://www.newstart-law.com/?inType=NK&amp;n_media=8753&amp;n_query=%EA%B0%9C%EC%9D%B8%ED%8C%8C%EC%82%B0&amp;n_rank=4&amp;n_ad_group=grp-a001-01-000000063065512&amp;n_ad=nad-a001-01-000000485213833&amp;n_keyword_id=nkw-a001-01-000007934684740&amp;n_keyword=%EA%B0%9C%EC%9D%B8%ED%8C%8C%EC%82%B0&amp;n_campaign_type=1&amp;n_ad_group_type=1&amp;n_match=1&amp;NaPm=ct=mq58az1d%7Cci=ER6ce34521-633b-11f1-80c8-de87d1933367%7Ctr=sa%7Chk=3f0d6472ca842a44ab4969e7d9e7c8952dcbaa75%7Cnacn=Rr9dBAhxrzC5" TargetMode="External"/><Relationship Id="rId130" Type="http://schemas.openxmlformats.org/officeDocument/2006/relationships/hyperlink" Target="http://newstart-law.com/?inType=nim003&amp;NaPm=ci=6cLu6TcBU1Q3asK4AO5q4GZw%7Ctr=gfa%7Cct=mqaemcq1%7Chk=24cf4a4a66f28a0bdfbd7582a38e6c6be1a9048f%7Cnacn=BrB7BABg2UPH" TargetMode="External"/><Relationship Id="rId151" Type="http://schemas.openxmlformats.org/officeDocument/2006/relationships/hyperlink" Target="http://newstart-law.com/?inType=nim003&amp;NaPm=ci=6gUtu4I6eTTJy5wJ99WYzT5A%7Ctr=gfa%7Cct=mqfxytku%7Chk=5e5c7b63849d652e8c1bfcbb3ed430e7e91ddbd8%7Cnacn=1JLyBgQUe1DWA" TargetMode="External"/><Relationship Id="rId172" Type="http://schemas.openxmlformats.org/officeDocument/2006/relationships/hyperlink" Target="http://newstart-law.com/?inType=NIM001&amp;NaPm=ci=6hv4THCBSwTgKUOPA5ENr7LA%7Ctr=gfa%7Cct=mqhmunpr%7Chk=e0709aec463b069aeaa109c6f2ce228fa7591354%7Cnacn=MOk9BgQ5m5CQ" TargetMode="External"/><Relationship Id="rId193" Type="http://schemas.openxmlformats.org/officeDocument/2006/relationships/hyperlink" Target="https://www.newstart-law.com/?inType=NK&amp;n_media=8753&amp;n_query=%EA%B0%9C%EC%9D%B8%ED%9A%8C%EC%83%9D&amp;n_rank=6&amp;n_ad_group=grp-a001-01-000000063063767&amp;n_ad=nad-a001-01-000000495340403&amp;n_keyword_id=nkw-a001-01-000007934680459&amp;n_keyword=%EA%B0%9C%EC%9D%B8%ED%9A%8C%EC%83%9D&amp;n_campaign_type=1&amp;n_ad_group_type=1&amp;n_match=1&amp;NaPm=ct=mqjj3h40%7Cci=ER99e36620-6b18-11f1-b44e-96706a7dac00%7Ctr=sa%7Chk=c8d9edb69938e8010dcb9f4ca8ae762915587448%7Cnacn=hdFlBwAiC6Ma" TargetMode="External"/><Relationship Id="rId207" Type="http://schemas.openxmlformats.org/officeDocument/2006/relationships/hyperlink" Target="https://www.newstart-law.com/" TargetMode="External"/><Relationship Id="rId228" Type="http://schemas.openxmlformats.org/officeDocument/2006/relationships/hyperlink" Target="https://www.newstart-law.com/?inType=NK&amp;n_media=8753&amp;n_query=%EA%B0%9C%EC%9D%B8%ED%8C%8C%EC%82%B0&amp;n_rank=1&amp;n_ad_group=grp-a001-01-000000063065512&amp;n_ad=nad-a001-01-000000495460286&amp;n_keyword_id=nkw-a001-01-000007934684740&amp;n_keyword=%EA%B0%9C%EC%9D%B8%ED%8C%8C%EC%82%B0&amp;n_campaign_type=1&amp;n_ad_group_type=1&amp;n_match=1&amp;NaPm=ct=mqpauqzb%7Cci=ER1217e2ff-6e45-11f1-81e1-e609e8bf4a3b%7Ctr=sa%7Chk=f8d6f0fd2fbb2bbd7598e68b730880769b1c9885%7Cnacn=eLnqCICqLOg8B" TargetMode="External"/><Relationship Id="rId249" Type="http://schemas.openxmlformats.org/officeDocument/2006/relationships/hyperlink" Target="http://newstart-law.com/?inType=nim003&amp;NaPm=ci=6o40o_NIpzSmmDJ642B_50yQ%7Ctr=gfa%7Cct=mqrw8o0l%7Chk=7563f132ea5bd46001ea96bd713553e974f7a4ef%7Cnacn=2fyTCIhlnnm3A" TargetMode="External"/><Relationship Id="rId13" Type="http://schemas.openxmlformats.org/officeDocument/2006/relationships/hyperlink" Target="http://newstart-law.com/" TargetMode="External"/><Relationship Id="rId109" Type="http://schemas.openxmlformats.org/officeDocument/2006/relationships/hyperlink" Target="http://newstart-law.com/?inType=nim_sq02&amp;NaPm=ci=6aAP4i3d7UQy-_l--L--nqkg%7Ctr=gfa%7Cct=mq7w5c9u%7Chk=c50a405be6fd8fde42af66e30300debebfe40d91%7Cnacn=O6o1BsQekH71B" TargetMode="External"/><Relationship Id="rId260" Type="http://schemas.openxmlformats.org/officeDocument/2006/relationships/hyperlink" Target="https://newstart-law.com/?inType=NIP002&amp;NaPm=ci=6pXBxxajvrTVGCedXR9v4ywA%7Ctr=gfa%7Cct=mqt0qh44%7Chk=c70521b55948f22c02ebe6021a40dfde3d6d1084%7Cnacn=LTzQB0QvfeVqB" TargetMode="External"/><Relationship Id="rId281" Type="http://schemas.openxmlformats.org/officeDocument/2006/relationships/hyperlink" Target="http://newstart-law.com/?inType=nim003&amp;NaPm=ci=6q0l9UGHIMSbCpOM_9jKrHTg%7Ctr=gfa%7Cct=mquknlqh%7Chk=4587c6196bbdec27b51accfb309d9cb1e97b9d06%7Cnacn=WntLBkwUvF6G" TargetMode="External"/><Relationship Id="rId34" Type="http://schemas.openxmlformats.org/officeDocument/2006/relationships/hyperlink" Target="https://www.newstart-law.com/?inType=NK&amp;n_media=8753&amp;n_query=%EA%B0%9C%EC%9D%B8%ED%9A%8C%EC%83%9D%EC%8B%A0%EC%B2%AD%EC%9E%90%EA%B2%A9&amp;n_rank=5&amp;n_ad_group=grp-a001-01-000000063065632&amp;n_ad=nad-a001-01-000000485213835&amp;n_keyword_id=nkw-a001-01-000007951806209&amp;n_keyword=%EA%B0%9C%EC%9D%B8%ED%9A%8C%EC%83%9D%EC%8B%A0%EC%B2%AD%EC%9E%90%EA%B2%A9&amp;n_campaign_type=1&amp;n_ad_group_type=1&amp;n_match=1&amp;NaPm=ct=mpxse80s%7Cci=ERb8a48677-5f23-11f1-a5fc-82ec60f2b278%7Ctr=sa%7Chk=4f1fa75aaeeb97821557f5c37" TargetMode="External"/><Relationship Id="rId55" Type="http://schemas.openxmlformats.org/officeDocument/2006/relationships/hyperlink" Target="https://newstart-law.com/?inType=NIP002&amp;NaPm=ci=65NBOxjg1ERnCI43T_SiwdmA%7Ctr=gfa%7Cct=mq0n4tn4%7Chk=c2af2578e5826377016e33df18e738d35039196a%7Cnacn=BJ7lBUg1MrPZ" TargetMode="External"/><Relationship Id="rId76" Type="http://schemas.openxmlformats.org/officeDocument/2006/relationships/hyperlink" Target="https://newstart-law.com/" TargetMode="External"/><Relationship Id="rId97" Type="http://schemas.openxmlformats.org/officeDocument/2006/relationships/hyperlink" Target="http://newstart-law.com/?inType=nim003&amp;NaPm=ci=6aAs1faiYKSQCBA_grbovI_w%7Ctr=gfa%7Cct=mq7fqa1z%7Chk=4da13e86ca10fe45af28f73f65277ee3b99cfd85%7Cnacn=bIjfCghASS4WB" TargetMode="External"/><Relationship Id="rId120" Type="http://schemas.openxmlformats.org/officeDocument/2006/relationships/hyperlink" Target="http://newstart-law.com/?inType=nim003&amp;NaPm=ci=6bWLJRUksGSESZFGw_XfIZDw%7Ctr=gfa%7Cct=mq8ysgcp%7Chk=bf0471736463d88b57f626b5fd4dc5dcc9863813%7Cnacn=fbvFDohiFIO8B" TargetMode="External"/><Relationship Id="rId141" Type="http://schemas.openxmlformats.org/officeDocument/2006/relationships/hyperlink" Target="https://www.newstart-law.com/?inType=NK&amp;n_media=27758&amp;n_query=%EA%B0%9C%EC%9D%B8%ED%9A%8C%EC%83%9D%EC%8B%A0%EC%B2%AD&amp;n_rank=8&amp;n_ad_group=grp-a001-01-000000063065651&amp;n_ad=nad-a001-01-000000485213838&amp;n_keyword_id=nkw-a001-01-000007951807444&amp;n_keyword=%EA%B0%9C%EC%9D%B8%ED%9A%8C%EC%83%9D%EC%8B%A0%EC%B2%AD&amp;n_campaign_type=1&amp;n_ad_group_type=1&amp;n_match=1&amp;NaPm=ct=mqeo4p9l%7Cci=ER5e654e2f-686c-11f1-bf4f-1e00a08223ef%7Ctr=sa%7Chk=17e0371b103cd515e9be4b26eb11d1f6725e91b8%7Cnacn=6PBEBAxe7t" TargetMode="External"/><Relationship Id="rId7" Type="http://schemas.openxmlformats.org/officeDocument/2006/relationships/hyperlink" Target="https://newstart-law.com/?n_media=8753&amp;n_query=%EA%B0%9C%EC%9D%B8%ED%8C%8C%EC%82%B0%EC%8B%A0%EC%B2%AD%EC%9E%90%EA%B2%A9&amp;n_rank=2&amp;n_ad_group=grp-a001-01-000000063065674&amp;n_ad=nad-a001-01-000000495460351&amp;n_keyword_id=nkw-a001-01-000007951811267&amp;n_keyword=%EA%B0%9C%EC%9D%B8%ED%8C%8C%EC%82%B0%EC%8B%A0%EC%B2%AD%EC%9E%90%EA%B2%A9&amp;n_campaign_type=1&amp;n_ad_group_type=1&amp;n_match=1&amp;NaPm=ct=mpv3shbr%7Cci=ERefa17d02-5da9-11f1-89b7-5a79859463aa%7Ctr=sa%7Chk=6d43391c2d6bd96212529fc6a6eb70bd3f8369e" TargetMode="External"/><Relationship Id="rId162" Type="http://schemas.openxmlformats.org/officeDocument/2006/relationships/hyperlink" Target="https://www.newstart-law.com/?inType=NK&amp;n_media=8753&amp;n_query=%ED%8C%8C%EC%82%B0%EC%8B%A0%EC%B2%AD&amp;n_rank=1&amp;n_ad_group=grp-a001-01-000000063065674&amp;n_ad=nad-a001-01-000000485213839&amp;n_keyword_id=nkw-a001-01-000007951811266&amp;n_keyword=%ED%8C%8C%EC%82%B0%EC%8B%A0%EC%B2%AD&amp;n_campaign_type=1&amp;n_ad_group_type=1&amp;n_match=1&amp;NaPm=ct=mqgpjiog%7Cci=ER74df5523-698b-11f1-85dc-12882e70cd6b%7Ctr=sa%7Chk=f39b2e9416fcff5185a7d280c0e5da54fce41577%7Cnacn=PfRQD4A0ZWejB" TargetMode="External"/><Relationship Id="rId183" Type="http://schemas.openxmlformats.org/officeDocument/2006/relationships/hyperlink" Target="https://newstart-law.com/?inType=NIP002&amp;NaPm=ci=6iLJKwEL6gQUmxpk2KghzQZA%7Ctr=gfa%7Cct=mqj32ill%7Chk=2eb69790e1c0ea4bd0a7ecad0f82045dbf3b76a1%7Cnacn=MXnfDQiKEj0NA" TargetMode="External"/><Relationship Id="rId218" Type="http://schemas.openxmlformats.org/officeDocument/2006/relationships/hyperlink" Target="http://newstart-law.com/?inType=nim003&amp;NaPm=ci=6m2TocWFizTvmqFElAXGXafw%7Ctr=gfa%7Cct=mqoxziwk%7Chk=34aa5edaf84bee53d9961a474f7c56a0e643d27f%7Cnacn=U8yaBIhDR8BN" TargetMode="External"/><Relationship Id="rId239" Type="http://schemas.openxmlformats.org/officeDocument/2006/relationships/hyperlink" Target="https://newstart-law.com/?inType=NIP002&amp;NaPm=ci=6oN7KXlEGaT0aUNEtWJpk3gg%7Ctr=gfa%7Cct=mqravqz9%7Chk=cf336f374fb8eadb911194017d1efccbe5b87d37%7Cnacn=kndfCQCaKpUpA" TargetMode="External"/><Relationship Id="rId250" Type="http://schemas.openxmlformats.org/officeDocument/2006/relationships/hyperlink" Target="https://www.newstart-law.com/?inType=NK&amp;n_media=27758&amp;n_query=%EA%B0%9C%EC%9D%B8%ED%9A%8C%EC%83%9D%EC%83%81%EB%8B%B4&amp;n_rank=1&amp;n_ad_group=grp-a001-01-000000063065651&amp;n_ad=nad-a001-01-000000495459437&amp;n_keyword_id=nkw-a001-01-000007951807367&amp;n_keyword=%EA%B0%9C%EC%9D%B8%ED%9A%8C%EC%83%9D%EC%83%81%EB%8B%B4&amp;n_campaign_type=1&amp;n_ad_group_type=1&amp;n_match=1&amp;NaPm=ct=mqryxvoj%7Cci=ERd58cdf4f-6fbc-11f1-a2ce-e201a69bdc71%7Ctr=sa%7Chk=1545bb8fc6c27f9399cf8ebfa0b984ca40144c6d%7Cnacn=qsyYBEhGF1" TargetMode="External"/><Relationship Id="rId271" Type="http://schemas.openxmlformats.org/officeDocument/2006/relationships/hyperlink" Target="http://newstart-law.com/?inType=NIM001&amp;NaPm=ci=6q3MkZKPt_RrKMl4i_YexrOw%7Ctr=gfa%7Cct=mqucnkia%7Chk=f65c18fb0a3a48bd03cbc9e68c85a367013173b4%7Cnacn=Bek6Doh7GT7yB" TargetMode="External"/><Relationship Id="rId292" Type="http://schemas.openxmlformats.org/officeDocument/2006/relationships/hyperlink" Target="https://newstart-law.com/?inType=NIM001&amp;NaPm=ci=6qBo5q6YyiTPaDsKicD4MV7g%7Ctr=gfa%7Cct=mquqomfr%7Chk=5a9f223cd6f8bcf6a5cff78d0e7471557e260a2e%7Cnacn=vt6SBYAeZfYtC" TargetMode="External"/><Relationship Id="rId306" Type="http://schemas.openxmlformats.org/officeDocument/2006/relationships/hyperlink" Target="http://newstart-law.com/?inType=nim003&amp;NaPm=ci=6tE2sAQUvvQUqVM-8JDz1N6g%7Ctr=gfa%7Cct=mqyrvx5o%7Chk=4f685c2c8e98c608c37e792ad07f86e9c0f66971%7Cnacn=HyX6BsArepLeC" TargetMode="External"/><Relationship Id="rId24" Type="http://schemas.openxmlformats.org/officeDocument/2006/relationships/hyperlink" Target="http://newstart-law.com/?inType=nim003&amp;NaPm=ci=63eA-FTUdXRl-etO5OJZ1VSQ%7Ctr=gfa%7Cct=mpxk43fd%7Chk=9132c1b2264a4e2eb843a930ced926d8ffd8a023%7Cnacn=CkhZB0whcOkj" TargetMode="External"/><Relationship Id="rId45" Type="http://schemas.openxmlformats.org/officeDocument/2006/relationships/hyperlink" Target="http://newstart-law.com/?inType=nim003&amp;NaPm=ci=64IQbjHByTRmCp2I1cf9GGlA%7Ctr=gfa%7Cct=mpz9emun%7Chk=8ee9bc97d37c2c9f9803fac6faa7e5f505b0290a%7Cnacn=0D1aBswykGMx" TargetMode="External"/><Relationship Id="rId66" Type="http://schemas.openxmlformats.org/officeDocument/2006/relationships/hyperlink" Target="http://newstart-law.com/?inType=nim003&amp;NaPm=ci=68yhYwTeZ1Q7Ka6QrltKn8gg%7Ctr=gfa%7Cct=mq4qjadx%7Chk=c766f91aa20786be3b6fef71790730baae7df7cd%7Cnacn=3gQGBAxHOCY7" TargetMode="External"/><Relationship Id="rId87" Type="http://schemas.openxmlformats.org/officeDocument/2006/relationships/hyperlink" Target="http://newstart-law.com/?inType=nim_sq02&amp;NaPm=ci=695mJ1nt-dSV6WPBn1Nruiqg%7Ctr=gfa%7Cct=mq5vt0mj%7Chk=81719d811dda4963a610d68268a46b84cbc8791c%7Cnacn=YHOeDIiVGVZJB" TargetMode="External"/><Relationship Id="rId110" Type="http://schemas.openxmlformats.org/officeDocument/2006/relationships/hyperlink" Target="https://www.newstart-law.com/?inType=NK&amp;n_media=27758&amp;n_query=%EA%B0%9C%EC%9D%B8%ED%9A%8C%EC%83%9D&amp;n_rank=3&amp;n_ad_group=grp-a001-01-000000063063607&amp;n_ad=nad-a001-01-000000495459275&amp;n_keyword_id=nkw-a001-01-000007934681996&amp;n_keyword=%EA%B0%9C%EC%9D%B8%ED%9A%8C%EC%83%9D&amp;n_campaign_type=1&amp;n_ad_group_type=1&amp;n_match=1&amp;NaPm=ct=mq84wvzt%7Cci=ER83c50f1d-64d4-11f1-be5c-0eab824ce44d%7Ctr=sa%7Chk=4242d9aa323ba7a67d5038fc1b626c49e36ddf14%7Cnacn=6PBEBAxe7trLA" TargetMode="External"/><Relationship Id="rId131" Type="http://schemas.openxmlformats.org/officeDocument/2006/relationships/hyperlink" Target="http://newstart-law.com/?inType=NIM001&amp;NaPm=ci=6cH7WRNCpvSZmMl6an3_Xwmw%7Ctr=gfa%7Cct=mqaeyj3u%7Chk=cb340f83435734c308f44e5871012400c2d5a41b%7Cnacn=KYUAB0gi7rWN" TargetMode="External"/><Relationship Id="rId152" Type="http://schemas.openxmlformats.org/officeDocument/2006/relationships/hyperlink" Target="http://newstart-law.com/?inType=nim003&amp;NaPm=ci=6gqaHIIOSUSqeyb_ka2PMhJw%7Ctr=gfa%7Cct=mqg7lwu3%7Chk=2ff0a27141ae91583caaab7118b23a9b3f69e98a%7Cnacn=j9IbBcg6eY9fD" TargetMode="External"/><Relationship Id="rId173" Type="http://schemas.openxmlformats.org/officeDocument/2006/relationships/hyperlink" Target="https://newstart-law.com/" TargetMode="External"/><Relationship Id="rId194" Type="http://schemas.openxmlformats.org/officeDocument/2006/relationships/hyperlink" Target="https://www.newstart-law.com/?inType=NK&amp;n_media=8753&amp;n_query=%EA%B0%9C%EC%9D%B8%ED%9A%8C%EC%83%9D%ED%8C%8C%EC%82%B0&amp;n_rank=1&amp;n_ad_group=grp-a001-01-000000063065632&amp;n_ad=nad-a001-01-000000485213835&amp;n_keyword_id=nkw-a001-01-000007951806231&amp;n_keyword=%EA%B0%9C%EC%9D%B8%ED%9A%8C%EC%83%9D%ED%8C%8C%EC%82%B0&amp;n_campaign_type=1&amp;n_ad_group_type=1&amp;n_match=1&amp;NaPm=ct=mqjjvhtw%7Cci=ERa5198c9c-6b1b-11f1-a98e-3ef43d3dbc8f%7Ctr=sa%7Chk=0a87551d8b09873648a6a629b8a912beb148804c%7Cnacn=VyozB0QXrjl" TargetMode="External"/><Relationship Id="rId208" Type="http://schemas.openxmlformats.org/officeDocument/2006/relationships/hyperlink" Target="http://newstart-law.com/?inType=nim_sq01&amp;NaPm=ci=6mlun0Ti6wS8qDhTu9QflAcg%7Ctr=gfa%7Cct=mqorofj3%7Chk=ff396c175fa5831e7f3dec32f3a973c2cb8ea5f0%7Cnacn=ufOeHQCl7xIaB" TargetMode="External"/><Relationship Id="rId229" Type="http://schemas.openxmlformats.org/officeDocument/2006/relationships/hyperlink" Target="http://newstart-law.com/?inType=nim003&amp;NaPm=ci=6nosGe3N0-SlODeUbGgyGZDw%7Ctr=gfa%7Cct=mqpw7wsp%7Chk=b167e6a7408cdfd1a0ee837bdc7fef39b1d59e5b%7Cnacn=XtOLBogF9pEh" TargetMode="External"/><Relationship Id="rId240" Type="http://schemas.openxmlformats.org/officeDocument/2006/relationships/hyperlink" Target="http://newstart-law.com/?inType=nim003&amp;NaPm=ci=6owqiI83AzQZeefzj6SWyilQ%7Ctr=gfa%7Cct=mqrby1xo%7Chk=c297285b763748f486e9645c7e8e33f93abc3268%7Cnacn=zdlRBggkEqeyB" TargetMode="External"/><Relationship Id="rId261" Type="http://schemas.openxmlformats.org/officeDocument/2006/relationships/hyperlink" Target="https://www.newstart-law.com/" TargetMode="External"/><Relationship Id="rId14" Type="http://schemas.openxmlformats.org/officeDocument/2006/relationships/hyperlink" Target="http://newstart-law.com/?inType=nim003&amp;NaPm=ci=62Pjm_2DOnRRmtwe8uFi2GqQ%7Ctr=gfa%7Cct=mpw5s77p%7Chk=5ee502016f4f04bb395d4cbc8a229e4dc59219f6%7Cnacn=lfR0DIif0WBIB" TargetMode="External"/><Relationship Id="rId35" Type="http://schemas.openxmlformats.org/officeDocument/2006/relationships/hyperlink" Target="https://www.newstart-law.com/?inType=NK&amp;n_media=27758&amp;n_query=%EA%B0%9C%EC%9D%B8%ED%9A%8C%EC%83%9D&amp;n_rank=3&amp;n_ad_group=grp-a001-01-000000063063607&amp;n_ad=nad-a001-01-000000495459275&amp;n_keyword_id=nkw-a001-01-000007934681996&amp;n_keyword=%EA%B0%9C%EC%9D%B8%ED%9A%8C%EC%83%9D&amp;n_campaign_type=1&amp;n_ad_group_type=1&amp;n_match=1&amp;NaPm=ct=mpxtgkvk%7Cci=ERe351fb03-5f27-11f1-8aaa-2a39741d2e73%7Ctr=sa%7Chk=07472eb4ff9caf8640efcc03af380283f458f3d2%7Cnacn=c7QRBAxhEiga" TargetMode="External"/><Relationship Id="rId56" Type="http://schemas.openxmlformats.org/officeDocument/2006/relationships/hyperlink" Target="https://newstart-law.com/?inType=NIM001&amp;NaPm=ci=65uci_WZTVSD-xPpVwjiqkMg%7Ctr=gfa%7Cct=mq0p8pz6%7Chk=8e7b7d2b282f4a911c59065ed362e6792318c3ff%7Cnacn=Fi3FB0AB775fB" TargetMode="External"/><Relationship Id="rId77" Type="http://schemas.openxmlformats.org/officeDocument/2006/relationships/hyperlink" Target="https://newstart-law.com/?inType=NIP002&amp;NaPm=ci=68Xud37aWeSC-AVn5ttM6DCQ%7Ctr=gfa%7Cct=mq4w0cdd%7Chk=4d82135bccba00f63c672c999130f49c19badbe2%7Cnacn=rwkkBERszkmS" TargetMode="External"/><Relationship Id="rId100" Type="http://schemas.openxmlformats.org/officeDocument/2006/relationships/hyperlink" Target="http://newstart-law.com/?inType=nim003&amp;NaPm=ci=6aAs1faiYKSQCBA_grbovI_w%7Ctr=gfa%7Cct=mq7fqa1z%7Chk=4da13e86ca10fe45af28f73f65277ee3b99cfd85%7Cnacn=bIjfCghASS4WB" TargetMode="External"/><Relationship Id="rId282" Type="http://schemas.openxmlformats.org/officeDocument/2006/relationships/hyperlink" Target="http://newstart-law.com/?inType=nim003&amp;NaPm=ci=6qR60UI7XgT4ucujLUBpvhbw%7Ctr=gfa%7Cct=mqul204l%7Chk=43a2eea11e9a6598bb5f0863a6617b1c674a4010%7Cnacn=i9znB8wf8Dq9B" TargetMode="External"/><Relationship Id="rId8" Type="http://schemas.openxmlformats.org/officeDocument/2006/relationships/hyperlink" Target="https://www.newstart-law.com/?inType=NK&amp;n_media=8753&amp;n_query=%EA%B0%9C%EC%9D%B8%ED%9A%8C%EC%83%9D&amp;n_rank=8&amp;n_ad_group=grp-a001-01-000000063063767&amp;n_ad=nad-a001-01-000000485213831&amp;n_keyword_id=nkw-a001-01-000007934680459&amp;n_keyword=%EA%B0%9C%EC%9D%B8%ED%9A%8C%EC%83%9D&amp;n_campaign_type=1&amp;n_ad_group_type=1&amp;n_match=1&amp;NaPm=ct=mpv7pqrp%7Cci=ER4803b030-5db9-11f1-a5fc-82ec60f2b278%7Ctr=sa%7Chk=d9f6b1d9ecb8fe9a1d6f01a7bd6638031db623aa%7Cnacn=ZqEmB0gpkCRfB" TargetMode="External"/><Relationship Id="rId98" Type="http://schemas.openxmlformats.org/officeDocument/2006/relationships/hyperlink" Target="http://newstart-law.com/?inType=nim003&amp;NaPm=ci=6aAs1faiYKSQCBA_grbovI_w%7Ctr=gfa%7Cct=mq7fqa1z%7Chk=4da13e86ca10fe45af28f73f65277ee3b99cfd85%7Cnacn=bIjfCghASS4WB" TargetMode="External"/><Relationship Id="rId121" Type="http://schemas.openxmlformats.org/officeDocument/2006/relationships/hyperlink" Target="http://newstart-law.com/?inType=nim003&amp;NaPm=ci=6bvmF44egVQGKwAAM4EvErHQ%7Ctr=gfa%7Cct=mq90h51e%7Chk=4aa66985c58a664a331ee58004af4f302f76ec0a%7Cnacn=JPYMB4QsuKoT" TargetMode="External"/><Relationship Id="rId142" Type="http://schemas.openxmlformats.org/officeDocument/2006/relationships/hyperlink" Target="https://newstart-law.com/?inType=NIM001&amp;NaPm=ci=6fcYuM9c5NS0WbbgnF3GLMrA%7Ctr=gfa%7Cct=mqesdyff%7Chk=45659023e18543541485c1e9fe925b2257d0bd00%7Cnacn=fYM6CohxT56ZB" TargetMode="External"/><Relationship Id="rId163" Type="http://schemas.openxmlformats.org/officeDocument/2006/relationships/hyperlink" Target="https://newstart-law.com/?inType=NIM001&amp;NaPm=ci=6htYjaCPp9TfKggIqZMKQU0w%7Ctr=gfa%7Cct=mqhdmweb%7Chk=53c02c560caae6a545ad993d02983cb88cdc501a%7Cnacn=ywqmB0QdpBtc" TargetMode="External"/><Relationship Id="rId184" Type="http://schemas.openxmlformats.org/officeDocument/2006/relationships/hyperlink" Target="http://newstart-law.com/?inType=nim003&amp;NaPm=ci=6iwtJbN4jmQA6cHhw64VGNxw%7Ctr=gfa%7Cct=mqj34tug%7Chk=9cf32342085e58da2451f132eb1927bc2f095a5a%7Cnacn=28cwBgwQ2iXl" TargetMode="External"/><Relationship Id="rId219" Type="http://schemas.openxmlformats.org/officeDocument/2006/relationships/hyperlink" Target="http://newstart-law.com/?inType=NIM001&amp;NaPm=ci=6mZSe9NrAYSlO9mywu_cH-Ug%7Ctr=gfa%7Cct=mqoxyv6h%7Chk=b7a032fe79488770256398ae788a020f4b92e17c%7Cnacn=PZRJBcgTSkwg" TargetMode="External"/><Relationship Id="rId230" Type="http://schemas.openxmlformats.org/officeDocument/2006/relationships/hyperlink" Target="http://newstart-law.com/?inType=nim003&amp;NaPm=ci=6n11cwnMT4TTWFqWUIaZrNIQ%7Ctr=gfa%7Cct=mqq1he5h%7Chk=afa25746a59c83b02592c3061aa82f5ab9098174%7Cnacn=vWyBBgALVojz" TargetMode="External"/><Relationship Id="rId251" Type="http://schemas.openxmlformats.org/officeDocument/2006/relationships/hyperlink" Target="https://www.newstart-law.com/?inType=NK&amp;n_media=27758&amp;n_query=%EA%B0%9C%EC%9D%B8%ED%9A%8C%EC%83%9D%EC%8B%A0%EC%B2%AD%EC%9E%90%EA%B2%A9&amp;n_rank=1&amp;n_ad_group=grp-a001-01-000000063065651&amp;n_ad=nad-a001-01-000000485213838&amp;n_keyword_id=nkw-a001-01-000007951807343&amp;n_keyword=%EA%B0%9C%EC%9D%B8%ED%9A%8C%EC%83%9D%EC%8B%A0%EC%B2%AD%EC%9E%90%EA%B2%A9&amp;n_campaign_type=1&amp;n_ad_group_type=1&amp;n_match=1&amp;NaPm=ct=mqs0mpw6%7Cci=ER716fe362-6fc3-11f1-875c-0e1f8c7c65ea%7Ctr=sa%7Chk=0b2601eb560cdc8aec3764af" TargetMode="External"/><Relationship Id="rId25" Type="http://schemas.openxmlformats.org/officeDocument/2006/relationships/hyperlink" Target="http://newstart-law.com/?inType=nim003&amp;NaPm=ci=63L7JKWknaRv6C9EpRzFag1g%7Ctr=gfa%7Cct=mpxkxep3%7Chk=a866fe704cce4d6d3fad3afa2d4a586bab1b1aa3%7Cnacn=7sd1BsweenWOD" TargetMode="External"/><Relationship Id="rId46" Type="http://schemas.openxmlformats.org/officeDocument/2006/relationships/hyperlink" Target="http://newstart-law.com/?inType=NIM001&amp;NaPm=ci=641svuPzLzTPmCyTlKuYnymQ%7Ctr=gfa%7Cct=mpzag6w6%7Chk=02db74981c6b2bb71dd7f42eeaac4049a210f56e%7Cnacn=fp7ZCYBtwA9eA" TargetMode="External"/><Relationship Id="rId67" Type="http://schemas.openxmlformats.org/officeDocument/2006/relationships/hyperlink" Target="http://newstart-law.com/?inType=NIM001&amp;NaPm=ci=68NI7G_4kqQpipRxZEMPF4Uw%7Ctr=gfa%7Cct=mq4q2gq9%7Chk=4f56d9aa009f3eefefb50e7d22582c4db631ff71%7Cnacn=tJxhBgALQMiA" TargetMode="External"/><Relationship Id="rId272" Type="http://schemas.openxmlformats.org/officeDocument/2006/relationships/hyperlink" Target="http://newstart-law.com/?inType=NIM001&amp;NaPm=ci=6q3MkZKPt_RrKMl4i_YexrOw%7Ctr=gfa%7Cct=mqucnkia%7Chk=f65c18fb0a3a48bd03cbc9e68c85a367013173b4%7Cnacn=Bek6Doh7GT7yB" TargetMode="External"/><Relationship Id="rId293" Type="http://schemas.openxmlformats.org/officeDocument/2006/relationships/hyperlink" Target="https://newstart-law.com/?inType=NIM001&amp;NaPm=ci=6qBo5q6YyiTPaDsKicD4MV7g%7Ctr=gfa%7Cct=mquqomfr%7Chk=5a9f223cd6f8bcf6a5cff78d0e7471557e260a2e%7Cnacn=vt6SBYAeZfYtC" TargetMode="External"/><Relationship Id="rId307" Type="http://schemas.openxmlformats.org/officeDocument/2006/relationships/hyperlink" Target="http://newstart-law.com/?inType=nim003&amp;NaPm=ci=6tE2sAQUvvQUqVM-8JDz1N6g%7Ctr=gfa%7Cct=mqyrvx5o%7Chk=4f685c2c8e98c608c37e792ad07f86e9c0f66971%7Cnacn=HyX6BsArepLeC" TargetMode="External"/><Relationship Id="rId88" Type="http://schemas.openxmlformats.org/officeDocument/2006/relationships/hyperlink" Target="http://newstart-law.com/?inType=NIM001&amp;NaPm=ci=69jtSx8YaeQaugPyty4wN5HQ%7Ctr=gfa%7Cct=mq5xy9n0%7Chk=6d27c2306d71ce5a96d9391c8db202d929f2ea0c%7Cnacn=yTNEBcQNjj5k" TargetMode="External"/><Relationship Id="rId111" Type="http://schemas.openxmlformats.org/officeDocument/2006/relationships/hyperlink" Target="https://www.newstart-law.com/?inType=NK&amp;n_media=27758&amp;n_query=%EA%B0%9C%EC%9D%B8%ED%9A%8C%EC%83%9D&amp;n_rank=3&amp;n_ad_group=grp-a001-01-000000063063607&amp;n_ad=nad-a001-01-000000495459275&amp;n_keyword_id=nkw-a001-01-000007934681996&amp;n_keyword=%EA%B0%9C%EC%9D%B8%ED%9A%8C%EC%83%9D&amp;n_campaign_type=1&amp;n_ad_group_type=1&amp;n_match=1&amp;NaPm=ct=mq84wvzt%7Cci=ER83c50f1d-64d4-11f1-be5c-0eab824ce44d%7Ctr=sa%7Chk=4242d9aa323ba7a67d5038fc1b626c49e36ddf14%7Cnacn=6PBEBAxe7trLA" TargetMode="External"/><Relationship Id="rId132" Type="http://schemas.openxmlformats.org/officeDocument/2006/relationships/hyperlink" Target="https://newstart-law.com/?inType=NIP002&amp;NaPm=ci=6cvWOhkoV7SemwWHgz_z3QKA%7Ctr=gfa%7Cct=mqaj7fnn%7Chk=a5c9d2ddc0a7339154b9dbdd744775558648435b%7Cnacn=TGa5B0guiOAo" TargetMode="External"/><Relationship Id="rId153" Type="http://schemas.openxmlformats.org/officeDocument/2006/relationships/hyperlink" Target="https://www.newstart-law.com/?inType=NK&amp;n_media=27758&amp;n_query=%EB%B6%80%EC%82%B0%EA%B0%9C%EC%9D%B8%ED%9A%8C%EC%83%9D&amp;n_rank=6&amp;n_ad_group=grp-a001-01-000000063065651&amp;n_ad=nad-a001-01-000000495459437&amp;n_keyword_id=nkw-a001-01-000007951807339&amp;n_keyword=%EB%B6%80%EC%82%B0%EA%B0%9C%EC%9D%B8%ED%9A%8C%EC%83%9D&amp;n_campaign_type=1&amp;n_ad_group_type=1&amp;n_match=1&amp;NaPm=ct=mqgbodqu%7Cci=ER3c4c8459-6955-11f1-a5fc-82ec60f2b278%7Ctr=sa%7Chk=4ee5d49bd43e5ae39472bcf6f19f52788add6a02%7Cnacn=xneACoBfeN" TargetMode="External"/><Relationship Id="rId174" Type="http://schemas.openxmlformats.org/officeDocument/2006/relationships/hyperlink" Target="http://newstart-law.com/?inType=nim003&amp;NaPm=ci=6h6FWtfOFlQkqNrhzZtxcODw%7Ctr=gfa%7Cct=mqhqz5il%7Chk=2442c704e152f0a39e050491097fe39463d4dc19%7Cnacn=Vw63BggPwf2SB" TargetMode="External"/><Relationship Id="rId195" Type="http://schemas.openxmlformats.org/officeDocument/2006/relationships/hyperlink" Target="https://newstart-law.com/?inType=NIM001&amp;NaPm=ci=6jRUrVuA_0Q-6rkj8uh7dJ-w%7Ctr=gfa%7Cct=mqkl8dy4%7Chk=6526eda94e9f1fe824638782c6edb07d81af4e1e%7Cnacn=JQiyBwwjvi8V" TargetMode="External"/><Relationship Id="rId209" Type="http://schemas.openxmlformats.org/officeDocument/2006/relationships/hyperlink" Target="http://newstart-law.com/?inType=nim_sq01&amp;NaPm=ci=6mlun0Ti6wS8qDhTu9QflAcg%7Ctr=gfa%7Cct=mqorofj3%7Chk=ff396c175fa5831e7f3dec32f3a973c2cb8ea5f0%7Cnacn=ufOeHQCl7xIaB" TargetMode="External"/><Relationship Id="rId220" Type="http://schemas.openxmlformats.org/officeDocument/2006/relationships/hyperlink" Target="http://newstart-law.com/?inType=nim003&amp;NaPm=ci=6mMNoyZahOTw-7U8qCugvAGw%7Ctr=gfa%7Cct=mqoxwico%7Chk=e6214aae4190c4b614172821d69b32148c2cae90%7Cnacn=JxTtB0gTuVLM" TargetMode="External"/><Relationship Id="rId241" Type="http://schemas.openxmlformats.org/officeDocument/2006/relationships/hyperlink" Target="http://newstart-law.com/?inType=nim003&amp;NaPm=ci=6oQFy20hu1Q6KRJftOmXk84Q%7Ctr=gfa%7Cct=mqrc8dg2%7Chk=270ba4c5fcf7b5bbf2138eba8e955dae5f5a346f%7Cnacn=NFeMDghMqRoqA" TargetMode="External"/><Relationship Id="rId15" Type="http://schemas.openxmlformats.org/officeDocument/2006/relationships/hyperlink" Target="http://newstart-law.com/?inType=nim003&amp;NaPm=ci=62OvHkhRFmQieE1HmrLH4edw%7Ctr=gfa%7Cct=mpwbj73l%7Chk=529e4d0ca7b77a4c3df595166adef90d118d98ea%7Cnacn=icX7B0QvhcOY" TargetMode="External"/><Relationship Id="rId36" Type="http://schemas.openxmlformats.org/officeDocument/2006/relationships/hyperlink" Target="https://www.newstart-law.com/?inType=NK&amp;n_media=27758&amp;n_query=%EA%B0%9C%EC%9D%B8%ED%9A%8C%EC%83%9D&amp;n_rank=3&amp;n_ad_group=grp-a001-01-000000063063607&amp;n_ad=nad-a001-01-000000495459275&amp;n_keyword_id=nkw-a001-01-000007934681996&amp;n_keyword=%EA%B0%9C%EC%9D%B8%ED%9A%8C%EC%83%9D&amp;n_campaign_type=1&amp;n_ad_group_type=1&amp;n_match=1&amp;NaPm=ct=mpxtgkvk%7Cci=ERe351fb03-5f27-11f1-8aaa-2a39741d2e73%7Ctr=sa%7Chk=07472eb4ff9caf8640efcc03af380283f458f3d2%7Cnacn=c7QRBAxhEiga" TargetMode="External"/><Relationship Id="rId57" Type="http://schemas.openxmlformats.org/officeDocument/2006/relationships/hyperlink" Target="http://newstart-law.com/?inType=nim003&amp;NaPm=ci=65SLvhZs-XRomDVEVDz56Qmw%7Ctr=gfa%7Cct=mq0b24p2%7Chk=1f87694b432a760816d86e213762b930c92c29b1%7Cnacn=ujOBB0A2hPr5" TargetMode="External"/><Relationship Id="rId262" Type="http://schemas.openxmlformats.org/officeDocument/2006/relationships/hyperlink" Target="http://newstart-law.com/?inType=nim003&amp;NaPm=ci=6pvVx-3XAWTU2_xnxd2DkU_A%7Ctr=gfa%7Cct=mqt8x9wc%7Chk=ade59e697ebe6649aed0bc3ad223e569fc9d3781%7Cnacn=rbUIB0QJUKlY" TargetMode="External"/><Relationship Id="rId283" Type="http://schemas.openxmlformats.org/officeDocument/2006/relationships/hyperlink" Target="http://newstart-law.com/?inType=nim003&amp;NaPm=ci=6qTx1AjdTMR5qgc6YEfrRcXA%7Ctr=gfa%7Cct=mqul309z%7Chk=d9743dad839a443866ed143fab3c710659506160%7Cnacn=W5zkBww1dQH1" TargetMode="External"/><Relationship Id="rId78" Type="http://schemas.openxmlformats.org/officeDocument/2006/relationships/hyperlink" Target="https://newstart-law.com/" TargetMode="External"/><Relationship Id="rId99" Type="http://schemas.openxmlformats.org/officeDocument/2006/relationships/hyperlink" Target="http://newstart-law.com/?inType=nim003&amp;NaPm=ci=6aAs1faiYKSQCBA_grbovI_w%7Ctr=gfa%7Cct=mq7fqa1z%7Chk=4da13e86ca10fe45af28f73f65277ee3b99cfd85%7Cnacn=bIjfCghASS4WB" TargetMode="External"/><Relationship Id="rId101" Type="http://schemas.openxmlformats.org/officeDocument/2006/relationships/hyperlink" Target="https://newstart-law.com/?inType=NIP002&amp;NaPm=ci=6a1AyxqIVCQBufvxHyf5Ri5Q%7Ctr=gfa%7Cct=mq7l6zpw%7Chk=ea915b7a10504aa7b93aabb37b19139fbbdf92ba%7Cnacn=nQbUBEB7ts7b" TargetMode="External"/><Relationship Id="rId122" Type="http://schemas.openxmlformats.org/officeDocument/2006/relationships/hyperlink" Target="https://newstart-law.com/?inType=NIP002&amp;NaPm=ci=6b8hjBPyuPQfm7Dm-i-iu8WA%7Ctr=gfa%7Cct=mq90fuz4%7Chk=7f51fa592483385c46e459074c531ed936a94b3f%7Cnacn=cd8kB4gimiGu" TargetMode="External"/><Relationship Id="rId143" Type="http://schemas.openxmlformats.org/officeDocument/2006/relationships/hyperlink" Target="http://newstart-law.com/?inType=nim003&amp;NaPm=ci=6fIIWmfyMlR5q4uAQYzV8pTQ%7Ctr=gfa%7Cct=mqeufvgl%7Chk=5295e30cd4f50ed434e22370ccec3e2efb12c7b9%7Cnacn=o7rGB0gx3fvVB" TargetMode="External"/><Relationship Id="rId164" Type="http://schemas.openxmlformats.org/officeDocument/2006/relationships/hyperlink" Target="https://www.newstart-law.com/?inType=NK&amp;n_media=27758&amp;n_query=%EA%B0%9C%EC%9D%B8%ED%9A%8C%EC%83%9D%EB%B2%95%EB%A5%A0%EC%82%AC%EB%AC%B4%EC%86%8C&amp;n_rank=5&amp;n_ad_group=grp-a001-01-000000063065651&amp;n_ad=nad-a001-01-000000485213838&amp;n_keyword_id=nkw-a001-01-000007951807442&amp;n_keyword=%EA%B0%9C%EC%9D%B8%ED%9A%8C%EC%83%9D%EB%B2%95%EB%A5%A0%EC%82%AC%EB%AC%B4%EC%86%8C&amp;n_campaign_type=1&amp;n_ad_group_type=1&amp;n_match=1&amp;NaPm=ct=mqhdzvrz%7Cci=ER170943a8-69eb-11f1-8759-467e1d5bf99e%7Ctr=sa%7Chk=97bf7e" TargetMode="External"/><Relationship Id="rId185" Type="http://schemas.openxmlformats.org/officeDocument/2006/relationships/hyperlink" Target="http://newstart-law.com/?inType=nim003&amp;NaPm=ci=6imJCHvnNyS1K47AWLXFrufA%7Ctr=gfa%7Cct=mqj3o7y9%7Chk=666ebf628c646a6ef819c2ff22c30d462c756904%7Cnacn=gfC0CABBuPfAA" TargetMode="External"/><Relationship Id="rId9" Type="http://schemas.openxmlformats.org/officeDocument/2006/relationships/hyperlink" Target="https://newstart-law.com/?inType=NIP002&amp;NaPm=ci=62-DwAjoljS42vywnfnErAdA%7Ctr=gfa%7Cct=mpvxp3wh%7Chk=8ddcc8987cc178e0edda7639814be26eeb173eb1%7Cnacn=OfiJDoBPzEjpB" TargetMode="External"/><Relationship Id="rId210" Type="http://schemas.openxmlformats.org/officeDocument/2006/relationships/hyperlink" Target="https://newstart-law.com/?inType=NIM001&amp;NaPm=ci=6m2OFS_3HiRE6aqoSbI_o94Q%7Ctr=gfa%7Cct=mqot4oqi%7Chk=8017201e6184520cf88165ffa2bb3aa3dbe3abd5%7Cnacn=YNnhBAhQOiBE" TargetMode="External"/><Relationship Id="rId26" Type="http://schemas.openxmlformats.org/officeDocument/2006/relationships/hyperlink" Target="https://newstart-law.com/?inType=NIP002&amp;NaPm=ci=6370iF-i6LRnapeLR63JmeLA%7Ctr=gfa%7Cct=mpxll5om%7Chk=358822922fb5852f22a89a9e8ea92936a1307888%7Cnacn=QMh1BAx2yqji" TargetMode="External"/><Relationship Id="rId231" Type="http://schemas.openxmlformats.org/officeDocument/2006/relationships/hyperlink" Target="http://newstart-law.com/?inType=NIM001&amp;NaPm=ci=6n4_GPoIfCTjaw4oSEKX2z9g%7Ctr=gfa%7Cct=mqq1qe43%7Chk=34f25f3ca6f77fe9d532625357d1f61d46dd3cff%7Cnacn=Tu0MBcwk9WHm" TargetMode="External"/><Relationship Id="rId252" Type="http://schemas.openxmlformats.org/officeDocument/2006/relationships/hyperlink" Target="https://www.newstart-law.com/?inType=NK&amp;n_media=27758&amp;n_query=%EA%B0%9C%EC%9D%B8%ED%9A%8C%EC%83%9D&amp;n_rank=4&amp;n_ad_group=grp-a001-01-000000063063607&amp;n_ad=nad-a001-01-000000495459275&amp;n_keyword_id=nkw-a001-01-000007934681996&amp;n_keyword=%EA%B0%9C%EC%9D%B8%ED%9A%8C%EC%83%9D&amp;n_campaign_type=1&amp;n_ad_group_type=1&amp;n_match=1&amp;NaPm=ct=mqs27g08%7Cci=ER9aeba4e7-6fc9-11f1-bff5-c2fa024ff2a0%7Ctr=sa%7Chk=d45f46af84368a8d020ebf7c43e9f9f4793a5d4c%7Cnacn=dBiRBExqeV25A" TargetMode="External"/><Relationship Id="rId273" Type="http://schemas.openxmlformats.org/officeDocument/2006/relationships/hyperlink" Target="http://newstart-law.com/?inType=nim003&amp;NaPm=ci=6qX7guxZLySo2BafqyWQ9ofw%7Ctr=gfa%7Cct=mquclekc%7Chk=1d417d185c8e621ec5cab88b1ad4dbccf1635cc1%7Cnacn=B8A2BExvDgLT" TargetMode="External"/><Relationship Id="rId294" Type="http://schemas.openxmlformats.org/officeDocument/2006/relationships/hyperlink" Target="http://newstart-law.com/?inType=NIM001&amp;NaPm=ci=6qCbE149PLQ0W2Bnh7NBpG5Q%7Ctr=gfa%7Cct=mquqslob%7Chk=f9bdb51cddf3bf1d4d22223bdd354d43f4b2d431%7Cnacn=RJZZB4gbDAWQ" TargetMode="External"/><Relationship Id="rId308" Type="http://schemas.openxmlformats.org/officeDocument/2006/relationships/hyperlink" Target="http://newstart-law.com/?inType=nim003&amp;NaPm=ci=6tsWD5FXq8SQO_1VZyPFFTTQ%7Ctr=gfa%7Cct=mqysunhg%7Chk=ec0463cf283e65fad287d4aa20e16d515e682607%7Cnacn=UvmcBsgfDG5uA" TargetMode="External"/><Relationship Id="rId47" Type="http://schemas.openxmlformats.org/officeDocument/2006/relationships/hyperlink" Target="http://newstart-law.com/?inType=NIM001&amp;NaPm=ci=641svuPzLzTPmCyTlKuYnymQ%7Ctr=gfa%7Cct=mpzag6w6%7Chk=02db74981c6b2bb71dd7f42eeaac4049a210f56e%7Cnacn=fp7ZCYBtwA9eA" TargetMode="External"/><Relationship Id="rId68" Type="http://schemas.openxmlformats.org/officeDocument/2006/relationships/hyperlink" Target="http://newstart-law.com/?inType=nim003&amp;NaPm=ci=68TITNvvuTRH2U89je91FScg%7Ctr=gfa%7Cct=mq4sagds%7Chk=d7b5ee3fc1e54a390f6dfbd1fe0a1b2cada5b3ac%7Cnacn=oeeLFgDqMuDRC" TargetMode="External"/><Relationship Id="rId89" Type="http://schemas.openxmlformats.org/officeDocument/2006/relationships/hyperlink" Target="http://newstart-law.com/?inType=nim003&amp;NaPm=ci=69mSfh_d7MQdu3ukEz3zKtEA%7Ctr=gfa%7Cct=mq5ye1so%7Chk=0a292e0100b99b27e4a571050d4b3927ac4b2e2f%7Cnacn=oYz5BABAW6hv" TargetMode="External"/><Relationship Id="rId112" Type="http://schemas.openxmlformats.org/officeDocument/2006/relationships/hyperlink" Target="https://www.newstart-law.com/?inType=NK&amp;n_media=27758&amp;n_query=%EA%B0%9C%EC%9D%B8%ED%9A%8C%EC%83%9D&amp;n_rank=2&amp;n_ad_group=grp-a001-01-000000063063607&amp;n_ad=nad-a001-01-000000495459275&amp;n_keyword_id=nkw-a001-01-000007934681996&amp;n_keyword=%EA%B0%9C%EC%9D%B8%ED%9A%8C%EC%83%9D&amp;n_campaign_type=1&amp;n_ad_group_type=1&amp;n_match=1&amp;NaPm=ct=mq85tx90%7Cci=ER1a70f561-64d8-11f1-8c5d-c6b3905ab0bb%7Ctr=sa%7Chk=4b2e95521f88eb0a12654d52399ffed3b456a4d6%7Cnacn=DeuFCwAYH7fnB" TargetMode="External"/><Relationship Id="rId133" Type="http://schemas.openxmlformats.org/officeDocument/2006/relationships/hyperlink" Target="http://newstart-law.com/?inType=NIM001&amp;NaPm=ci=6cZkFJjOVxTGWtJ1WMv81-3w%7Ctr=gfa%7Cct=mqak08ia%7Chk=023949f6901ed1968bc0cafc9ba6f24d31b7d9dd%7Cnacn=pEZVBcA23ge9B" TargetMode="External"/><Relationship Id="rId154" Type="http://schemas.openxmlformats.org/officeDocument/2006/relationships/hyperlink" Target="https://newstart-law.com/?inType=nim_sq02&amp;NaPm=ci=6gadg-6OnGTsaGmuHAxEln0g%7Ctr=gfa%7Cct=mqgebxs8%7Chk=18a6f4c1dcb9ce24fa207fcee2d3a119d809e927%7Cnacn=RMYxB0wru28s" TargetMode="External"/><Relationship Id="rId175" Type="http://schemas.openxmlformats.org/officeDocument/2006/relationships/hyperlink" Target="http://newstart-law.com/?inType=nim003&amp;NaPm=ci=6ixclwNxLgQmWxZUIVJ_v8LQ%7Ctr=gfa%7Cct=mqisxxdz%7Chk=82bf442d1746b717cbcd34acde6c06b957affa89%7Cnacn=nfZXDAhpsX3VB" TargetMode="External"/><Relationship Id="rId196" Type="http://schemas.openxmlformats.org/officeDocument/2006/relationships/hyperlink" Target="https://www.newstart-law.com/?inType=NK&amp;n_media=27758&amp;n_query=%ED%9A%8C%EC%83%9D&amp;n_rank=7&amp;n_ad_group=grp-a001-01-000000063065651&amp;n_ad=nad-a001-01-000000495459437&amp;n_keyword_id=nkw-a001-01-000007951807360&amp;n_keyword=%ED%9A%8C%EC%83%9D&amp;n_campaign_type=1&amp;n_ad_group_type=1&amp;n_match=1&amp;NaPm=ct=mqkm6jbc%7Cci=ER730e0d03-6bb1-11f1-bab5-d227dfb109da%7Ctr=sa%7Chk=f7ed8f1e43ffb7136d6a0fa227cebd94e45c2d99%7Cnacn=rtnBBYwadKgS" TargetMode="External"/><Relationship Id="rId200" Type="http://schemas.openxmlformats.org/officeDocument/2006/relationships/hyperlink" Target="https://www.newstart-law.com/?inType=NK&amp;n_media=27758&amp;n_query=%EA%B0%9C%EC%9D%B8%ED%9A%8C%EC%83%9D&amp;n_rank=4&amp;n_ad_group=grp-a001-01-000000063063607&amp;n_ad=nad-a001-01-000000485213830&amp;n_keyword_id=nkw-a001-01-000007934681996&amp;n_keyword=%EA%B0%9C%EC%9D%B8%ED%9A%8C%EC%83%9D&amp;n_campaign_type=1&amp;n_ad_group_type=1&amp;n_match=1&amp;NaPm=ct=mqkwy5ig%7Cci=ER8e571ed2-6bdb-11f1-a9b8-6e3ae24fc82e%7Ctr=sa%7Chk=e74c8c7a88b6181ec7b0594c4ca5a0a81c5dfbd0%7Cnacn=ivzbBEhB33pa" TargetMode="External"/><Relationship Id="rId16" Type="http://schemas.openxmlformats.org/officeDocument/2006/relationships/hyperlink" Target="http://newstart-law.com/?inType=nim003&amp;NaPm=ci=626VP5h2A-SY2U8VXeH0J9ng%7Ctr=gfa%7Cct=mpwcgx2t%7Chk=bee70ab55f4370a2791f999154f7da6c38aead6b%7Cnacn=0eRSCgBbQtozA" TargetMode="External"/><Relationship Id="rId221" Type="http://schemas.openxmlformats.org/officeDocument/2006/relationships/hyperlink" Target="https://www.newstart-law.com/?inType=NK&amp;n_media=27758&amp;n_query=%EC%95%88%EC%82%B0%EA%B0%9C%EC%9D%B8%ED%9A%8C%EC%83%9D&amp;n_rank=2&amp;n_ad_group=grp-a001-01-000000063065651&amp;n_ad=nad-a001-01-000000495459437&amp;n_keyword_id=nkw-a001-01-000007951807345&amp;n_keyword=%EC%95%88%EC%82%B0%EA%B0%9C%EC%9D%B8%ED%9A%8C%EC%83%9D&amp;n_campaign_type=1&amp;n_ad_group_type=1&amp;n_match=1&amp;NaPm=ct=mqp4wc4p%7Cci=ERc7771609-6e2d-11f1-b44e-96706a7dac00%7Ctr=sa%7Chk=ae4e61c011d4a6918fe8bad85f703ff962bf3a71%7Cnacn=xyJkB4QeFM" TargetMode="External"/><Relationship Id="rId242" Type="http://schemas.openxmlformats.org/officeDocument/2006/relationships/hyperlink" Target="http://newstart-law.com/?inType=nim003&amp;NaPm=ci=6oLsqTP7B3TnirrHnE4MJ3hQ%7Ctr=gfa%7Cct=mqrc9y11%7Chk=c6a504e8b5afba4a7f99c8ffa22e68af4faac6a4%7Cnacn=3mzjBkwoB5fOB" TargetMode="External"/><Relationship Id="rId263" Type="http://schemas.openxmlformats.org/officeDocument/2006/relationships/hyperlink" Target="https://www.newstart-law.com/?inType=NK&amp;n_media=8753&amp;n_query=%EA%B0%9C%EC%9D%B8%ED%8C%8C%EC%82%B0%EC%8B%A0%EC%B2%AD&amp;n_rank=1&amp;n_ad_group=grp-a001-01-000000063065674&amp;n_ad=nad-a001-01-000000495460351&amp;n_keyword_id=nkw-a001-01-000007951811270&amp;n_keyword=%EA%B0%9C%EC%9D%B8%ED%8C%8C%EC%82%B0%EC%8B%A0%EC%B2%AD&amp;n_campaign_type=1&amp;n_ad_group_type=1&amp;n_match=1&amp;NaPm=ct=mqtc6t23%7Cci=ER6d2266de-707d-11f1-9db2-42552c13862c%7Ctr=sa%7Chk=bb2f5a7481b7f652b13769a2eb60d49b24c8fca2%7Cnacn=2L0YBcwv1sT" TargetMode="External"/><Relationship Id="rId284" Type="http://schemas.openxmlformats.org/officeDocument/2006/relationships/hyperlink" Target="http://newstart-law.com/?inType=nim003&amp;NaPm=ci=6q3U5x2HBESgeV9vX9F2jN9w%7Ctr=gfa%7Cct=mqul6t9e%7Chk=c42fb1ea6c253868d3cbc99bcf95bfa69be1a896%7Cnacn=skZ1BQQpVMIU" TargetMode="External"/><Relationship Id="rId37" Type="http://schemas.openxmlformats.org/officeDocument/2006/relationships/hyperlink" Target="http://newstart-law.com/?inType=nim003&amp;NaPm=ci=63wP6NmzUjQ9udWjVElVmpTQ%7Ctr=gfa%7Cct=mpxuiwuk%7Chk=c409f35c327017e2d3daf82629264587343873a5%7Cnacn=pZCzBowUbZrH" TargetMode="External"/><Relationship Id="rId58" Type="http://schemas.openxmlformats.org/officeDocument/2006/relationships/hyperlink" Target="https://www.newstart-law.com/?inType=NK&amp;n_media=8753&amp;n_query=%EA%B0%9C%EC%9D%B8%EC%82%AC%EC%97%85%EC%9E%90%EA%B0%9C%EC%9D%B8%ED%9A%8C%EC%83%9D&amp;n_rank=3&amp;n_ad_group=grp-a001-01-000000063439760&amp;n_ad=nad-a001-01-000000485213844&amp;n_keyword_id=nkw-a001-01-000008008707934&amp;n_keyword=%EA%B0%9C%EC%9D%B8%EC%82%AC%EC%97%85%EC%9E%90%EA%B0%9C%EC%9D%B8%ED%9A%8C%EC%83%9D&amp;n_campaign_type=1&amp;n_ad_group_type=1&amp;n_match=1&amp;NaPm=ct=mq0vqimg%7Cci=ER23e0b539-60d7-11f1-b0bf-0eb0cfea6841%7Ctr=sa%7Chk=d6b2cd0" TargetMode="External"/><Relationship Id="rId79" Type="http://schemas.openxmlformats.org/officeDocument/2006/relationships/hyperlink" Target="https://newstart-law.com/" TargetMode="External"/><Relationship Id="rId102" Type="http://schemas.openxmlformats.org/officeDocument/2006/relationships/hyperlink" Target="http://newstart-law.com/?inType=nim003&amp;NaPm=ci=6a7ELDDOZvQM2xlZtCDHEJIw%7Ctr=gfa%7Cct=mq7ouovw%7Chk=46dac49725f17058c8f90fa19e29e3cd65afdc15%7Cnacn=IWr0B4Qf6jJFB" TargetMode="External"/><Relationship Id="rId123" Type="http://schemas.openxmlformats.org/officeDocument/2006/relationships/hyperlink" Target="http://newstart-law.com/?inType=nim003&amp;NaPm=ci=6bK5gzVoq3RZyYSEcXysUz2w%7Ctr=gfa%7Cct=mq93kxbg%7Chk=d155ed9b66c3d21e82028979d4e86b69a815470a%7Cnacn=XAsRBsweJRCGB" TargetMode="External"/><Relationship Id="rId144" Type="http://schemas.openxmlformats.org/officeDocument/2006/relationships/hyperlink" Target="http://newstart-law.com/?inType=nim003&amp;NaPm=ci=6fxLNwEIzqRf6KIK7J0eBhUg%7Ctr=gfa%7Cct=mqeylg9v%7Chk=8fac93861effa8839e5ea53f9cb7366c96dda67a%7Cnacn=65xsB8QHtoWS" TargetMode="External"/><Relationship Id="rId90" Type="http://schemas.openxmlformats.org/officeDocument/2006/relationships/hyperlink" Target="http://newstart-law.com/?inType=nim003&amp;NaPm=ci=69fRSWAsS3Q5qpPw4q8PsLTw%7Ctr=gfa%7Cct=mq5zjh34%7Chk=fb89f27a29fda897aed7f8e1c526852d16845006%7Cnacn=XKx1B8AGSVnn" TargetMode="External"/><Relationship Id="rId165" Type="http://schemas.openxmlformats.org/officeDocument/2006/relationships/hyperlink" Target="http://newstart-law.com/?inType=NIM001&amp;NaPm=ci=6hnYp1HyUJRyCgtQ_enqIkNg%7Ctr=gfa%7Cct=mqheyd3i%7Chk=d45e31ed259a182bbb5b0cfc2df9f4bde55f18f5%7Cnacn=edcoCAhnIkxjA" TargetMode="External"/><Relationship Id="rId186" Type="http://schemas.openxmlformats.org/officeDocument/2006/relationships/hyperlink" Target="https://newstart-law.com/?inType=NIP002&amp;NaPm=ci=6iqhVXSRKPTeCkvbMBLkE3NQ%7Ctr=gfa%7Cct=mqj5w54f%7Chk=3f36d27e73c31392af75c73f69e97e2ffdd8cc90%7Cnacn=A3Y4BIxFfJSIA" TargetMode="External"/><Relationship Id="rId211" Type="http://schemas.openxmlformats.org/officeDocument/2006/relationships/hyperlink" Target="http://newstart-law.com/?inType=nim003&amp;NaPm=ci=6mKyM3C8ZaTq6G6Q5OJCQIVg%7Ctr=gfa%7Cct=mqotic9z%7Chk=1a752980da82a5fd07c094097050ec02e59efd0a%7Cnacn=V7RABYgePPRcB" TargetMode="External"/><Relationship Id="rId232" Type="http://schemas.openxmlformats.org/officeDocument/2006/relationships/hyperlink" Target="http://newstart-law.com/?inType=nim003&amp;NaPm=ci=6nj9Lm1DlJSUu-fA8mfXp7KA%7Ctr=gfa%7Cct=mqq1rs2i%7Chk=b43497014ed71f61cf42c445260b75e0d404548f%7Cnacn=YaNfD4h9mUGjA" TargetMode="External"/><Relationship Id="rId253" Type="http://schemas.openxmlformats.org/officeDocument/2006/relationships/hyperlink" Target="https://www.newstart-law.com/?inType=NK&amp;n_media=27758&amp;n_query=%EA%B0%9C%EC%9D%B8%ED%9A%8C%EC%83%9D&amp;n_rank=4&amp;n_ad_group=grp-a001-01-000000063063607&amp;n_ad=nad-a001-01-000000495459275&amp;n_keyword_id=nkw-a001-01-000007934681996&amp;n_keyword=%EA%B0%9C%EC%9D%B8%ED%9A%8C%EC%83%9D&amp;n_campaign_type=1&amp;n_ad_group_type=1&amp;n_match=1&amp;NaPm=ct=mqs27g08%7Cci=ER9aeba4e7-6fc9-11f1-bff5-c2fa024ff2a0%7Ctr=sa%7Chk=d45f46af84368a8d020ebf7c43e9f9f4793a5d4c%7Cnacn=dBiRBExqeV25A" TargetMode="External"/><Relationship Id="rId274" Type="http://schemas.openxmlformats.org/officeDocument/2006/relationships/hyperlink" Target="http://newstart-law.com/?inType=nim003&amp;NaPm=ci=6qBR1UwRtfSZSZbtX3pL3stg%7Ctr=gfa%7Cct=mque63ih%7Chk=aaab889d3191f7f333f9f49d5b896d120e2cf427%7Cnacn=gUHiBgQhPUlv" TargetMode="External"/><Relationship Id="rId295" Type="http://schemas.openxmlformats.org/officeDocument/2006/relationships/hyperlink" Target="http://newstart-law.com/?inType=nim003&amp;NaPm=ci=6q8yalwcwsSEil15waiX5HzQ%7Ctr=gfa%7Cct=mquqtyoq%7Chk=5d109d01aef223a3d7357b3cc20836380842fa3d%7Cnacn=cupjBswmXQDS" TargetMode="External"/><Relationship Id="rId309" Type="http://schemas.openxmlformats.org/officeDocument/2006/relationships/hyperlink" Target="http://newstart-law.com/?inType=nim003&amp;NaPm=ci=6trwUAT5aXToCSE0IDbHMfLw%7Ctr=gfa%7Cct=mqyuqnz5%7Chk=2b118cf3d6381290b01e9452846dff55d7ded21d%7Cnacn=zlktBogTZoedB" TargetMode="External"/><Relationship Id="rId27" Type="http://schemas.openxmlformats.org/officeDocument/2006/relationships/hyperlink" Target="http://newstart-law.com/?inType=nim003&amp;NaPm=ci=63dp1A7CxiRiSPH4vZf0vCLw%7Ctr=gfa%7Cct=mpxoewe3%7Chk=6c72cc2a2ec407fcd6d752a61766ce0b5085a58e%7Cnacn=WBduBwgWiRnN" TargetMode="External"/><Relationship Id="rId48" Type="http://schemas.openxmlformats.org/officeDocument/2006/relationships/hyperlink" Target="https://www.newstart-law.com/?inType=NK&amp;n_media=8753&amp;n_query=%ED%8C%8C%EC%82%B0%EC%8B%A0%EC%B2%AD%EC%9E%90%EA%B2%A9&amp;n_rank=5&amp;n_ad_group=grp-a001-01-000000063065674&amp;n_ad=nad-a001-01-000000495460351&amp;n_keyword_id=nkw-a001-01-000007951811269&amp;n_keyword=%ED%8C%8C%EC%82%B0%EC%8B%A0%EC%B2%AD%EC%9E%90%EA%B2%A9&amp;n_campaign_type=1&amp;n_ad_group_type=1&amp;n_match=1&amp;NaPm=ct=mpzbuih8%7Cci=ER93c514dd-5ffc-11f1-8c5d-c6b3905ab0bb%7Ctr=sa%7Chk=28d90744303f8c9a50aa85194837f9b9ef2a664b%7Cnacn=VFSLBQQe5HA" TargetMode="External"/><Relationship Id="rId69" Type="http://schemas.openxmlformats.org/officeDocument/2006/relationships/hyperlink" Target="https://newstart-law.com/" TargetMode="External"/><Relationship Id="rId113" Type="http://schemas.openxmlformats.org/officeDocument/2006/relationships/hyperlink" Target="http://newstart-law.com/?inType=nim_sq02&amp;NaPm=ci=6bQSUAwFBuRdCokgXa3L55gg%7Ctr=gfa%7Cct=mq8omnhb%7Chk=42fa8797257050ab36b51bcfbb09017aff8aa2bf%7Cnacn=FrB4B0QzRIhD" TargetMode="External"/><Relationship Id="rId134" Type="http://schemas.openxmlformats.org/officeDocument/2006/relationships/hyperlink" Target="https://newstart-law.com/?inType=NIP002&amp;NaPm=ci=6cvWOhkoV7SemwWHgz_z3QKA%7Ctr=gfa%7Cct=mqaj7fnn%7Chk=a5c9d2ddc0a7339154b9dbdd744775558648435b%7Cnacn=TGa5B0guiOAo" TargetMode="External"/><Relationship Id="rId80" Type="http://schemas.openxmlformats.org/officeDocument/2006/relationships/hyperlink" Target="https://newstart-law.com/" TargetMode="External"/><Relationship Id="rId155" Type="http://schemas.openxmlformats.org/officeDocument/2006/relationships/hyperlink" Target="http://newstart-law.com/?inType=nim003&amp;NaPm=ci=6gPRhgc-lnTNu_M30nAHDczg%7Ctr=gfa%7Cct=mqgfh86x%7Chk=a92871bde8142b5fb50dc186285688e0d498a25d%7Cnacn=fdSMCoBSrGeoD" TargetMode="External"/><Relationship Id="rId176" Type="http://schemas.openxmlformats.org/officeDocument/2006/relationships/hyperlink" Target="https://newstart-law.com/" TargetMode="External"/><Relationship Id="rId197" Type="http://schemas.openxmlformats.org/officeDocument/2006/relationships/hyperlink" Target="https://newstart-law.com/?inType=nim_sq02&amp;NaPm=ci=6jVPO2EaP6QQCziQMHFrA-DQ%7Ctr=gfa%7Cct=mqkoalo3%7Chk=a6f80e9ee6049ef3236417037a00562b5a234a44%7Cnacn=fMPACAhd46hOB" TargetMode="External"/><Relationship Id="rId201" Type="http://schemas.openxmlformats.org/officeDocument/2006/relationships/hyperlink" Target="https://www.newstart-law.com/" TargetMode="External"/><Relationship Id="rId222" Type="http://schemas.openxmlformats.org/officeDocument/2006/relationships/hyperlink" Target="https://www.newstart-law.com/?inType=NK&amp;n_media=8753&amp;n_query=%EA%B0%9C%EC%9D%B8%ED%8C%8C%EC%82%B0&amp;n_rank=3&amp;n_ad_group=grp-a001-01-000000063065512&amp;n_ad=nad-a001-01-000000495460286&amp;n_keyword_id=nkw-a001-01-000007934684740&amp;n_keyword=%EA%B0%9C%EC%9D%B8%ED%8C%8C%EC%82%B0&amp;n_campaign_type=1&amp;n_ad_group_type=1&amp;n_match=1&amp;NaPm=ct=mqp8gwks%7Cci=ERbed482c0-6e3b-11f1-ae91-da434ee44931%7Ctr=sa%7Chk=ab6b8fe8dbeb5ed6168cd131f523d42210b0e705%7Cnacn=kquyB0wv62Yq" TargetMode="External"/><Relationship Id="rId243" Type="http://schemas.openxmlformats.org/officeDocument/2006/relationships/hyperlink" Target="http://newstart-law.com/?inType=nim003&amp;NaPm=ci=6oRi6waWvlS_--L5wqkyblCQ%7Ctr=gfa%7Cct=mqrde0m4%7Chk=85a0b92dd29ce9dbf49b00e0bfe44177ec3e5a4e%7Cnacn=00MhBABzP7Eo" TargetMode="External"/><Relationship Id="rId264" Type="http://schemas.openxmlformats.org/officeDocument/2006/relationships/hyperlink" Target="https://www.newstart-law.com/?inType=NK&amp;n_media=8753&amp;n_query=%EA%B0%9C%EC%9D%B8%ED%9A%8C%EC%83%9D&amp;n_rank=7&amp;n_ad_group=grp-a001-01-000000063063767&amp;n_ad=nad-a001-01-000000495340403&amp;n_keyword_id=nkw-a001-01-000007934680459&amp;n_keyword=%EA%B0%9C%EC%9D%B8%ED%9A%8C%EC%83%9D&amp;n_campaign_type=1&amp;n_ad_group_type=1&amp;n_match=1&amp;NaPm=ct=mqtdq5ir%7Cci=ER7043bc74-7083-11f1-8708-d6e4c9222c93%7Ctr=sa%7Chk=69ffbefeb6357185c304cf28367a21e59f5ea94a%7Cnacn=0fMICACmverjD" TargetMode="External"/><Relationship Id="rId285" Type="http://schemas.openxmlformats.org/officeDocument/2006/relationships/hyperlink" Target="http://newstart-law.com/?inType=nim003&amp;NaPm=ci=6q4eMQIj3HRvCPIkqQ_jv0YA%7Ctr=gfa%7Cct=mqulcw6h%7Chk=40d2de3017997e8b989022e26b631657dfc50754%7Cnacn=o7YfC4gvnzuzA" TargetMode="External"/><Relationship Id="rId17" Type="http://schemas.openxmlformats.org/officeDocument/2006/relationships/hyperlink" Target="http://newstart-law.com/?inType=NIM001&amp;NaPm=ci=62uotRnDyfSwOjJo-EKBtsJw%7Ctr=gfa%7Cct=mpwew242%7Chk=343e2ebee342ccd82e75fc14e0ca9da652f4c057%7Cnacn=5mkpBMAOx03E" TargetMode="External"/><Relationship Id="rId38" Type="http://schemas.openxmlformats.org/officeDocument/2006/relationships/hyperlink" Target="https://newstart-law.com/?inType=NIM001&amp;NaPm=ci=63ZQVwC6Q1SbiEWvrxLxHa1Q%7Ctr=gfa%7Cct=mpxugisa%7Chk=e5ef304add9da42297e26d2a3b3ff0de00fd76f9%7Cnacn=Fi3FB0AB775fB" TargetMode="External"/><Relationship Id="rId59" Type="http://schemas.openxmlformats.org/officeDocument/2006/relationships/hyperlink" Target="https://newstart-law.com/?inType=NIP002&amp;NaPm=ci=689X1FKPh8Qt-IkuhVRcQPjg%7Ctr=gfa%7Cct=mq4gabkz%7Chk=3b20abd5d2f8608ca34ef44369a9433ea62283e8%7Cnacn=fPTTCICi05ypA" TargetMode="External"/><Relationship Id="rId103" Type="http://schemas.openxmlformats.org/officeDocument/2006/relationships/hyperlink" Target="http://newstart-law.com/" TargetMode="External"/><Relationship Id="rId124" Type="http://schemas.openxmlformats.org/officeDocument/2006/relationships/hyperlink" Target="http://newstart-law.com/?inType=nim003&amp;NaPm=ci=6b-CpG7p8-Tf-nAK0lYU1_cw%7Ctr=gfa%7Cct=mq9bqrd4%7Chk=02459faa2d05f6282c09617649a59fa66d7e7802%7Cnacn=wvBPB0AkgXQE" TargetMode="External"/><Relationship Id="rId310" Type="http://schemas.openxmlformats.org/officeDocument/2006/relationships/hyperlink" Target="http://newstart-law.com/?inType=nim003&amp;NaPm=ci=6tYt9YpKkYQ8u3QdcGaKsYTw%7Ctr=gfa%7Cct=mqyvhey1%7Chk=c1bcd8925ef44eb646f0ac3f9a0b4436c86e52e2%7Cnacn=oPehC4BOJXeJD" TargetMode="External"/><Relationship Id="rId70" Type="http://schemas.openxmlformats.org/officeDocument/2006/relationships/hyperlink" Target="https://newstart-law.com/" TargetMode="External"/><Relationship Id="rId91" Type="http://schemas.openxmlformats.org/officeDocument/2006/relationships/hyperlink" Target="http://newstart-law.com/?inType=nim003&amp;NaPm=ci=69b_obtJ83QguL8y8D0lYY8g%7Ctr=gfa%7Cct=mq5zlh80%7Chk=f8f575fca6c02f88b5b3db5b0c148ffa3fc5fe1a%7Cnacn=a8eOD4An1WNnB" TargetMode="External"/><Relationship Id="rId145" Type="http://schemas.openxmlformats.org/officeDocument/2006/relationships/hyperlink" Target="http://newstart-law.com/?inType=nim003&amp;NaPm=ci=6fxVF6O0kAQq2GRWiou7cilQ%7Ctr=gfa%7Cct=mqeynmaj%7Chk=426d4dfe5ab09f57df597c82b5ead2150908ccc8%7Cnacn=9YTFB4QedXchA" TargetMode="External"/><Relationship Id="rId166" Type="http://schemas.openxmlformats.org/officeDocument/2006/relationships/hyperlink" Target="https://www.newstart-law.com/?inType=NK&amp;n_media=122875&amp;n_query=%EA%B0%9C%EC%9D%B8%ED%9A%8C%EC%83%9D&amp;n_rank=13&amp;n_ad_group=grp-a001-01-000000063063607&amp;n_ad=nad-a001-01-000000495459275&amp;n_keyword_id=nkw-a001-01-000007934681996&amp;n_keyword=%EA%B0%9C%EC%9D%B8%ED%9A%8C%EC%83%9D&amp;n_campaign_type=1&amp;n_ad_group_type=1&amp;n_match=1&amp;NaPm=ct=mp27y6qc%7Cci=ER77fc25fb-4dc7-11f1-93cf-2ed7c275da5f%7Ctr=sa%7Chk=06fc919fb841bcfbfa12e31c78a7a855faff8381%7Cnacn=JiCsBoA75G3fB" TargetMode="External"/><Relationship Id="rId187" Type="http://schemas.openxmlformats.org/officeDocument/2006/relationships/hyperlink" Target="https://newstart-law.com/?inType=NIP002&amp;NaPm=ci=6iqhVXSRKPTeCkvbMBLkE3NQ%7Ctr=gfa%7Cct=mqj5w54f%7Chk=3f36d27e73c31392af75c73f69e97e2ffdd8cc90%7Cnacn=A3Y4BIxFfJSIA" TargetMode="External"/><Relationship Id="rId1" Type="http://schemas.openxmlformats.org/officeDocument/2006/relationships/hyperlink" Target="https://newstart-law.com/?n_media=8753&amp;n_query=%ED%8C%8C%EC%82%B0%EC%8B%A0%EC%B2%AD&amp;n_rank=1&amp;n_ad_group=grp-a001-01-000000063065674&amp;n_ad=nad-a001-01-000000485213839&amp;n_keyword_id=nkw-a001-01-000007951811266&amp;n_keyword=%ED%8C%8C%EC%82%B0%EC%8B%A0%EC%B2%AD&amp;n_campaign_type=1&amp;n_ad_group_type=1&amp;n_match=1&amp;NaPm=ct=mptxly87%7Cci=ERfa9929cf-5d04-11f1-a285-5e52d0db692c%7Ctr=sa%7Chk=90f30f94682fc794caf20a63593a91b7458a46f0%7Cnacn=wN0DBgwQY7yU" TargetMode="External"/><Relationship Id="rId212" Type="http://schemas.openxmlformats.org/officeDocument/2006/relationships/hyperlink" Target="http://newstart-law.com/?inType=nim_sq01&amp;NaPm=ci=6mbR43wNZhSaW7_PqQvLtPBA%7Ctr=gfa%7Cct=mqotigrb%7Chk=1a1a490d9b092ffb6a139c58bb68d481e0d4be25%7Cnacn=2lHNBUQzIJKd" TargetMode="External"/><Relationship Id="rId233" Type="http://schemas.openxmlformats.org/officeDocument/2006/relationships/hyperlink" Target="http://newstart-law.com/?inType=nim003&amp;NaPm=ci=6ni_7GnB9IRWK_F4RHDQtjsw%7Ctr=gfa%7Cct=mqqdtp16%7Chk=f8239599d117b22d79ec486c12724c072205667f%7Cnacn=cdAEB0gD2HXT" TargetMode="External"/><Relationship Id="rId254" Type="http://schemas.openxmlformats.org/officeDocument/2006/relationships/hyperlink" Target="https://www.newstart-law.com/?inType=NK&amp;n_media=27758&amp;n_query=%EA%B0%9C%EC%9D%B8%ED%9A%8C%EC%83%9D&amp;n_rank=4&amp;n_ad_group=grp-a001-01-000000063063607&amp;n_ad=nad-a001-01-000000495459275&amp;n_keyword_id=nkw-a001-01-000007934681996&amp;n_keyword=%EA%B0%9C%EC%9D%B8%ED%9A%8C%EC%83%9D&amp;n_campaign_type=1&amp;n_ad_group_type=1&amp;n_match=1&amp;NaPm=ct=mqs27g08%7Cci=ER9aeba4e7-6fc9-11f1-bff5-c2fa024ff2a0%7Ctr=sa%7Chk=d45f46af84368a8d020ebf7c43e9f9f4793a5d4c%7Cnacn=dBiRBExqeV25A" TargetMode="External"/><Relationship Id="rId28" Type="http://schemas.openxmlformats.org/officeDocument/2006/relationships/hyperlink" Target="https://www.newstart-law.com/?inType=NK&amp;n_media=8753&amp;n_query=%EA%B0%9C%EC%9D%B8%ED%9A%8C%EC%83%9D&amp;n_rank=6&amp;n_ad_group=grp-a001-01-000000063063767&amp;n_ad=nad-a001-01-000000485213831&amp;n_keyword_id=nkw-a001-01-000007934680459&amp;n_keyword=%EA%B0%9C%EC%9D%B8%ED%9A%8C%EC%83%9D&amp;n_campaign_type=1&amp;n_ad_group_type=1&amp;n_match=1&amp;NaPm=ct=mpxohbks%7Cci=ER6a4cd276-5f14-11f1-971b-a6bf3bc2f963%7Ctr=sa%7Chk=9f15846e860af1fccc9d146b6bc97c9589a8c72b%7Cnacn=ChUSBgwOxh4e" TargetMode="External"/><Relationship Id="rId49" Type="http://schemas.openxmlformats.org/officeDocument/2006/relationships/hyperlink" Target="https://www.newstart-law.com/?inType=NK&amp;n_media=8753&amp;n_query=%ED%8C%8C%EC%82%B0%EC%8B%A0%EC%B2%AD&amp;n_rank=3&amp;n_ad_group=grp-a001-01-000000063065674&amp;n_ad=nad-a001-01-000000495460351&amp;n_keyword_id=nkw-a001-01-000007951811266&amp;n_keyword=%ED%8C%8C%EC%82%B0%EC%8B%A0%EC%B2%AD&amp;n_campaign_type=1&amp;n_ad_group_type=1&amp;n_match=1&amp;NaPm=ct=mpzfqakz%7Cci=ERc2f35661-600b-11f1-8aaa-2a39741d2e73%7Ctr=sa%7Chk=4efaf5943c4d79dbd538882feea9b014c1062fd3%7Cnacn=oz96BMAbtvDz" TargetMode="External"/><Relationship Id="rId114" Type="http://schemas.openxmlformats.org/officeDocument/2006/relationships/hyperlink" Target="https://newstart-law.com/?inType=nim_sq02&amp;NaPm=ci=6bmgBHnt6fSMu8AaHh1kjNLw%7Ctr=gfa%7Cct=mq8wqlh9%7Chk=3dc5267c29265daafa3e0d384329c6ecde5c6401%7Cnacn=RMYxB0wru28s" TargetMode="External"/><Relationship Id="rId275" Type="http://schemas.openxmlformats.org/officeDocument/2006/relationships/hyperlink" Target="https://www.newstart-law.com/?inType=NK&amp;n_media=27758&amp;n_query=%EA%B0%9C%EC%9D%B8%ED%9A%8C%EC%83%9D%EC%8B%A0%EC%B2%AD%EC%9E%90%EA%B2%A9&amp;n_rank=5&amp;n_ad_group=grp-a001-01-000000063065651&amp;n_ad=nad-a001-01-000000495459437&amp;n_keyword_id=nkw-a001-01-000007951807343&amp;n_keyword=%EA%B0%9C%EC%9D%B8%ED%9A%8C%EC%83%9D%EC%8B%A0%EC%B2%AD%EC%9E%90%EA%B2%A9&amp;n_campaign_type=1&amp;n_ad_group_type=1&amp;n_match=1&amp;NaPm=ct=mquegana%7Cci=ER0fe94867-7113-11f1-a9b8-6e3ae24fc82e%7Ctr=sa%7Chk=6b7d9a452a31d415f1ed70f6" TargetMode="External"/><Relationship Id="rId296" Type="http://schemas.openxmlformats.org/officeDocument/2006/relationships/hyperlink" Target="https://www.newstart-law.com/?inType=NK&amp;n_media=8753&amp;n_query=%EA%B0%9C%EC%9D%B8%ED%9A%8C%EC%83%9D&amp;n_rank=5&amp;n_ad_group=grp-a001-01-000000063063767&amp;n_ad=nad-a001-01-000000495340403&amp;n_keyword_id=nkw-a001-01-000007934680459&amp;n_keyword=%EA%B0%9C%EC%9D%B8%ED%9A%8C%EC%83%9D&amp;n_campaign_type=1&amp;n_ad_group_type=1&amp;n_match=1&amp;NaPm=ct=mquu2bqs%7Cci=ER1d7f4ba2-7150-11f1-b44e-96706a7dac00%7Ctr=sa%7Chk=5f9b6e365cc6f9355f45b8ab8370afab4c2d19d1%7Cnacn=MNWfDoBirxxCA" TargetMode="External"/><Relationship Id="rId300" Type="http://schemas.openxmlformats.org/officeDocument/2006/relationships/hyperlink" Target="http://newstart-law.com/?inType=nim003&amp;NaPm=ci=6tMV0OAuMWRNaa_ZFSt7yWYw%7Ctr=gfa%7Cct=mqyjfzy8%7Chk=2d5c1890f6e732c57a4cb1c31e75cbfe475c8047%7Cnacn=66tSBEhp9CtU" TargetMode="External"/><Relationship Id="rId60" Type="http://schemas.openxmlformats.org/officeDocument/2006/relationships/hyperlink" Target="http://newstart-law.com/?inType=nim_sq02&amp;NaPm=ci=68JTd77SgjQaSclobrrl3C1w%7Ctr=gfa%7Cct=mq4iq78d%7Chk=85b555b559d0211315cc12253269cd235599f20e%7Cnacn=j8f4CoBRw9C0A" TargetMode="External"/><Relationship Id="rId81" Type="http://schemas.openxmlformats.org/officeDocument/2006/relationships/hyperlink" Target="https://newstart-law.com/" TargetMode="External"/><Relationship Id="rId135" Type="http://schemas.openxmlformats.org/officeDocument/2006/relationships/hyperlink" Target="http://newstart-law.com/?inType=NIM001&amp;NaPm=ci=6cgXmUUKA2QC-on-I8cqxNlA%7Ctr=gfa%7Cct=mqappf4q%7Chk=71b5debd510ff9d4c752bca4797007d72e494241%7Cnacn=mvZzBcQIyedxA" TargetMode="External"/><Relationship Id="rId156" Type="http://schemas.openxmlformats.org/officeDocument/2006/relationships/hyperlink" Target="http://newstart-law.com/?inType=nim_sq02&amp;NaPm=ci=6gFzyjke1xRFahcH5tS6v5BA%7Ctr=gfa%7Cct=mqgfjw8v%7Chk=91003262fafd8c3c172e7698a14ab17d9c0ff9a5%7Cnacn=yRXZB0wnZ7Bj" TargetMode="External"/><Relationship Id="rId177" Type="http://schemas.openxmlformats.org/officeDocument/2006/relationships/hyperlink" Target="https://newstart-law.com/" TargetMode="External"/><Relationship Id="rId198" Type="http://schemas.openxmlformats.org/officeDocument/2006/relationships/hyperlink" Target="https://newstart-law.com/?inType=nim_sq02&amp;NaPm=ci=6jVPO2EaP6QQCziQMHFrA-DQ%7Ctr=gfa%7Cct=mqkoalo3%7Chk=a6f80e9ee6049ef3236417037a00562b5a234a44%7Cnacn=fMPACAhd46hOB" TargetMode="External"/><Relationship Id="rId202" Type="http://schemas.openxmlformats.org/officeDocument/2006/relationships/hyperlink" Target="https://www.newstart-law.com/" TargetMode="External"/><Relationship Id="rId223" Type="http://schemas.openxmlformats.org/officeDocument/2006/relationships/hyperlink" Target="https://www.newstart-law.com/?inType=NK&amp;n_media=8753&amp;n_query=%EA%B0%9C%EC%9D%B8%ED%8C%8C%EC%82%B0&amp;n_rank=3&amp;n_ad_group=grp-a001-01-000000063065512&amp;n_ad=nad-a001-01-000000495460286&amp;n_keyword_id=nkw-a001-01-000007934684740&amp;n_keyword=%EA%B0%9C%EC%9D%B8%ED%8C%8C%EC%82%B0&amp;n_campaign_type=1&amp;n_ad_group_type=1&amp;n_match=1&amp;NaPm=ct=mqp930sv%7Cci=ER25e50638-6e3e-11f1-85dc-12882e70cd6b%7Ctr=sa%7Chk=bb64d72d1f3576f77c0a6b8aa7b7f9a673c21d9e%7Cnacn=eLnqCICqLOg8B" TargetMode="External"/><Relationship Id="rId244" Type="http://schemas.openxmlformats.org/officeDocument/2006/relationships/hyperlink" Target="http://newstart-law.com/?inType=nim003&amp;NaPm=ci=6oFrN7CAdnR76j0-dl9md55w%7Ctr=gfa%7Cct=mqrmp9q4%7Chk=54ab109d3fc60f2b73fe9dad67ba8738a2002524%7Cnacn=KCDdBswfdVOyA" TargetMode="External"/><Relationship Id="rId18" Type="http://schemas.openxmlformats.org/officeDocument/2006/relationships/hyperlink" Target="https://www.newstart-law.com/?inType=NK&amp;n_media=8753&amp;n_query=%EA%B0%9C%EC%9D%B8%ED%9A%8C%EC%83%9D%EC%83%81%EB%8B%B4&amp;n_rank=4&amp;n_ad_group=grp-a001-01-000000063065632&amp;n_ad=nad-a001-01-000000485213835&amp;n_keyword_id=nkw-a001-01-000007951806239&amp;n_keyword=%EA%B0%9C%EC%9D%B8%ED%9A%8C%EC%83%9D%EC%83%81%EB%8B%B4&amp;n_campaign_type=1&amp;n_ad_group_type=1&amp;n_match=1&amp;NaPm=ct=mpwjswnf%7Cci=ER562f21bf-5e75-11f1-8ec2-3a1d4f158d1b%7Ctr=sa%7Chk=6ec69752968c24c26bd59c9bbea4ae01aa8b5084%7Cnacn=KccYBABGDw9" TargetMode="External"/><Relationship Id="rId39" Type="http://schemas.openxmlformats.org/officeDocument/2006/relationships/hyperlink" Target="http://newstart-law.com/?inType=nim_sq02&amp;NaPm=ci=63lRGDIr8sTz6a8TmiE1SQ7A%7Ctr=gfa%7Cct=mpxv5vgg%7Chk=ce486290c767b06bf3b1a75f6d33e37e5f83a3fb%7Cnacn=bMvTBAhmZSTz" TargetMode="External"/><Relationship Id="rId265" Type="http://schemas.openxmlformats.org/officeDocument/2006/relationships/hyperlink" Target="https://newstart-law.com/?inType=NIP002&amp;NaPm=ci=6qTtCOSTB6RaWllj1F82cYsg%7Ctr=gfa%7Cct=mqu42462%7Chk=f7cffb880858e5393db79b1040282046be34174e%7Cnacn=XCnOB0Qp0M86" TargetMode="External"/><Relationship Id="rId286" Type="http://schemas.openxmlformats.org/officeDocument/2006/relationships/hyperlink" Target="https://newstart-law.com/?inType=NIP002&amp;NaPm=ci=6qUDH-LxUqQfO5FQiD7yUrUA%7Ctr=gfa%7Cct=mqulmypf%7Chk=791615a29f0b35286c92dfa1fa964d9ca2f7301a%7Cnacn=XThgB4w4jQLN" TargetMode="External"/><Relationship Id="rId50" Type="http://schemas.openxmlformats.org/officeDocument/2006/relationships/hyperlink" Target="https://www.newstart-law.com/?inType=NK&amp;n_media=8753&amp;n_query=%ED%8C%8C%EC%82%B0%EC%8B%A0%EC%B2%AD&amp;n_rank=2&amp;n_ad_group=grp-a001-01-000000063065674&amp;n_ad=nad-a001-01-000000495460351&amp;n_keyword_id=nkw-a001-01-000007951811266&amp;n_keyword=%ED%8C%8C%EC%82%B0%EC%8B%A0%EC%B2%AD&amp;n_campaign_type=1&amp;n_ad_group_type=1&amp;n_match=1&amp;NaPm=ct=mpzgrn1z%7Cci=ERd185f90a-600f-11f1-a8fa-4adacfef5931%7Ctr=sa%7Chk=bf2d5df2e3e3509d65fac3eb4418a8c218e24411%7Cnacn=d4JGB0gdrlflA" TargetMode="External"/><Relationship Id="rId104" Type="http://schemas.openxmlformats.org/officeDocument/2006/relationships/hyperlink" Target="http://newstart-law.com/" TargetMode="External"/><Relationship Id="rId125" Type="http://schemas.openxmlformats.org/officeDocument/2006/relationships/hyperlink" Target="http://newstart-law.com/?inType=nim003&amp;NaPm=ci=6bQX5438-jSLOpm6-g5Gz8vg%7Ctr=gfa%7Cct=mq9big0y%7Chk=580838f28e11f15c83f9ed91c250ca5a86d37587%7Cnacn=z7upBwgV2EXE" TargetMode="External"/><Relationship Id="rId146" Type="http://schemas.openxmlformats.org/officeDocument/2006/relationships/hyperlink" Target="http://newstart-law.com/?inType=nim003&amp;NaPm=ci=6fZRNK9Zq8QVePnUzKUxuIIA%7Ctr=gfa%7Cct=mqeywxzr%7Chk=70662b7b21af31fd061d0ad4a4c6ec89e70d966c%7Cnacn=i48gB0AFUwsfB" TargetMode="External"/><Relationship Id="rId167" Type="http://schemas.openxmlformats.org/officeDocument/2006/relationships/hyperlink" Target="http://newstart-law.com/?inType=nim003&amp;NaPm=ci=6hc3014V9TR3ecYNp3LWNTOA%7Ctr=gfa%7Cct=mqhfzesk%7Chk=4ceb80fb55fe80ef39f62bfc4b881f84ab69f463%7Cnacn=WvaTBgg51fzuB" TargetMode="External"/><Relationship Id="rId188" Type="http://schemas.openxmlformats.org/officeDocument/2006/relationships/hyperlink" Target="https://newstart-law.com/?inType=NIP002&amp;NaPm=ci=6iqhVXSRKPTeCkvbMBLkE3NQ%7Ctr=gfa%7Cct=mqj5w54f%7Chk=3f36d27e73c31392af75c73f69e97e2ffdd8cc90%7Cnacn=A3Y4BIxFfJSIA" TargetMode="External"/><Relationship Id="rId311" Type="http://schemas.openxmlformats.org/officeDocument/2006/relationships/hyperlink" Target="https://www.newstart-law.com/?inType=NK&amp;n_media=8753&amp;n_query=%ED%8C%8C%EC%82%B0%EC%8B%A0%EC%B2%AD&amp;n_rank=2&amp;n_ad_group=grp-a001-01-000000063065674&amp;n_ad=nad-a001-01-000000495460351&amp;n_keyword_id=nkw-a001-01-000007951811266&amp;n_keyword=%ED%8C%8C%EC%82%B0%EC%8B%A0%EC%B2%AD&amp;n_campaign_type=1&amp;n_ad_group_type=1&amp;n_match=1&amp;NaPm=ct=mqz2sw46%7Cci=ER6be7143c-73a5-11f1-9df4-bea0638631d0%7Ctr=sa%7Chk=a32cf167942ea0a9f3f9ee68ef23345b4e7dd9bd%7Cnacn=sAgUBgQE2bxm" TargetMode="External"/><Relationship Id="rId71" Type="http://schemas.openxmlformats.org/officeDocument/2006/relationships/hyperlink" Target="https://newstart-law.com/" TargetMode="External"/><Relationship Id="rId92" Type="http://schemas.openxmlformats.org/officeDocument/2006/relationships/hyperlink" Target="http://newstart-law.com/?inType=nim_sq02&amp;NaPm=ci=69GWefEvKGQ8OGgzG88Nvxuw%7Ctr=gfa%7Cct=mq61lqfi%7Chk=4206e7ddc2dc28a110d9385837cbd36a078c0367%7Cnacn=eQfpFwB5PikrC" TargetMode="External"/><Relationship Id="rId213" Type="http://schemas.openxmlformats.org/officeDocument/2006/relationships/hyperlink" Target="http://newstart-law.com/?inType=nim003&amp;NaPm=ci=6m1pvY6hnBRi2ZMSq1C6C7Xg%7Ctr=gfa%7Cct=mqoxo9dj%7Chk=b954d31a8020574abfc1a7a70fe20621febb69a3%7Cnacn=JekpDggAfd4fA" TargetMode="External"/><Relationship Id="rId234" Type="http://schemas.openxmlformats.org/officeDocument/2006/relationships/hyperlink" Target="http://newstart-law.com/?inType=nim003&amp;NaPm=ci=6nU_RCmccrRkaI79DcO28a9Q%7Ctr=gfa%7Cct=mqqex5wt%7Chk=7e9d4fe532aeabe2e0819aa9e6745e247e0dea10%7Cnacn=YcmqBswpfUQnB" TargetMode="External"/><Relationship Id="rId2" Type="http://schemas.openxmlformats.org/officeDocument/2006/relationships/hyperlink" Target="http://newstart-law.com/?inType=nim003&amp;NaPm=ci=61BhQFH_6rS22WViWLT7N2cg%7Ctr=gfa%7Cct=mpukkf83%7Chk=f905a13446ce27fece0b0618b27be4bd03b82568%7Cnacn=rVz5BkgLBscx" TargetMode="External"/><Relationship Id="rId29" Type="http://schemas.openxmlformats.org/officeDocument/2006/relationships/hyperlink" Target="http://newstart-law.com/?inType=nim003&amp;NaPm=ci=63s88vjy5bR-u9hQG9yzBe8A%7Ctr=gfa%7Cct=mpxoxqof%7Chk=8afb354ada03e53524634fb58c6f05dbca6b1636%7Cnacn=atEyBgAixbyn" TargetMode="External"/><Relationship Id="rId255" Type="http://schemas.openxmlformats.org/officeDocument/2006/relationships/hyperlink" Target="https://www.newstart-law.com/?inType=NK&amp;n_media=27758&amp;n_query=%EA%B0%9C%EC%9D%B8%ED%9A%8C%EC%83%9D&amp;n_rank=4&amp;n_ad_group=grp-a001-01-000000063063607&amp;n_ad=nad-a001-01-000000495459275&amp;n_keyword_id=nkw-a001-01-000007934681996&amp;n_keyword=%EA%B0%9C%EC%9D%B8%ED%9A%8C%EC%83%9D&amp;n_campaign_type=1&amp;n_ad_group_type=1&amp;n_match=1&amp;NaPm=ct=mqs27g08%7Cci=ER9aeba4e7-6fc9-11f1-bff5-c2fa024ff2a0%7Ctr=sa%7Chk=d45f46af84368a8d020ebf7c43e9f9f4793a5d4c%7Cnacn=dBiRBExqeV25A" TargetMode="External"/><Relationship Id="rId276" Type="http://schemas.openxmlformats.org/officeDocument/2006/relationships/hyperlink" Target="http://newstart-law.com/?inType=nim003&amp;NaPm=ci=6qCA87ZvFCTmCkK-UomOzeEQ%7Ctr=gfa%7Cct=mquek9m4%7Chk=44b0f7445a0c8beb746085ea0d70a21db12ecaeb%7Cnacn=tm3qBABAe7ALA" TargetMode="External"/><Relationship Id="rId297" Type="http://schemas.openxmlformats.org/officeDocument/2006/relationships/hyperlink" Target="https://www.newstart-law.com/?inType=NK&amp;n_media=8753&amp;n_query=%EA%B0%9C%EC%9D%B8%ED%9A%8C%EC%83%9D&amp;n_rank=5&amp;n_ad_group=grp-a001-01-000000063063767&amp;n_ad=nad-a001-01-000000495340403&amp;n_keyword_id=nkw-a001-01-000007934680459&amp;n_keyword=%EA%B0%9C%EC%9D%B8%ED%9A%8C%EC%83%9D&amp;n_campaign_type=1&amp;n_ad_group_type=1&amp;n_match=1&amp;NaPm=ct=mquu2bqs%7Cci=ER1d7f4ba2-7150-11f1-b44e-96706a7dac00%7Ctr=sa%7Chk=5f9b6e365cc6f9355f45b8ab8370afab4c2d19d1%7Cnacn=MNWfDoBirxxCA" TargetMode="External"/><Relationship Id="rId40" Type="http://schemas.openxmlformats.org/officeDocument/2006/relationships/hyperlink" Target="http://newstart-law.com/?inType=nim_sq02&amp;NaPm=ci=63lRGDIr8sTz6a8TmiE1SQ7A%7Ctr=gfa%7Cct=mpxv5vgg%7Chk=ce486290c767b06bf3b1a75f6d33e37e5f83a3fb%7Cnacn=bMvTBAhmZSTz" TargetMode="External"/><Relationship Id="rId115" Type="http://schemas.openxmlformats.org/officeDocument/2006/relationships/hyperlink" Target="http://newstart-law.com/?inType=nim_sq02&amp;NaPm=ci=6bQSUAwFBuRdCokgXa3L55gg%7Ctr=gfa%7Cct=mq8omnhb%7Chk=42fa8797257050ab36b51bcfbb09017aff8aa2bf%7Cnacn=FrB4B0QzRIhD" TargetMode="External"/><Relationship Id="rId136" Type="http://schemas.openxmlformats.org/officeDocument/2006/relationships/hyperlink" Target="http://newstart-law.com/?inType=NIM001&amp;NaPm=ci=6cEypGijkXRk2mghNIqtadvg%7Ctr=gfa%7Cct=mqaq95jy%7Chk=646dcf101dc2581e329f46cb0daff1c6fcf5003d%7Cnacn=gu6QBowLfe4zC" TargetMode="External"/><Relationship Id="rId157" Type="http://schemas.openxmlformats.org/officeDocument/2006/relationships/hyperlink" Target="http://newstart-law.com/?inType=nim003&amp;NaPm=ci=6ghvICwp2vRouU7ULxaUUpYg%7Ctr=gfa%7Cct=mqgfmczv%7Chk=4db3bdc48a17e1f15245a846ea93258b57d52c3d%7Cnacn=GxLUBUAYaImH" TargetMode="External"/><Relationship Id="rId178" Type="http://schemas.openxmlformats.org/officeDocument/2006/relationships/hyperlink" Target="https://www.newstart-law.com/?inType=NK&amp;n_media=27758&amp;n_query=%EA%B0%9C%EC%9D%B8%ED%9A%8C%EC%83%9D%EC%8B%A0%EC%B2%AD&amp;n_rank=7&amp;n_ad_group=grp-a001-01-000000063065651&amp;n_ad=nad-a001-01-000000485213838&amp;n_keyword_id=nkw-a001-01-000007951807444&amp;n_keyword=%EA%B0%9C%EC%9D%B8%ED%9A%8C%EC%83%9D%EC%8B%A0%EC%B2%AD&amp;n_campaign_type=1&amp;n_ad_group_type=1&amp;n_match=1&amp;NaPm=ct=mqiv5k7c%7Cci=ERf8cbc0fe-6aba-11f1-a9b8-6e3ae24fc82e%7Ctr=sa%7Chk=de6c6e0a86190ca5d9b92025631eb6ece7f9c6eb%7Cnacn=MdAWB8gNhv" TargetMode="External"/><Relationship Id="rId301" Type="http://schemas.openxmlformats.org/officeDocument/2006/relationships/hyperlink" Target="http://newstart-law.com/?inType=nim003&amp;NaPm=ci=6tQeD7sTS2R0GEzoPQaDK_xA%7Ctr=gfa%7Cct=mqykma1u%7Chk=3f6138804dcee20262ad0a48931c61429bf48279%7Cnacn=jeHFCgBRSMpeA" TargetMode="External"/><Relationship Id="rId61" Type="http://schemas.openxmlformats.org/officeDocument/2006/relationships/hyperlink" Target="https://www.newstart-law.com/?inType=NK&amp;n_media=8753&amp;n_query=%EA%B0%9C%EC%9D%B8%ED%8C%8C%EC%82%B0%EB%B3%80%ED%98%B8%EC%82%AC&amp;n_rank=10&amp;n_ad_group=grp-a001-01-000000063065674&amp;n_ad=nad-a001-01-000000495460351&amp;n_keyword_id=nkw-a001-01-000007951811273&amp;n_keyword=%EA%B0%9C%EC%9D%B8%ED%8C%8C%EC%82%B0%EB%B3%80%ED%98%B8%EC%82%AC&amp;n_campaign_type=1&amp;n_ad_group_type=1&amp;n_match=1&amp;NaPm=ct%3Dmq4knm49%7Cci%3DERf153aab4%2D62de%2D11f1%2Db7d7%2De6ec96a37452%7Ctr%3Dsa%7Chk%3D3e4a2c3be9ef6b8063336f6bd8bdda9c576f0e01%257" TargetMode="External"/><Relationship Id="rId82" Type="http://schemas.openxmlformats.org/officeDocument/2006/relationships/hyperlink" Target="https://newstart-law.com/" TargetMode="External"/><Relationship Id="rId199" Type="http://schemas.openxmlformats.org/officeDocument/2006/relationships/hyperlink" Target="https://newstart-law.com/?inType=NIM001&amp;NaPm=ci=6jVioOwy87TqCtDESczCTbEA%7Ctr=gfa%7Cct=mqkokwlm%7Chk=f332b6e19ef6b2bf08741069d144809d31cfc597%7Cnacn=tYRPBoAZnLBs" TargetMode="External"/><Relationship Id="rId203" Type="http://schemas.openxmlformats.org/officeDocument/2006/relationships/hyperlink" Target="https://newstart-law.com/?inType=NIM001&amp;NaPm=ci=6m8XjJUOz0Q6e6v_96gxLVlQ%7Ctr=gfa%7Cct=mqohp9xq%7Chk=e35c13fcf8d9171edd8fe152a9f278ee7d6537cc%7Cnacn=IfdMCQCVozM0B" TargetMode="External"/><Relationship Id="rId19" Type="http://schemas.openxmlformats.org/officeDocument/2006/relationships/hyperlink" Target="https://www.newstart-law.com/?inType=NK&amp;n_media=8753&amp;n_query=%EA%B0%9C%EC%9D%B8%ED%9A%8C%EC%83%9D&amp;n_rank=4&amp;n_ad_group=grp-a001-01-000000063063767&amp;n_ad=nad-a001-01-000000485213831&amp;n_keyword_id=nkw-a001-01-000007934680459&amp;n_keyword=%EA%B0%9C%EC%9D%B8%ED%9A%8C%EC%83%9D&amp;n_campaign_type=1&amp;n_ad_group_type=1&amp;n_match=1&amp;NaPm=ct=mpwlnjol%7Cci=ER936129bf-5e7c-11f1-b475-8a2e93251834%7Ctr=sa%7Chk=78904536ca51953511c04f3c2e02b034c77fd312%7Cnacn=yZsVBExbE0mH" TargetMode="External"/><Relationship Id="rId224" Type="http://schemas.openxmlformats.org/officeDocument/2006/relationships/hyperlink" Target="https://www.newstart-law.com/?inType=NK&amp;n_media=8753&amp;n_query=%EA%B0%9C%EC%9D%B8%ED%8C%8C%EC%82%B0&amp;n_rank=3&amp;n_ad_group=grp-a001-01-000000063065512&amp;n_ad=nad-a001-01-000000495460286&amp;n_keyword_id=nkw-a001-01-000007934684740&amp;n_keyword=%EA%B0%9C%EC%9D%B8%ED%8C%8C%EC%82%B0&amp;n_campaign_type=1&amp;n_ad_group_type=1&amp;n_match=1&amp;NaPm=ct=mqp930sv%7Cci=ER25e50638-6e3e-11f1-85dc-12882e70cd6b%7Ctr=sa%7Chk=bb64d72d1f3576f77c0a6b8aa7b7f9a673c21d9e%7Cnacn=eLnqCICqLOg8B" TargetMode="External"/><Relationship Id="rId245" Type="http://schemas.openxmlformats.org/officeDocument/2006/relationships/hyperlink" Target="http://newstart-law.com/?inType=nim003&amp;NaPm=ci=6oLRaIuHA0QACY5gjpQWzDfQ%7Ctr=gfa%7Cct=mqrmpng8%7Chk=3245fcc83f190526f6209c44aaa7c39858687f87%7Cnacn=A6cXBMwLTzAn" TargetMode="External"/><Relationship Id="rId266" Type="http://schemas.openxmlformats.org/officeDocument/2006/relationships/hyperlink" Target="http://newstart-law.com/?inType=NIM001&amp;NaPm=ci=6qGTHTsm0hRlSjiEh6zedVAw%7Ctr=gfa%7Cct=mqu7thkk%7Chk=4d1024aabe9ff11fdeae645038f5d465598088bd%7Cnacn=xJUQB4Qe1ye9B" TargetMode="External"/><Relationship Id="rId287" Type="http://schemas.openxmlformats.org/officeDocument/2006/relationships/hyperlink" Target="https://newstart-law.com/?inType=NIM001&amp;NaPm=ci=6qqnnhbbn_S1GUWdm-RJ9ogA%7Ctr=gfa%7Cct=mquly1eg%7Chk=4d831fac9f8c5052337f425c63d5e390be7ebb36%7Cnacn=A5p9B0QzHq56" TargetMode="External"/><Relationship Id="rId30" Type="http://schemas.openxmlformats.org/officeDocument/2006/relationships/hyperlink" Target="http://newstart-law.com/?inType=nim003&amp;NaPm=ci=63c9-WfJvZRau24co4bvWvjQ%7Ctr=gfa%7Cct=mpxp7a38%7Chk=caea4225066bcae45ac2071b4a46c3b5737e2f40%7Cnacn=3wDeDABPmABVB" TargetMode="External"/><Relationship Id="rId105" Type="http://schemas.openxmlformats.org/officeDocument/2006/relationships/hyperlink" Target="http://newstart-law.com/?inType=nim003&amp;NaPm=ci=6a7ELDDOZvQM2xlZtCDHEJIw%7Ctr=gfa%7Cct=mq7ouovw%7Chk=46dac49725f17058c8f90fa19e29e3cd65afdc15%7Cnacn=IWr0B4Qf6jJFB" TargetMode="External"/><Relationship Id="rId126" Type="http://schemas.openxmlformats.org/officeDocument/2006/relationships/hyperlink" Target="https://www.newstart-law.com/?inType=NK&amp;n_media=8753&amp;n_query=%EA%B0%9C%EC%9D%B8%ED%8C%8C%EC%82%B0%EC%8B%A0%EC%B2%AD&amp;n_rank=1&amp;n_ad_group=grp-a001-01-000000063065674&amp;n_ad=nad-a001-01-000000485213839&amp;n_keyword_id=nkw-a001-01-000007951811270&amp;n_keyword=%EA%B0%9C%EC%9D%B8%ED%8C%8C%EC%82%B0%EC%8B%A0%EC%B2%AD&amp;n_campaign_type=1&amp;n_ad_group_type=1&amp;n_match=1&amp;NaPm=ct=mq9nnunt%7Cci=ER9e8f8f3a-65aa-11f1-ab03-66394830e525%7Ctr=sa%7Chk=f49d9644ef355ae17c003db0a7a741f0295f4c75%7Cnacn=B3rTBggEzYL" TargetMode="External"/><Relationship Id="rId147" Type="http://schemas.openxmlformats.org/officeDocument/2006/relationships/hyperlink" Target="https://www.newstart-law.com/?inType=NK&amp;n_media=27758&amp;n_query=%EA%B0%9C%EC%9D%B8%ED%8C%8C%EC%82%B0&amp;n_rank=3&amp;n_ad_group=grp-a001-01-000000063065534&amp;n_ad=nad-a001-01-000000495460313&amp;n_keyword_id=nkw-a001-01-000007934685920&amp;n_keyword=%EA%B0%9C%EC%9D%B8%ED%8C%8C%EC%82%B0&amp;n_campaign_type=1&amp;n_ad_group_type=1&amp;n_match=1&amp;NaPm=ct=mqf7tvjd%7Cci=ER67ec3e1c-68b9-11f1-8417-ee7071f53ab0%7Ctr=sa%7Chk=0781687e65f92619f46ec02291d08e69cd0da070%7Cnacn=EioeDoBdBvQIA" TargetMode="External"/><Relationship Id="rId168" Type="http://schemas.openxmlformats.org/officeDocument/2006/relationships/hyperlink" Target="http://newstart-law.com/?inType=nim003&amp;NaPm=ci=6hmqHWYGOCRa2fLhyuiXgeGw%7Ctr=gfa%7Cct=mqhgg3gr%7Chk=98bbfee855a5c95c9ea7c1094ee186c57e29da50%7Cnacn=fWXiDgh61pvDB" TargetMode="External"/><Relationship Id="rId312" Type="http://schemas.openxmlformats.org/officeDocument/2006/relationships/hyperlink" Target="https://www.newstart-law.com/?inType=NK&amp;n_media=8753&amp;n_query=%ED%8C%8C%EC%82%B0%EC%8B%A0%EC%B2%AD%EC%9E%90%EA%B2%A9&amp;n_rank=1&amp;n_ad_group=grp-a001-01-000000063065674&amp;n_ad=nad-a001-01-000000495460351&amp;n_keyword_id=nkw-a001-01-000007951811269&amp;n_keyword=%ED%8C%8C%EC%82%B0%EC%8B%A0%EC%B2%AD%EC%9E%90%EA%B2%A9&amp;n_campaign_type=1&amp;n_ad_group_type=1&amp;n_match=1&amp;NaPm=ct=mqz7llj4%7Cci=ER2eb53426-73b8-11f1-b668-3eb4e95f5b38%7Ctr=sa%7Chk=d3a0a3ffc9fa53f7477c684be146fde130f31771%7Cnacn=lfi8DQiooIp" TargetMode="External"/><Relationship Id="rId51" Type="http://schemas.openxmlformats.org/officeDocument/2006/relationships/hyperlink" Target="https://www.newstart-law.com/?inType=NK&amp;n_media=8753&amp;n_query=%ED%8C%8C%EC%82%B0%EC%8B%A0%EC%B2%AD&amp;n_rank=2&amp;n_ad_group=grp-a001-01-000000063065674&amp;n_ad=nad-a001-01-000000495460351&amp;n_keyword_id=nkw-a001-01-000007951811266&amp;n_keyword=%ED%8C%8C%EC%82%B0%EC%8B%A0%EC%B2%AD&amp;n_campaign_type=1&amp;n_ad_group_type=1&amp;n_match=1&amp;NaPm=ct=mpzgrn1z%7Cci=ERd185f90a-600f-11f1-a8fa-4adacfef5931%7Ctr=sa%7Chk=bf2d5df2e3e3509d65fac3eb4418a8c218e24411%7Cnacn=d4JGB0gdrlflA" TargetMode="External"/><Relationship Id="rId72" Type="http://schemas.openxmlformats.org/officeDocument/2006/relationships/hyperlink" Target="https://newstart-law.com/" TargetMode="External"/><Relationship Id="rId93" Type="http://schemas.openxmlformats.org/officeDocument/2006/relationships/hyperlink" Target="https://newstart-law.com/" TargetMode="External"/><Relationship Id="rId189" Type="http://schemas.openxmlformats.org/officeDocument/2006/relationships/hyperlink" Target="https://newstart-law.com/?inType=NIP002&amp;NaPm=ci=6iqhVXSRKPTeCkvbMBLkE3NQ%7Ctr=gfa%7Cct=mqj5w54f%7Chk=3f36d27e73c31392af75c73f69e97e2ffdd8cc90%7Cnacn=A3Y4BIxFfJSIA" TargetMode="External"/><Relationship Id="rId3" Type="http://schemas.openxmlformats.org/officeDocument/2006/relationships/hyperlink" Target="https://newstart-law.com/?inType=NIP002&amp;NaPm=ci=61VeGKQqDvSByCmCUW-B-CuQ%7Ctr=gfa%7Cct=mpumc6ib%7Chk=0d591e6920bf4307ea7a7d5a4ac539e14794c996%7Cnacn=b8eGDACcBQx7B" TargetMode="External"/><Relationship Id="rId214" Type="http://schemas.openxmlformats.org/officeDocument/2006/relationships/hyperlink" Target="http://newstart-law.com/" TargetMode="External"/><Relationship Id="rId235" Type="http://schemas.openxmlformats.org/officeDocument/2006/relationships/hyperlink" Target="http://newstart-law.com/?inType=nim003&amp;NaPm=ci=6n3Q1yoJyDSsqhV_8zeb51nA%7Ctr=gfa%7Cct=mqqfufh9%7Chk=d6db716c9a0c514fc023591f5d9f784e77b1a9d3%7Cnacn=yDjgBgwOPjgm" TargetMode="External"/><Relationship Id="rId256" Type="http://schemas.openxmlformats.org/officeDocument/2006/relationships/hyperlink" Target="https://www.newstart-law.com/?inType=NK&amp;n_media=8753&amp;n_query=%ED%8C%8C%EC%82%B0%EC%8B%A0%EC%B2%AD&amp;n_rank=1&amp;n_ad_group=grp-a001-01-000000063065674&amp;n_ad=nad-a001-01-000000495460351&amp;n_keyword_id=nkw-a001-01-000007951811266&amp;n_keyword=%ED%8C%8C%EC%82%B0%EC%8B%A0%EC%B2%AD&amp;n_campaign_type=1&amp;n_ad_group_type=1&amp;n_match=1&amp;NaPm=ct=mqs2bbub%7Cci=ER06f0b0f5-6fca-11f1-9df4-bea0638631d0%7Ctr=sa%7Chk=06d247218e44deb4c9130431ab39c4ecffc5417b%7Cnacn=9OpGBkwD1Vus" TargetMode="External"/><Relationship Id="rId277" Type="http://schemas.openxmlformats.org/officeDocument/2006/relationships/hyperlink" Target="http://newstart-law.com/?inType=NIM001&amp;NaPm=ci=6q7TRZOICRT5aISIVkkQPycg%7Ctr=gfa%7Cct=mquf2lxm%7Chk=1280dc7737e660db144535d11c4b0e042b7770c7%7Cnacn=1BMHBwAkMKqV" TargetMode="External"/><Relationship Id="rId298" Type="http://schemas.openxmlformats.org/officeDocument/2006/relationships/hyperlink" Target="https://newstart-law.com/?n_media=27758&amp;n_query=%EA%B0%9C%EC%9D%B8%ED%9A%8C%EC%83%9D%EC%8B%A0%EC%B2%AD%EC%9E%90%EA%B2%A9&amp;n_rank=1&amp;n_ad_group=grp-a001-01-000000063065651&amp;n_ad=nad-a001-01-000000485213838&amp;n_keyword_id=nkw-a001-01-000007951807343&amp;n_keyword=%EA%B0%9C%EC%9D%B8%ED%9A%8C%EC%83%9D%EC%8B%A0%EC%B2%AD%EC%9E%90%EA%B2%A9&amp;n_campaign_type=1&amp;n_ad_group_type=1&amp;n_match=1&amp;NaPm=ct=mquxrn3o%7Cci=ER98e3179f-715e-11f1-9df4-bea0638631d0%7Ctr=sa%7Chk=70cac957e2db5fffe45376b98616e7dd04de03" TargetMode="External"/><Relationship Id="rId116" Type="http://schemas.openxmlformats.org/officeDocument/2006/relationships/hyperlink" Target="https://newstart-law.com/?inType=NIM001&amp;NaPm=ci=6bh7iIM4glSuy2gdqSkiCkOg%7Ctr=gfa%7Cct=mq8x76vc%7Chk=c44f8c95ff1b67b938b878701b27a3fbfaa2a9bb%7Cnacn=B8WjBEBWHKrK" TargetMode="External"/><Relationship Id="rId137" Type="http://schemas.openxmlformats.org/officeDocument/2006/relationships/hyperlink" Target="https://www.newstart-law.com/?inType=NK&amp;n_media=8753&amp;n_query=%EA%B0%9C%EC%9D%B8%ED%9A%8C%EC%83%9D%EC%83%81%EB%8B%B4&amp;n_rank=6&amp;n_ad_group=grp-a001-01-000000063065632&amp;n_ad=nad-a001-01-000000495459382&amp;n_keyword_id=nkw-a001-01-000007951806239&amp;n_keyword=%EA%B0%9C%EC%9D%B8%ED%9A%8C%EC%83%9D%EC%83%81%EB%8B%B4&amp;n_campaign_type=1&amp;n_ad_group_type=1&amp;n_match=1&amp;NaPm=ct=mqav3umx%7Cci=ER840a9cfe-6654-11f1-ab06-1ea546b79348%7Ctr=sa%7Chk=53edcf8a6dc1a0594d34c40f64546f1f9cf2c14d%7Cnacn=mu1WB0ARIEf" TargetMode="External"/><Relationship Id="rId158" Type="http://schemas.openxmlformats.org/officeDocument/2006/relationships/hyperlink" Target="http://newstart-law.com/?inType=nim003&amp;NaPm=ci=6gFQo_DVCuQaCI8SUiivL0qQ%7Ctr=gfa%7Cct=mqgg0q7z%7Chk=ad22e562d54a36425b7946aaab3507dbb3e2faf7%7Cnacn=jkTNBEBI7zIc" TargetMode="External"/><Relationship Id="rId302" Type="http://schemas.openxmlformats.org/officeDocument/2006/relationships/hyperlink" Target="http://newstart-law.com/?inType=nim_sq02&amp;NaPm=ci=6tI2k3uRMfSh6OHUhFGnHL_A%7Ctr=gfa%7Cct=mqylhbos%7Chk=ded5dfbdc2a0dabd94a3fa7b8c0d7a68126283d9%7Cnacn=0qmzB0QcuufnB" TargetMode="External"/><Relationship Id="rId20" Type="http://schemas.openxmlformats.org/officeDocument/2006/relationships/hyperlink" Target="https://www.newstart-law.com/?inType=NK&amp;n_media=27758&amp;n_query=%ED%8C%8C%EC%82%B0%EC%8B%A0%EC%B2%AD&amp;n_rank=3&amp;n_ad_group=grp-a001-01-000000063065694&amp;n_ad=nad-a001-01-000000495460390&amp;n_keyword_id=nkw-a001-01-000007951818589&amp;n_keyword=%ED%8C%8C%EC%82%B0%EC%8B%A0%EC%B2%AD&amp;n_campaign_type=1&amp;n_ad_group_type=1&amp;n_match=1&amp;NaPm=ct=mpxbqrmi%7Cci=ER9a4ccc7a-5ee2-11f1-b0bf-0eb0cfea6841%7Ctr=sa%7Chk=6740c092fb5c08ac5f66ed3179c869e572b34064%7Cnacn=qr1EBwAhUYmM" TargetMode="External"/><Relationship Id="rId41" Type="http://schemas.openxmlformats.org/officeDocument/2006/relationships/hyperlink" Target="https://www.newstart-law.com/?inType=NK&amp;n_media=8753&amp;n_query=%EA%B0%9C%EC%9D%B8%ED%9A%8C%EC%83%9D%EC%8B%A0%EC%B2%AD%EC%9E%90%EA%B2%A9&amp;n_rank=4&amp;n_ad_group=grp-a001-01-000000063065632&amp;n_ad=nad-a001-01-000000485213835&amp;n_keyword_id=nkw-a001-01-000007951806209&amp;n_keyword=%EA%B0%9C%EC%9D%B8%ED%9A%8C%EC%83%9D%EC%8B%A0%EC%B2%AD%EC%9E%90%EA%B2%A9&amp;n_campaign_type=1&amp;n_ad_group_type=1&amp;n_match=1&amp;NaPm=ct=mpxxs0bg%7Cci=ERc5aa5ea9-5f38-11f1-a285-5e52d0db692c%7Ctr=sa%7Chk=cc8bd70a4f8a756a5368f9730" TargetMode="External"/><Relationship Id="rId62" Type="http://schemas.openxmlformats.org/officeDocument/2006/relationships/hyperlink" Target="http://newstart-law.com/?inType=nim003&amp;NaPm=ci=681-7nIUDJRnWsXpQs2bgLWQ%7Ctr=gfa%7Cct=mq4l3c1f%7Chk=1c378bd7b8cd9b52ef9e4019112942e22bf9a13f%7Cnacn=iISuBQAFcDmK" TargetMode="External"/><Relationship Id="rId83" Type="http://schemas.openxmlformats.org/officeDocument/2006/relationships/hyperlink" Target="https://newstart-law.com/" TargetMode="External"/><Relationship Id="rId179" Type="http://schemas.openxmlformats.org/officeDocument/2006/relationships/hyperlink" Target="http://newstart-law.com/?inType=NIM001&amp;NaPm=ci=6iHIA7N2AdQOaouEhQEHi6vw%7Ctr=gfa%7Cct=mqixhyv7%7Chk=55eb9c1da016a382dc7fa5ad040e9df27747d717%7Cnacn=eQkSCggQkePtC" TargetMode="External"/><Relationship Id="rId190" Type="http://schemas.openxmlformats.org/officeDocument/2006/relationships/hyperlink" Target="https://newstart-law.com/?inType=NIP002&amp;NaPm=ci=6iqhVXSRKPTeCkvbMBLkE3NQ%7Ctr=gfa%7Cct=mqj5w54f%7Chk=3f36d27e73c31392af75c73f69e97e2ffdd8cc90%7Cnacn=A3Y4BIxFfJSIA" TargetMode="External"/><Relationship Id="rId204" Type="http://schemas.openxmlformats.org/officeDocument/2006/relationships/hyperlink" Target="http://newstart-law.com/?inType=nim_sq01&amp;NaPm=ci=6mwbPQh4fkT1eSiEV9FdaFAw%7Ctr=gfa%7Cct=mqon5ca3%7Chk=f778c683ef8673b48ceba9a21ca2abd4244a9543%7Cnacn=53sbBwAGaObk" TargetMode="External"/><Relationship Id="rId225" Type="http://schemas.openxmlformats.org/officeDocument/2006/relationships/hyperlink" Target="https://www.newstart-law.com/?inType=NK&amp;n_media=8753&amp;n_query=%EA%B0%9C%EC%9D%B8%ED%8C%8C%EC%82%B0&amp;n_rank=3&amp;n_ad_group=grp-a001-01-000000063065512&amp;n_ad=nad-a001-01-000000495460286&amp;n_keyword_id=nkw-a001-01-000007934684740&amp;n_keyword=%EA%B0%9C%EC%9D%B8%ED%8C%8C%EC%82%B0&amp;n_campaign_type=1&amp;n_ad_group_type=1&amp;n_match=1&amp;NaPm=ct=mqp930sv%7Cci=ER25e50638-6e3e-11f1-85dc-12882e70cd6b%7Ctr=sa%7Chk=bb64d72d1f3576f77c0a6b8aa7b7f9a673c21d9e%7Cnacn=eLnqCICqLOg8B" TargetMode="External"/><Relationship Id="rId246" Type="http://schemas.openxmlformats.org/officeDocument/2006/relationships/hyperlink" Target="http://newstart-law.com/?inType=nim003&amp;NaPm=ci=6ox6fCu4zNT2-hevE1HjYfYg%7Ctr=gfa%7Cct=mqrr9yji%7Chk=8c0a3b6596e4fccde93a1a98e8f955b9123de59a%7Cnacn=G8PPBQgtANIR" TargetMode="External"/><Relationship Id="rId267" Type="http://schemas.openxmlformats.org/officeDocument/2006/relationships/hyperlink" Target="http://newstart-law.com/?inType=nim003&amp;NaPm=ci=6qhiRhgjTWRSeZnhGBf_7J9w%7Ctr=gfa%7Cct=mqu843fp%7Chk=19fdcb584aec16faa94c36df822ed18fb750b567%7Cnacn=Y1BjB8QCsrjB" TargetMode="External"/><Relationship Id="rId288" Type="http://schemas.openxmlformats.org/officeDocument/2006/relationships/hyperlink" Target="https://newstart-law.com/?inType=NIM001&amp;NaPm=ci=6qqnnhbbn_S1GUWdm-RJ9ogA%7Ctr=gfa%7Cct=mquly1eg%7Chk=4d831fac9f8c5052337f425c63d5e390be7ebb36%7Cnacn=A5p9B0QzHq56" TargetMode="External"/><Relationship Id="rId106" Type="http://schemas.openxmlformats.org/officeDocument/2006/relationships/hyperlink" Target="http://newstart-law.com/" TargetMode="External"/><Relationship Id="rId127" Type="http://schemas.openxmlformats.org/officeDocument/2006/relationships/hyperlink" Target="https://www.newstart-law.com/?inType=NK&amp;n_media=8753&amp;n_query=%EA%B0%9C%EC%9D%B8%ED%8C%8C%EC%82%B0%EC%8B%A0%EC%B2%AD&amp;n_rank=1&amp;n_ad_group=grp-a001-01-000000063065674&amp;n_ad=nad-a001-01-000000485213839&amp;n_keyword_id=nkw-a001-01-000007951811270&amp;n_keyword=%EA%B0%9C%EC%9D%B8%ED%8C%8C%EC%82%B0%EC%8B%A0%EC%B2%AD&amp;n_campaign_type=1&amp;n_ad_group_type=1&amp;n_match=1&amp;NaPm=ct=mq9nnunt%7Cci=ER9e8f8f3a-65aa-11f1-ab03-66394830e525%7Ctr=sa%7Chk=f49d9644ef355ae17c003db0a7a741f0295f4c75%7Cnacn=B3rTBggEzYL" TargetMode="External"/><Relationship Id="rId10" Type="http://schemas.openxmlformats.org/officeDocument/2006/relationships/hyperlink" Target="https://newstart-law.com/?inType=NIP002&amp;NaPm=ci=62MuaHCKA4QZ-JxBZXyZQLkQ%7Ctr=gfa%7Cct=mpvyg3nr%7Chk=931f5e8d97540cd44108497c5c16cfacd0f4575b%7Cnacn=dwMoB0QOE0Ov" TargetMode="External"/><Relationship Id="rId31" Type="http://schemas.openxmlformats.org/officeDocument/2006/relationships/hyperlink" Target="https://www.newstart-law.com/?inType=NK&amp;n_media=8753&amp;n_query=%EA%B0%9C%EC%9D%B8%ED%9A%8C%EC%83%9D%EC%8B%A0%EC%B2%AD%EC%9E%90%EA%B2%A9&amp;n_rank=4&amp;n_ad_group=grp-a001-01-000000063065632&amp;n_ad=nad-a001-01-000000495459382&amp;n_keyword_id=nkw-a001-01-000007951806209&amp;n_keyword=%EA%B0%9C%EC%9D%B8%ED%9A%8C%EC%83%9D%EC%8B%A0%EC%B2%AD%EC%9E%90%EA%B2%A9&amp;n_campaign_type=1&amp;n_ad_group_type=1&amp;n_match=1&amp;NaPm=ct=mpxph9q6%7Cci=ER51fff9e7-5f18-11f1-9972-6eb3083d8373%7Ctr=sa%7Chk=69bf8cf4a16f476835768b4a4" TargetMode="External"/><Relationship Id="rId52" Type="http://schemas.openxmlformats.org/officeDocument/2006/relationships/hyperlink" Target="http://newstart-law.com/?inType=nim_sq02&amp;NaPm=ci=65RylbrcGIQ5iOH6QqSXPrkw%7Ctr=gfa%7Cct=mq046g03%7Chk=29fdf6f54fe75d6f119998edf6786e19d1446791%7Cnacn=WHAIBkghaM6P" TargetMode="External"/><Relationship Id="rId73" Type="http://schemas.openxmlformats.org/officeDocument/2006/relationships/hyperlink" Target="https://newstart-law.com/" TargetMode="External"/><Relationship Id="rId94" Type="http://schemas.openxmlformats.org/officeDocument/2006/relationships/hyperlink" Target="http://newstart-law.com/?inType=NIM001&amp;NaPm=ci=69X2ItVYqHTVaDClaFzYMF-w%7Ctr=gfa%7Cct=mq6g10le%7Chk=e382071234a4b4977d5c1956043ac291138b96d2%7Cnacn=Re27DohHl3ZaA" TargetMode="External"/><Relationship Id="rId148" Type="http://schemas.openxmlformats.org/officeDocument/2006/relationships/hyperlink" Target="https://www.newstart-law.com/?inType=NK&amp;n_media=27758&amp;n_query=%EA%B0%9C%EC%9D%B8%ED%9A%8C%EC%83%9D&amp;n_rank=5&amp;n_ad_group=grp-a001-01-000000063063607&amp;n_ad=nad-a001-01-000000495459275&amp;n_keyword_id=nkw-a001-01-000007934681996&amp;n_keyword=%EA%B0%9C%EC%9D%B8%ED%9A%8C%EC%83%9D&amp;n_campaign_type=1&amp;n_ad_group_type=1&amp;n_match=1&amp;NaPm=ct=mqfuhtqs%7Cci=ER0acc396d-6912-11f1-9593-86ae5db11087%7Ctr=sa%7Chk=c96c22e467fe0799218086cf8af8491a506e4bb2%7Cnacn=GIHxBwAvn61t" TargetMode="External"/><Relationship Id="rId169" Type="http://schemas.openxmlformats.org/officeDocument/2006/relationships/hyperlink" Target="http://newstart-law.com/?inType=nim003&amp;NaPm=ci=6hakNPXQAQQZ2Rp9AhXCh2zQ%7Ctr=gfa%7Cct=mqhgl3we%7Chk=935c56fecbd91c404dda378c03675688f5efe282%7Cnacn=wZLVBkwrwHFg" TargetMode="External"/><Relationship Id="rId4" Type="http://schemas.openxmlformats.org/officeDocument/2006/relationships/hyperlink" Target="https://newstart-law.com/?inType=NIP002&amp;NaPm=ci=61RGSrvtWST-OeDBu_e6qzgg%7Ctr=gfa%7Cct=mpunmfhx%7Chk=c83d18aa4b138f3f1e63ddccb81f750f2011216a%7Cnacn=PHqOBogkoA2A" TargetMode="External"/><Relationship Id="rId180" Type="http://schemas.openxmlformats.org/officeDocument/2006/relationships/hyperlink" Target="http://newstart-law.com/?inType=NIM001&amp;NaPm=ci=6i7-RXNWCWRaeQAFXFhI2WnQ%7Ctr=gfa%7Cct=mqiyjrqb%7Chk=f9803d6cd4a14fddd874bedd2fc59a5288c5eb03%7Cnacn=50PTB8Qvz0D7" TargetMode="External"/><Relationship Id="rId215" Type="http://schemas.openxmlformats.org/officeDocument/2006/relationships/hyperlink" Target="http://newstart-law.com/?inType=nim003&amp;NaPm=ci=6m2VHRKIIkQsCOaRvk2s_oKw%7Ctr=gfa%7Cct=mqoxwrfz%7Chk=5a083e90f96ce39865b5536d64e35382d54e362e%7Cnacn=porkBwg06dJq" TargetMode="External"/><Relationship Id="rId236" Type="http://schemas.openxmlformats.org/officeDocument/2006/relationships/hyperlink" Target="https://www.newstart-law.com/?inType=NK&amp;n_media=27758&amp;n_query=%EA%B0%9C%EC%9D%B8%ED%9A%8C%EC%83%9D%EC%83%81%EB%8B%B4&amp;n_rank=6&amp;n_ad_group=grp-a001-01-000000063065651&amp;n_ad=nad-a001-01-000000495459437&amp;n_keyword_id=nkw-a001-01-000007951807367&amp;n_keyword=%EA%B0%9C%EC%9D%B8%ED%9A%8C%EC%83%9D%EC%83%81%EB%8B%B4&amp;n_campaign_type=1&amp;n_ad_group_type=1&amp;n_match=1&amp;NaPm=ct=mqqg4d1t%7Cci=ER73b8089d-6ee6-11f1-b915-56305bda6a30%7Ctr=sa%7Chk=40a069b3d207265d387b118c6ce5727f6bff14b9%7Cnacn=yKCjBIRM0t" TargetMode="External"/><Relationship Id="rId257" Type="http://schemas.openxmlformats.org/officeDocument/2006/relationships/hyperlink" Target="http://newstart-law.com/?inType=nim003&amp;NaPm=ci=6pQDEQ-aU8QzmNOyivDV3FNw%7Ctr=gfa%7Cct=mqstli41%7Chk=45876a4c9eea54550c24101276215e89b8ebaeed%7Cnacn=cvVRBQw4mviN" TargetMode="External"/><Relationship Id="rId278" Type="http://schemas.openxmlformats.org/officeDocument/2006/relationships/hyperlink" Target="http://newstart-law.com/?inType=nim003&amp;NaPm=ci=6q4isYg6M6SJuL0t8lytEjOQ%7Ctr=gfa%7Cct=mqufwdbl%7Chk=0d7f7afa5aedfbc94aa2ed00cef0ab21acc4ae32%7Cnacn=tm3qBABAe7ALA" TargetMode="External"/><Relationship Id="rId303" Type="http://schemas.openxmlformats.org/officeDocument/2006/relationships/hyperlink" Target="http://newstart-law.com/?inType=nim_sq02&amp;NaPm=ci=6tI2k3uRMfSh6OHUhFGnHL_A%7Ctr=gfa%7Cct=mqylhbos%7Chk=ded5dfbdc2a0dabd94a3fa7b8c0d7a68126283d9%7Cnacn=0qmzB0QcuufnB" TargetMode="External"/><Relationship Id="rId42" Type="http://schemas.openxmlformats.org/officeDocument/2006/relationships/hyperlink" Target="https://www.newstart-law.com/?inType=NK&amp;n_media=8753&amp;n_query=%EA%B0%9C%EC%9D%B8%ED%9A%8C%EC%83%9D%EC%8B%A0%EC%B2%AD%EC%9E%90%EA%B2%A9&amp;n_rank=4&amp;n_ad_group=grp-a001-01-000000063065632&amp;n_ad=nad-a001-01-000000485213835&amp;n_keyword_id=nkw-a001-01-000007951806209&amp;n_keyword=%EA%B0%9C%EC%9D%B8%ED%9A%8C%EC%83%9D%EC%8B%A0%EC%B2%AD%EC%9E%90%EA%B2%A9&amp;n_campaign_type=1&amp;n_ad_group_type=1&amp;n_match=1&amp;NaPm=ct=mpxxs0bg%7Cci=ERc5aa5ea9-5f38-11f1-a285-5e52d0db692c%7Ctr=sa%7Chk=cc8bd70a4f8a756a5368f9730" TargetMode="External"/><Relationship Id="rId84" Type="http://schemas.openxmlformats.org/officeDocument/2006/relationships/hyperlink" Target="https://newstart-law.com/" TargetMode="External"/><Relationship Id="rId138" Type="http://schemas.openxmlformats.org/officeDocument/2006/relationships/hyperlink" Target="http://newstart-law.com/?inType=nim003&amp;NaPm=ci=6fmbySt30VTsyOMnxjE-hmDQ%7Ctr=gfa%7Cct=mqehl61w%7Chk=9601585f5cb2f9842299ccd3659cd7c13f52b828%7Cnacn=0WhiB4gXBrfcB" TargetMode="External"/><Relationship Id="rId191" Type="http://schemas.openxmlformats.org/officeDocument/2006/relationships/hyperlink" Target="http://newstart-law.com/?inType=nim003&amp;NaPm=ci=6iZrmdYVtYR3Ojee3ldeq0NQ%7Ctr=gfa%7Cct=mqj60y57%7Chk=6c4c480ecdc61d904c736911420f5fd3065a4334%7Cnacn=euq3Dwh05IAfD" TargetMode="External"/><Relationship Id="rId205" Type="http://schemas.openxmlformats.org/officeDocument/2006/relationships/hyperlink" Target="http://newstart-law.com/?inType=NIM001&amp;NaPm=ci=6mIt3BBjHtSS-QWjeh3Hh_yA%7Ctr=gfa%7Cct=mqomoara%7Chk=d19827732795a0caeac10012552868d436937bb6%7Cnacn=yrz6BgABeWPZB" TargetMode="External"/><Relationship Id="rId247" Type="http://schemas.openxmlformats.org/officeDocument/2006/relationships/hyperlink" Target="http://newstart-law.com/?inType=nim003&amp;NaPm=ci=6oXYmSDnYAS1-vsPgtsmQvwg%7Ctr=gfa%7Cct=mqrs5nge%7Chk=34287c88ad45eb7465a6ba553f91bef93ae922ba%7Cnacn=9miJBEx8Lyym" TargetMode="External"/><Relationship Id="rId107" Type="http://schemas.openxmlformats.org/officeDocument/2006/relationships/hyperlink" Target="http://newstart-law.com/?inType=nim003&amp;NaPm=ci=6aB3YV-xmfTIWzA9MGagkKiw%7Ctr=gfa%7Cct=mq7u1m2x%7Chk=873539933f97bb5f7e683faad0c0be2d04b8bf6f%7Cnacn=ucx4BwgatR9X" TargetMode="External"/><Relationship Id="rId289" Type="http://schemas.openxmlformats.org/officeDocument/2006/relationships/hyperlink" Target="http://newstart-law.com/?inType=nim003&amp;NaPm=ci=6qKcAA9Im6RiShqiJGEqex-Q%7Ctr=gfa%7Cct=mqulxmr3%7Chk=58c7656c9a9b79085ea7d9d3b0ff10e3de2b4aca%7Cnacn=33gHBkAO0pSl" TargetMode="External"/><Relationship Id="rId11" Type="http://schemas.openxmlformats.org/officeDocument/2006/relationships/hyperlink" Target="http://newstart-law.com/?inType=nim003&amp;NaPm=ci=62m0lq8g7wT5OeLIh97Chr3g%7Ctr=gfa%7Cct=mpw05tmj%7Chk=d54e69ffb48e4a143cb5c1d9ac20565f57df2d92%7Cnacn=JTFfCACFnSGfB" TargetMode="External"/><Relationship Id="rId53" Type="http://schemas.openxmlformats.org/officeDocument/2006/relationships/hyperlink" Target="http://newstart-law.com/?inType=NIP002&amp;NaPm=ci=65PAeKz4QtRKKfiA86tl9r3w%7Ctr=gfa%7Cct=mq0ebmh7%7Chk=0c6925ee1892981dc1c9c9797fb42cedc669dda6%7Cnacn=kY5dB0gU87VS" TargetMode="External"/><Relationship Id="rId149" Type="http://schemas.openxmlformats.org/officeDocument/2006/relationships/hyperlink" Target="https://www.newstart-law.com/?inType=NK&amp;n_media=27758&amp;n_query=%EA%B0%9C%EC%9D%B8%ED%9A%8C%EC%83%9D&amp;n_rank=5&amp;n_ad_group=grp-a001-01-000000063063607&amp;n_ad=nad-a001-01-000000495459275&amp;n_keyword_id=nkw-a001-01-000007934681996&amp;n_keyword=%EA%B0%9C%EC%9D%B8%ED%9A%8C%EC%83%9D&amp;n_campaign_type=1&amp;n_ad_group_type=1&amp;n_match=1&amp;NaPm=ct=mqfuhtqs%7Cci=ER0acc396d-6912-11f1-9593-86ae5db11087%7Ctr=sa%7Chk=c96c22e467fe0799218086cf8af8491a506e4bb2%7Cnacn=GIHxBwAvn61t" TargetMode="External"/><Relationship Id="rId95" Type="http://schemas.openxmlformats.org/officeDocument/2006/relationships/hyperlink" Target="https://www.newstart-law.com/?inType=NK&amp;n_media=8753&amp;n_query=%EA%B0%9C%EC%9D%B8%ED%9A%8C%EC%83%9D%EC%A0%84%EB%AC%B8&amp;n_rank=5&amp;n_ad_group=grp-a001-01-000000063065632&amp;n_ad=nad-a001-01-000000495459382&amp;n_keyword_id=nkw-a001-01-000007951806264&amp;n_keyword=%EA%B0%9C%EC%9D%B8%ED%9A%8C%EC%83%9D%EC%A0%84%EB%AC%B8&amp;n_campaign_type=1&amp;n_ad_group_type=1&amp;n_match=1&amp;NaPm=ct=mq6nc4cf%7Cci=ERfe62197e-6402-11f1-bf4f-1e00a08223ef%7Ctr=sa%7Chk=9adfb4cfe65c2569c84e7caa1ae45e049770ff91%7Cnacn=Ieh5DIBzoyV" TargetMode="External"/><Relationship Id="rId160" Type="http://schemas.openxmlformats.org/officeDocument/2006/relationships/hyperlink" Target="https://www.newstart-law.com/?inType=NK&amp;n_media=8753&amp;n_query=%EA%B0%9C%EC%9D%B8%ED%9A%8C%EC%83%9D&amp;n_rank=9&amp;n_ad_group=grp-a001-01-000000063063767&amp;n_ad=nad-a001-01-000000495340403&amp;n_keyword_id=nkw-a001-01-000007934680459&amp;n_keyword=%EA%B0%9C%EC%9D%B8%ED%9A%8C%EC%83%9D&amp;n_campaign_type=1&amp;n_ad_group_type=1&amp;n_match=1&amp;NaPm=ct=mqgi8sck%7Cci=ERea899514-696e-11f1-95f0-7a377ecd8059%7Ctr=sa%7Chk=21c4ca3e9302724e8d268bb35ec2b8ffd98358db%7Cnacn=DMc4B0gOjtp7" TargetMode="External"/><Relationship Id="rId216" Type="http://schemas.openxmlformats.org/officeDocument/2006/relationships/hyperlink" Target="http://newstart-law.com/" TargetMode="External"/><Relationship Id="rId258" Type="http://schemas.openxmlformats.org/officeDocument/2006/relationships/hyperlink" Target="http://newstart-law.com/?inType=nim003&amp;NaPm=ci=6pPpTCugeWTA2FEr9CNU-8Kg%7Ctr=gfa%7Cct=mqsudc02%7Chk=dc7488e605f68202db551469d5f1709138e6247e%7Cnacn=htVtBsAGf9ZRB" TargetMode="External"/><Relationship Id="rId22" Type="http://schemas.openxmlformats.org/officeDocument/2006/relationships/hyperlink" Target="https://www.newstart-law.com/?inType=NK&amp;n_media=8753&amp;n_query=%EA%B0%9C%EC%9D%B8%ED%9A%8C%EC%83%9D%ED%8C%8C%EC%82%B0&amp;n_rank=4&amp;n_ad_group=grp-a001-01-000000063065632&amp;n_ad=nad-a001-01-000000485213835&amp;n_keyword_id=nkw-a001-01-000007951806231&amp;n_keyword=%EA%B0%9C%EC%9D%B8%ED%9A%8C%EC%83%9D%ED%8C%8C%EC%82%B0&amp;n_campaign_type=1&amp;n_ad_group_type=1&amp;n_match=1&amp;NaPm=ct=mpxipj9k%7Cci=ERd7eff555-5efd-11f1-a285-5e52d0db692c%7Ctr=sa%7Chk=1814f921f06f13395d00366da34797df1ed888a1%7Cnacn=fjTpD4Al3S8" TargetMode="External"/><Relationship Id="rId64" Type="http://schemas.openxmlformats.org/officeDocument/2006/relationships/hyperlink" Target="http://newstart-law.com/?inType=nim003&amp;NaPm=ci=68mQVycyfFTXahIhnjDN0grg%7Ctr=gfa%7Cct=mq4ljrh6%7Chk=5d75c0a3975b9937cfc963ec3a1f2a7d4cf1cee8%7Cnacn=TvXpBoAOzlevA" TargetMode="External"/><Relationship Id="rId118" Type="http://schemas.openxmlformats.org/officeDocument/2006/relationships/hyperlink" Target="http://newstart-law.com/?inType=nim003&amp;NaPm=ci=6bXDUuJusGQZiRFKFkxcPsug%7Ctr=gfa%7Cct=mq8yfsar%7Chk=689b173c05310585ee03537d31bca20c88f3cc1d%7Cnacn=wet6DQhrQksXA" TargetMode="External"/><Relationship Id="rId171" Type="http://schemas.openxmlformats.org/officeDocument/2006/relationships/hyperlink" Target="https://newstart-law.com/?inType=NIP002&amp;NaPm=ci=6hxejk-7rkQJeuC-eBAXTOvg%7Ctr=gfa%7Cct=mqhk0qrt%7Chk=7428a78c91deef578ef50e9d6478bbac7b3521d5%7Cnacn=mwoMBIREmZpR" TargetMode="External"/><Relationship Id="rId227" Type="http://schemas.openxmlformats.org/officeDocument/2006/relationships/hyperlink" Target="https://www.newstart-law.com/?inType=NK&amp;n_media=8753&amp;n_query=%EA%B0%9C%EC%9D%B8%ED%8C%8C%EC%82%B0&amp;n_rank=1&amp;n_ad_group=grp-a001-01-000000063065512&amp;n_ad=nad-a001-01-000000495460286&amp;n_keyword_id=nkw-a001-01-000007934684740&amp;n_keyword=%EA%B0%9C%EC%9D%B8%ED%8C%8C%EC%82%B0&amp;n_campaign_type=1&amp;n_ad_group_type=1&amp;n_match=1&amp;NaPm=ct=mqpauqzb%7Cci=ER1217e2ff-6e45-11f1-81e1-e609e8bf4a3b%7Ctr=sa%7Chk=f8d6f0fd2fbb2bbd7598e68b730880769b1c9885%7Cnacn=eLnqCICqLOg8B" TargetMode="External"/><Relationship Id="rId269" Type="http://schemas.openxmlformats.org/officeDocument/2006/relationships/hyperlink" Target="http://newstart-law.com/?inType=nim003&amp;NaPm=ci=6qEnRuQpjbTaWadaDr0HrWQQ%7Ctr=gfa%7Cct=mquariue%7Chk=4e1dd8d5610581989b338dd4d398ca5db5be8444%7Cnacn=ULveD4Ah3APnB" TargetMode="External"/><Relationship Id="rId33" Type="http://schemas.openxmlformats.org/officeDocument/2006/relationships/hyperlink" Target="http://newstart-law.com/?inType=nim003&amp;NaPm=ci=63I-dB182ET6SkNQFvlP4XLA%7Ctr=gfa%7Cct=mpxqqq7o%7Chk=8d7f9629196072911fb9154fdb7292b7e45891f0%7Cnacn=ztEPB0QAHMTy" TargetMode="External"/><Relationship Id="rId129" Type="http://schemas.openxmlformats.org/officeDocument/2006/relationships/hyperlink" Target="http://newstart-law.com/" TargetMode="External"/><Relationship Id="rId280" Type="http://schemas.openxmlformats.org/officeDocument/2006/relationships/hyperlink" Target="http://newstart-law.com/?inType=nim003&amp;NaPm=ci=6qiTBHvsTgRqKkO8kLF_nlNQ%7Ctr=gfa%7Cct=mqujxaak%7Chk=a786a1a43abce4b4164cd146814598ad3aea137d%7Cnacn=pPxyBcQ2wllH" TargetMode="External"/><Relationship Id="rId75" Type="http://schemas.openxmlformats.org/officeDocument/2006/relationships/hyperlink" Target="https://newstart-law.com/" TargetMode="External"/><Relationship Id="rId140" Type="http://schemas.openxmlformats.org/officeDocument/2006/relationships/hyperlink" Target="http://newstart-law.com/?inType=nim003&amp;NaPm=ci=6f9Zg876d5QHCEBNGanbYhsw%7Ctr=gfa%7Cct=mqei0ubp%7Chk=4556293d6a86220fd69ea1aa71490fc66afc6204%7Cnacn=6BNnBcg6jXiR" TargetMode="External"/><Relationship Id="rId182" Type="http://schemas.openxmlformats.org/officeDocument/2006/relationships/hyperlink" Target="http://newstart-law.com/?inType=nim003&amp;NaPm=ci=6ilu-5x6HFQ4q-Wc1024YA6g%7Ctr=gfa%7Cct=mqizsgkf%7Chk=1b9f328c31fe3512bf4a748c44fd2b5fbdae5ae2%7Cnacn=m3VUBERKdi2N" TargetMode="External"/><Relationship Id="rId6" Type="http://schemas.openxmlformats.org/officeDocument/2006/relationships/hyperlink" Target="https://newstart-law.com/?inType=NIP002&amp;NaPm=ci=61LJoODq38TfGxhhCs3eFxRA%7Ctr=gfa%7Cct=mpuujyhj%7Chk=a88b52aeac58f682a3d4bd818254b58b5d66f741%7Cnacn=yTfrCIifm51KA" TargetMode="External"/><Relationship Id="rId238" Type="http://schemas.openxmlformats.org/officeDocument/2006/relationships/hyperlink" Target="https://www.newstart-law.com/?inType=NK&amp;n_media=8753&amp;n_query=%EA%B0%9C%EC%9D%B8%ED%9A%8C%EC%83%9D%EC%8B%A0%EC%B2%AD%EC%9E%90%EA%B2%A9&amp;n_rank=5&amp;n_ad_group=grp-a001-01-000000063065632&amp;n_ad=nad-a001-01-000000495459382&amp;n_keyword_id=nkw-a001-01-000007951806209&amp;n_keyword=%EA%B0%9C%EC%9D%B8%ED%9A%8C%EC%83%9D%EC%8B%A0%EC%B2%AD%EC%9E%90%EA%B2%A9&amp;n_campaign_type=1&amp;n_ad_group_type=1&amp;n_match=1&amp;NaPm=ct=mqqoei1a%7Cci=ERd6b1cf1b-6f06-11f1-ac4a-ca5d8a12ad1a%7Ctr=sa%7Chk=bce0b10d26c8fb7bff65bbdc3" TargetMode="External"/><Relationship Id="rId291" Type="http://schemas.openxmlformats.org/officeDocument/2006/relationships/hyperlink" Target="http://newstart-law.com/?inType=nim003&amp;NaPm=ci=6q7BqdYkPzRLutVMe1RYikkQ%7Ctr=gfa%7Cct=mqupulrq%7Chk=0f1f78dbc60300dda5d533c20d44e74cda6cc3d9%7Cnacn=Klj3BAhVfcgYA" TargetMode="External"/><Relationship Id="rId305" Type="http://schemas.openxmlformats.org/officeDocument/2006/relationships/hyperlink" Target="http://newstart-law.com/?inType=nim003&amp;NaPm=ci=6t5-BNsCasRWyOsu1fphFO1Q%7Ctr=gfa%7Cct=mqyr6bhl%7Chk=2c01ec0ac40ca2c003a70fa3ab264fd43dce9769%7Cnacn=9xYcB4wgJP7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000"/>
  <sheetViews>
    <sheetView tabSelected="1" topLeftCell="A305" workbookViewId="0">
      <selection activeCell="E320" sqref="E320"/>
    </sheetView>
  </sheetViews>
  <sheetFormatPr defaultColWidth="12.5703125" defaultRowHeight="15.75" customHeight="1" x14ac:dyDescent="0.2"/>
  <cols>
    <col min="1" max="1" width="8.140625" customWidth="1"/>
    <col min="2" max="4" width="22.42578125" customWidth="1"/>
    <col min="5" max="5" width="18.42578125" customWidth="1"/>
    <col min="6" max="6" width="39.5703125" customWidth="1"/>
    <col min="7" max="7" width="14" customWidth="1"/>
    <col min="8" max="8" width="11.140625" customWidth="1"/>
    <col min="9" max="9" width="12.7109375" customWidth="1"/>
  </cols>
  <sheetData>
    <row r="1" spans="1:24" ht="12.75" x14ac:dyDescent="0.2">
      <c r="A1" s="1" t="s">
        <v>2</v>
      </c>
      <c r="B1" s="2" t="s">
        <v>3</v>
      </c>
      <c r="C1" s="1"/>
      <c r="D1" s="1"/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374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2.75" x14ac:dyDescent="0.2">
      <c r="A2" s="4">
        <v>1</v>
      </c>
      <c r="B2" s="5" t="s">
        <v>62</v>
      </c>
      <c r="C2" s="4"/>
      <c r="D2" s="4"/>
      <c r="E2" s="4"/>
      <c r="F2" s="4"/>
      <c r="G2" s="4" t="s">
        <v>12</v>
      </c>
      <c r="H2" s="4" t="s">
        <v>13</v>
      </c>
      <c r="I2" s="4" t="s">
        <v>14</v>
      </c>
      <c r="J2" s="3"/>
      <c r="K2" s="3" t="s">
        <v>15</v>
      </c>
      <c r="L2" s="3" t="s">
        <v>16</v>
      </c>
      <c r="M2" s="3" t="s">
        <v>375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2.75" x14ac:dyDescent="0.2">
      <c r="A3" s="4">
        <v>2</v>
      </c>
      <c r="B3" s="5" t="s">
        <v>63</v>
      </c>
      <c r="C3" s="4"/>
      <c r="D3" s="4"/>
      <c r="E3" s="4"/>
      <c r="F3" s="4"/>
      <c r="G3" s="4" t="s">
        <v>17</v>
      </c>
      <c r="H3" s="4" t="s">
        <v>18</v>
      </c>
      <c r="I3" s="4" t="s">
        <v>19</v>
      </c>
      <c r="J3" s="3" t="s">
        <v>20</v>
      </c>
      <c r="K3" s="3"/>
      <c r="L3" s="3" t="s">
        <v>22</v>
      </c>
      <c r="M3" s="3" t="s">
        <v>375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2.75" x14ac:dyDescent="0.2">
      <c r="A4" s="4">
        <v>3</v>
      </c>
      <c r="B4" s="5" t="s">
        <v>64</v>
      </c>
      <c r="C4" s="4"/>
      <c r="D4" s="4"/>
      <c r="E4" s="4"/>
      <c r="F4" s="4"/>
      <c r="G4" s="4" t="s">
        <v>17</v>
      </c>
      <c r="H4" s="4" t="s">
        <v>18</v>
      </c>
      <c r="I4" s="4" t="s">
        <v>19</v>
      </c>
      <c r="J4" s="3" t="s">
        <v>23</v>
      </c>
      <c r="K4" s="3"/>
      <c r="L4" s="3" t="s">
        <v>24</v>
      </c>
      <c r="M4" s="3" t="s">
        <v>376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2.75" x14ac:dyDescent="0.2">
      <c r="A5" s="4">
        <v>4</v>
      </c>
      <c r="B5" s="5" t="s">
        <v>65</v>
      </c>
      <c r="C5" s="4"/>
      <c r="D5" s="4"/>
      <c r="E5" s="4"/>
      <c r="F5" s="4"/>
      <c r="G5" s="4" t="s">
        <v>17</v>
      </c>
      <c r="H5" s="4" t="s">
        <v>18</v>
      </c>
      <c r="I5" s="4" t="s">
        <v>19</v>
      </c>
      <c r="J5" s="3" t="s">
        <v>23</v>
      </c>
      <c r="K5" s="3"/>
      <c r="L5" s="3" t="s">
        <v>25</v>
      </c>
      <c r="M5" s="3" t="s">
        <v>376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2.75" x14ac:dyDescent="0.2">
      <c r="A6" s="4">
        <v>5</v>
      </c>
      <c r="B6" s="5" t="s">
        <v>66</v>
      </c>
      <c r="C6" s="4"/>
      <c r="D6" s="4"/>
      <c r="E6" s="4"/>
      <c r="F6" s="4"/>
      <c r="G6" s="4" t="s">
        <v>17</v>
      </c>
      <c r="H6" s="4" t="s">
        <v>18</v>
      </c>
      <c r="I6" s="4" t="s">
        <v>26</v>
      </c>
      <c r="J6" s="3" t="s">
        <v>23</v>
      </c>
      <c r="K6" s="3"/>
      <c r="L6" s="3" t="s">
        <v>27</v>
      </c>
      <c r="M6" s="3" t="s">
        <v>376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12.75" x14ac:dyDescent="0.2">
      <c r="A7" s="4">
        <v>6</v>
      </c>
      <c r="B7" s="5" t="s">
        <v>67</v>
      </c>
      <c r="C7" s="4"/>
      <c r="D7" s="4"/>
      <c r="E7" s="4"/>
      <c r="F7" s="4"/>
      <c r="G7" s="4" t="s">
        <v>17</v>
      </c>
      <c r="H7" s="4" t="s">
        <v>18</v>
      </c>
      <c r="I7" s="4" t="s">
        <v>26</v>
      </c>
      <c r="J7" s="3" t="s">
        <v>23</v>
      </c>
      <c r="K7" s="3"/>
      <c r="L7" s="3" t="s">
        <v>27</v>
      </c>
      <c r="M7" s="3" t="s">
        <v>376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12.75" x14ac:dyDescent="0.2">
      <c r="A8" s="4">
        <v>7</v>
      </c>
      <c r="B8" s="5" t="s">
        <v>68</v>
      </c>
      <c r="C8" s="4"/>
      <c r="D8" s="4"/>
      <c r="E8" s="4"/>
      <c r="F8" s="4"/>
      <c r="G8" s="4" t="s">
        <v>17</v>
      </c>
      <c r="H8" s="4" t="s">
        <v>13</v>
      </c>
      <c r="I8" s="4" t="s">
        <v>19</v>
      </c>
      <c r="J8" s="3"/>
      <c r="K8" s="3" t="s">
        <v>28</v>
      </c>
      <c r="L8" s="3" t="s">
        <v>22</v>
      </c>
      <c r="M8" s="3" t="s">
        <v>375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12.75" x14ac:dyDescent="0.2">
      <c r="A9" s="4">
        <v>8</v>
      </c>
      <c r="B9" s="5" t="s">
        <v>69</v>
      </c>
      <c r="C9" s="4"/>
      <c r="D9" s="4"/>
      <c r="E9" s="4"/>
      <c r="F9" s="4"/>
      <c r="G9" s="4" t="s">
        <v>17</v>
      </c>
      <c r="H9" s="4" t="s">
        <v>13</v>
      </c>
      <c r="I9" s="4" t="s">
        <v>19</v>
      </c>
      <c r="J9" s="3" t="s">
        <v>29</v>
      </c>
      <c r="K9" s="3" t="s">
        <v>30</v>
      </c>
      <c r="L9" s="3" t="s">
        <v>22</v>
      </c>
      <c r="M9" s="3" t="s">
        <v>375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2.75" x14ac:dyDescent="0.2">
      <c r="A10" s="4">
        <v>9</v>
      </c>
      <c r="B10" s="5" t="s">
        <v>70</v>
      </c>
      <c r="C10" s="4"/>
      <c r="D10" s="4"/>
      <c r="E10" s="4"/>
      <c r="F10" s="4"/>
      <c r="G10" s="4" t="s">
        <v>17</v>
      </c>
      <c r="H10" s="4" t="s">
        <v>18</v>
      </c>
      <c r="I10" s="4" t="s">
        <v>19</v>
      </c>
      <c r="J10" s="3" t="s">
        <v>23</v>
      </c>
      <c r="K10" s="3"/>
      <c r="L10" s="3" t="s">
        <v>27</v>
      </c>
      <c r="M10" s="3" t="s">
        <v>376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12.75" x14ac:dyDescent="0.2">
      <c r="A11" s="4">
        <v>10</v>
      </c>
      <c r="B11" s="5" t="s">
        <v>71</v>
      </c>
      <c r="C11" s="4"/>
      <c r="D11" s="4"/>
      <c r="E11" s="4"/>
      <c r="F11" s="4"/>
      <c r="G11" s="4" t="s">
        <v>17</v>
      </c>
      <c r="H11" s="4" t="s">
        <v>18</v>
      </c>
      <c r="I11" s="4" t="s">
        <v>19</v>
      </c>
      <c r="J11" s="3" t="s">
        <v>23</v>
      </c>
      <c r="K11" s="3"/>
      <c r="L11" s="3" t="s">
        <v>24</v>
      </c>
      <c r="M11" s="3" t="s">
        <v>376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12.75" x14ac:dyDescent="0.2">
      <c r="A12" s="4">
        <v>11</v>
      </c>
      <c r="B12" s="5" t="s">
        <v>72</v>
      </c>
      <c r="C12" s="4"/>
      <c r="D12" s="4"/>
      <c r="E12" s="4"/>
      <c r="F12" s="4"/>
      <c r="G12" s="4" t="s">
        <v>31</v>
      </c>
      <c r="H12" s="4" t="s">
        <v>18</v>
      </c>
      <c r="I12" s="4" t="s">
        <v>14</v>
      </c>
      <c r="J12" s="3" t="s">
        <v>20</v>
      </c>
      <c r="K12" s="3"/>
      <c r="L12" s="3" t="s">
        <v>32</v>
      </c>
      <c r="M12" s="3" t="s">
        <v>375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12.75" x14ac:dyDescent="0.2">
      <c r="A13" s="4">
        <v>12</v>
      </c>
      <c r="B13" s="5" t="s">
        <v>73</v>
      </c>
      <c r="C13" s="4"/>
      <c r="D13" s="4"/>
      <c r="E13" s="4"/>
      <c r="F13" s="4"/>
      <c r="G13" s="4" t="s">
        <v>33</v>
      </c>
      <c r="H13" s="4" t="s">
        <v>18</v>
      </c>
      <c r="I13" s="4" t="s">
        <v>14</v>
      </c>
      <c r="J13" s="3" t="s">
        <v>20</v>
      </c>
      <c r="K13" s="3"/>
      <c r="L13" s="3" t="s">
        <v>33</v>
      </c>
      <c r="M13" s="3" t="s">
        <v>375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12.75" x14ac:dyDescent="0.2">
      <c r="A14" s="4">
        <v>13</v>
      </c>
      <c r="B14" s="5" t="s">
        <v>74</v>
      </c>
      <c r="C14" s="4"/>
      <c r="D14" s="4"/>
      <c r="E14" s="4"/>
      <c r="F14" s="4"/>
      <c r="G14" s="4" t="s">
        <v>31</v>
      </c>
      <c r="H14" s="4" t="s">
        <v>0</v>
      </c>
      <c r="I14" s="4" t="s">
        <v>14</v>
      </c>
      <c r="J14" s="3"/>
      <c r="K14" s="3"/>
      <c r="L14" s="3" t="s">
        <v>32</v>
      </c>
      <c r="M14" s="3" t="s">
        <v>375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12.75" x14ac:dyDescent="0.2">
      <c r="A15" s="4">
        <v>14</v>
      </c>
      <c r="B15" s="5" t="s">
        <v>75</v>
      </c>
      <c r="C15" s="4"/>
      <c r="D15" s="4"/>
      <c r="E15" s="4"/>
      <c r="F15" s="4"/>
      <c r="G15" s="4" t="s">
        <v>17</v>
      </c>
      <c r="H15" s="4" t="s">
        <v>18</v>
      </c>
      <c r="I15" s="4" t="s">
        <v>19</v>
      </c>
      <c r="J15" s="3" t="s">
        <v>20</v>
      </c>
      <c r="K15" s="3"/>
      <c r="L15" s="3" t="s">
        <v>24</v>
      </c>
      <c r="M15" s="3" t="s">
        <v>375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12.75" x14ac:dyDescent="0.2">
      <c r="A16" s="4">
        <v>15</v>
      </c>
      <c r="B16" s="5" t="s">
        <v>76</v>
      </c>
      <c r="C16" s="4"/>
      <c r="D16" s="4"/>
      <c r="E16" s="4"/>
      <c r="F16" s="4"/>
      <c r="G16" s="4" t="s">
        <v>33</v>
      </c>
      <c r="H16" s="4" t="s">
        <v>18</v>
      </c>
      <c r="I16" s="4" t="s">
        <v>14</v>
      </c>
      <c r="J16" s="3" t="s">
        <v>20</v>
      </c>
      <c r="K16" s="3"/>
      <c r="L16" s="3" t="s">
        <v>33</v>
      </c>
      <c r="M16" s="3" t="s">
        <v>375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12.75" x14ac:dyDescent="0.2">
      <c r="A17" s="4">
        <v>16</v>
      </c>
      <c r="B17" s="5" t="s">
        <v>77</v>
      </c>
      <c r="C17" s="4"/>
      <c r="D17" s="4"/>
      <c r="E17" s="4"/>
      <c r="F17" s="4"/>
      <c r="G17" s="4" t="s">
        <v>33</v>
      </c>
      <c r="H17" s="4" t="s">
        <v>18</v>
      </c>
      <c r="I17" s="4" t="s">
        <v>14</v>
      </c>
      <c r="J17" s="3" t="s">
        <v>20</v>
      </c>
      <c r="K17" s="3"/>
      <c r="L17" s="3" t="s">
        <v>33</v>
      </c>
      <c r="M17" s="3" t="s">
        <v>375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12.75" x14ac:dyDescent="0.2">
      <c r="A18" s="4">
        <v>17</v>
      </c>
      <c r="B18" s="5" t="s">
        <v>78</v>
      </c>
      <c r="C18" s="4"/>
      <c r="D18" s="4"/>
      <c r="E18" s="4"/>
      <c r="F18" s="4"/>
      <c r="G18" s="4" t="s">
        <v>17</v>
      </c>
      <c r="H18" s="4" t="s">
        <v>18</v>
      </c>
      <c r="I18" s="4" t="s">
        <v>19</v>
      </c>
      <c r="J18" s="3" t="s">
        <v>34</v>
      </c>
      <c r="K18" s="3"/>
      <c r="L18" s="3" t="s">
        <v>24</v>
      </c>
      <c r="M18" s="3" t="s">
        <v>375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12.75" x14ac:dyDescent="0.2">
      <c r="A19" s="4">
        <v>18</v>
      </c>
      <c r="B19" s="5" t="s">
        <v>79</v>
      </c>
      <c r="C19" s="4"/>
      <c r="D19" s="4"/>
      <c r="E19" s="4"/>
      <c r="F19" s="4"/>
      <c r="G19" s="4" t="s">
        <v>33</v>
      </c>
      <c r="H19" s="4" t="s">
        <v>13</v>
      </c>
      <c r="I19" s="4" t="s">
        <v>19</v>
      </c>
      <c r="J19" s="3" t="s">
        <v>29</v>
      </c>
      <c r="K19" s="3" t="s">
        <v>35</v>
      </c>
      <c r="L19" s="3" t="s">
        <v>33</v>
      </c>
      <c r="M19" s="3" t="s">
        <v>375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12.75" x14ac:dyDescent="0.2">
      <c r="A20" s="4">
        <v>19</v>
      </c>
      <c r="B20" s="5" t="s">
        <v>80</v>
      </c>
      <c r="C20" s="4"/>
      <c r="D20" s="4"/>
      <c r="E20" s="4"/>
      <c r="F20" s="4"/>
      <c r="G20" s="4" t="s">
        <v>17</v>
      </c>
      <c r="H20" s="4" t="s">
        <v>13</v>
      </c>
      <c r="I20" s="4" t="s">
        <v>19</v>
      </c>
      <c r="J20" s="3" t="s">
        <v>29</v>
      </c>
      <c r="K20" s="3" t="s">
        <v>30</v>
      </c>
      <c r="L20" s="3" t="s">
        <v>22</v>
      </c>
      <c r="M20" s="3" t="s">
        <v>375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12.75" x14ac:dyDescent="0.2">
      <c r="A21" s="4">
        <v>20</v>
      </c>
      <c r="B21" s="5" t="s">
        <v>81</v>
      </c>
      <c r="C21" s="4"/>
      <c r="D21" s="4"/>
      <c r="E21" s="4"/>
      <c r="F21" s="4"/>
      <c r="G21" s="4" t="s">
        <v>17</v>
      </c>
      <c r="H21" s="4" t="s">
        <v>13</v>
      </c>
      <c r="I21" s="4" t="s">
        <v>19</v>
      </c>
      <c r="J21" s="3" t="s">
        <v>29</v>
      </c>
      <c r="K21" s="3" t="s">
        <v>15</v>
      </c>
      <c r="L21" s="3" t="s">
        <v>24</v>
      </c>
      <c r="M21" s="3" t="s">
        <v>376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12.75" x14ac:dyDescent="0.2">
      <c r="A22" s="4">
        <v>21</v>
      </c>
      <c r="B22" s="5" t="s">
        <v>82</v>
      </c>
      <c r="C22" s="4"/>
      <c r="D22" s="4"/>
      <c r="E22" s="4"/>
      <c r="F22" s="4"/>
      <c r="G22" s="4" t="s">
        <v>17</v>
      </c>
      <c r="H22" s="4" t="s">
        <v>18</v>
      </c>
      <c r="I22" s="4" t="s">
        <v>19</v>
      </c>
      <c r="J22" s="3" t="s">
        <v>20</v>
      </c>
      <c r="K22" s="3"/>
      <c r="L22" s="3" t="s">
        <v>24</v>
      </c>
      <c r="M22" s="3" t="s">
        <v>375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12.75" x14ac:dyDescent="0.2">
      <c r="A23" s="4">
        <v>22</v>
      </c>
      <c r="B23" s="5" t="s">
        <v>83</v>
      </c>
      <c r="C23" s="4"/>
      <c r="D23" s="4"/>
      <c r="E23" s="4"/>
      <c r="F23" s="4"/>
      <c r="G23" s="4" t="s">
        <v>17</v>
      </c>
      <c r="H23" s="4" t="s">
        <v>13</v>
      </c>
      <c r="I23" s="4" t="s">
        <v>19</v>
      </c>
      <c r="J23" s="3" t="s">
        <v>29</v>
      </c>
      <c r="K23" s="3" t="s">
        <v>36</v>
      </c>
      <c r="L23" s="3" t="s">
        <v>24</v>
      </c>
      <c r="M23" s="3" t="s">
        <v>375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12.75" x14ac:dyDescent="0.2">
      <c r="A24" s="4">
        <v>23</v>
      </c>
      <c r="B24" s="5" t="s">
        <v>84</v>
      </c>
      <c r="C24" s="4"/>
      <c r="D24" s="4"/>
      <c r="E24" s="4"/>
      <c r="F24" s="4"/>
      <c r="G24" s="4" t="s">
        <v>31</v>
      </c>
      <c r="H24" s="4" t="s">
        <v>18</v>
      </c>
      <c r="I24" s="4" t="s">
        <v>14</v>
      </c>
      <c r="J24" s="3" t="s">
        <v>20</v>
      </c>
      <c r="K24" s="3"/>
      <c r="L24" s="3" t="s">
        <v>32</v>
      </c>
      <c r="M24" s="3" t="s">
        <v>375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12.75" x14ac:dyDescent="0.2">
      <c r="A25" s="4">
        <v>24</v>
      </c>
      <c r="B25" s="5" t="s">
        <v>85</v>
      </c>
      <c r="C25" s="4"/>
      <c r="D25" s="4"/>
      <c r="E25" s="4"/>
      <c r="F25" s="4"/>
      <c r="G25" s="4" t="s">
        <v>12</v>
      </c>
      <c r="H25" s="4" t="s">
        <v>18</v>
      </c>
      <c r="I25" s="4" t="s">
        <v>14</v>
      </c>
      <c r="J25" s="3" t="s">
        <v>20</v>
      </c>
      <c r="K25" s="3"/>
      <c r="L25" s="3" t="s">
        <v>16</v>
      </c>
      <c r="M25" s="3" t="s">
        <v>375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12.75" x14ac:dyDescent="0.2">
      <c r="A26" s="4">
        <v>25</v>
      </c>
      <c r="B26" s="5" t="s">
        <v>86</v>
      </c>
      <c r="C26" s="4"/>
      <c r="D26" s="4"/>
      <c r="E26" s="4"/>
      <c r="F26" s="4"/>
      <c r="G26" s="4" t="s">
        <v>12</v>
      </c>
      <c r="H26" s="4" t="s">
        <v>18</v>
      </c>
      <c r="I26" s="4" t="s">
        <v>14</v>
      </c>
      <c r="J26" s="3" t="s">
        <v>20</v>
      </c>
      <c r="K26" s="3"/>
      <c r="L26" s="3" t="s">
        <v>16</v>
      </c>
      <c r="M26" s="3" t="s">
        <v>375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12.75" x14ac:dyDescent="0.2">
      <c r="A27" s="4">
        <v>26</v>
      </c>
      <c r="B27" s="5" t="s">
        <v>87</v>
      </c>
      <c r="C27" s="4"/>
      <c r="D27" s="4"/>
      <c r="E27" s="4"/>
      <c r="F27" s="4"/>
      <c r="G27" s="4" t="s">
        <v>17</v>
      </c>
      <c r="H27" s="4" t="s">
        <v>18</v>
      </c>
      <c r="I27" s="4" t="s">
        <v>19</v>
      </c>
      <c r="J27" s="3" t="s">
        <v>23</v>
      </c>
      <c r="K27" s="3"/>
      <c r="L27" s="3" t="s">
        <v>25</v>
      </c>
      <c r="M27" s="3" t="s">
        <v>376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12.75" x14ac:dyDescent="0.2">
      <c r="A28" s="4">
        <v>27</v>
      </c>
      <c r="B28" s="5" t="s">
        <v>88</v>
      </c>
      <c r="C28" s="4"/>
      <c r="D28" s="4"/>
      <c r="E28" s="4"/>
      <c r="F28" s="4"/>
      <c r="G28" s="4" t="s">
        <v>33</v>
      </c>
      <c r="H28" s="4" t="s">
        <v>18</v>
      </c>
      <c r="I28" s="4" t="s">
        <v>14</v>
      </c>
      <c r="J28" s="3" t="s">
        <v>20</v>
      </c>
      <c r="K28" s="3"/>
      <c r="L28" s="3" t="s">
        <v>33</v>
      </c>
      <c r="M28" s="3" t="s">
        <v>375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12.75" x14ac:dyDescent="0.2">
      <c r="A29" s="4">
        <v>28</v>
      </c>
      <c r="B29" s="5" t="s">
        <v>89</v>
      </c>
      <c r="C29" s="4"/>
      <c r="D29" s="4"/>
      <c r="E29" s="4"/>
      <c r="F29" s="4"/>
      <c r="G29" s="4" t="s">
        <v>1</v>
      </c>
      <c r="H29" s="4" t="s">
        <v>13</v>
      </c>
      <c r="I29" s="4" t="s">
        <v>19</v>
      </c>
      <c r="J29" s="3" t="s">
        <v>29</v>
      </c>
      <c r="K29" s="3" t="s">
        <v>30</v>
      </c>
      <c r="L29" s="3" t="s">
        <v>37</v>
      </c>
      <c r="M29" s="3" t="s">
        <v>375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12.75" x14ac:dyDescent="0.2">
      <c r="A30" s="4">
        <v>29</v>
      </c>
      <c r="B30" s="5" t="s">
        <v>90</v>
      </c>
      <c r="C30" s="4"/>
      <c r="D30" s="4"/>
      <c r="E30" s="4"/>
      <c r="F30" s="4"/>
      <c r="G30" s="4" t="s">
        <v>17</v>
      </c>
      <c r="H30" s="4" t="s">
        <v>18</v>
      </c>
      <c r="I30" s="4" t="s">
        <v>19</v>
      </c>
      <c r="J30" s="3" t="s">
        <v>20</v>
      </c>
      <c r="K30" s="3"/>
      <c r="L30" s="3" t="s">
        <v>22</v>
      </c>
      <c r="M30" s="3" t="s">
        <v>375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12.75" x14ac:dyDescent="0.2">
      <c r="A31" s="4">
        <v>30</v>
      </c>
      <c r="B31" s="5" t="s">
        <v>91</v>
      </c>
      <c r="C31" s="4"/>
      <c r="D31" s="4"/>
      <c r="E31" s="4"/>
      <c r="F31" s="4"/>
      <c r="G31" s="4" t="s">
        <v>12</v>
      </c>
      <c r="H31" s="4" t="s">
        <v>18</v>
      </c>
      <c r="I31" s="4" t="s">
        <v>14</v>
      </c>
      <c r="J31" s="3" t="s">
        <v>20</v>
      </c>
      <c r="K31" s="3"/>
      <c r="L31" s="3" t="s">
        <v>16</v>
      </c>
      <c r="M31" s="3" t="s">
        <v>375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12.75" x14ac:dyDescent="0.2">
      <c r="A32" s="4">
        <v>31</v>
      </c>
      <c r="B32" s="5" t="s">
        <v>92</v>
      </c>
      <c r="C32" s="4"/>
      <c r="D32" s="4"/>
      <c r="E32" s="4"/>
      <c r="F32" s="4"/>
      <c r="G32" s="4" t="s">
        <v>17</v>
      </c>
      <c r="H32" s="4" t="s">
        <v>13</v>
      </c>
      <c r="I32" s="4" t="s">
        <v>19</v>
      </c>
      <c r="J32" s="3" t="s">
        <v>29</v>
      </c>
      <c r="K32" s="3" t="s">
        <v>38</v>
      </c>
      <c r="L32" s="3" t="s">
        <v>24</v>
      </c>
      <c r="M32" s="3" t="s">
        <v>375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12.75" x14ac:dyDescent="0.2">
      <c r="A33" s="4">
        <v>32</v>
      </c>
      <c r="B33" s="5" t="s">
        <v>93</v>
      </c>
      <c r="C33" s="4"/>
      <c r="D33" s="4"/>
      <c r="E33" s="4"/>
      <c r="F33" s="4"/>
      <c r="G33" s="4" t="s">
        <v>33</v>
      </c>
      <c r="H33" s="4" t="s">
        <v>18</v>
      </c>
      <c r="I33" s="4" t="s">
        <v>14</v>
      </c>
      <c r="J33" s="3" t="s">
        <v>34</v>
      </c>
      <c r="K33" s="3"/>
      <c r="L33" s="3" t="s">
        <v>33</v>
      </c>
      <c r="M33" s="3" t="s">
        <v>375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12.75" x14ac:dyDescent="0.2">
      <c r="A34" s="4">
        <v>33</v>
      </c>
      <c r="B34" s="5" t="s">
        <v>94</v>
      </c>
      <c r="C34" s="4"/>
      <c r="D34" s="4"/>
      <c r="E34" s="4"/>
      <c r="F34" s="4"/>
      <c r="G34" s="4" t="s">
        <v>17</v>
      </c>
      <c r="H34" s="4" t="s">
        <v>18</v>
      </c>
      <c r="I34" s="4" t="s">
        <v>19</v>
      </c>
      <c r="J34" s="3" t="s">
        <v>20</v>
      </c>
      <c r="K34" s="3"/>
      <c r="L34" s="3" t="s">
        <v>22</v>
      </c>
      <c r="M34" s="3" t="s">
        <v>375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12.75" x14ac:dyDescent="0.2">
      <c r="A35" s="4">
        <v>34</v>
      </c>
      <c r="B35" s="5" t="s">
        <v>95</v>
      </c>
      <c r="C35" s="4"/>
      <c r="D35" s="4"/>
      <c r="E35" s="4"/>
      <c r="F35" s="4"/>
      <c r="G35" s="4" t="s">
        <v>12</v>
      </c>
      <c r="H35" s="4" t="s">
        <v>13</v>
      </c>
      <c r="I35" s="4" t="s">
        <v>14</v>
      </c>
      <c r="J35" s="3" t="s">
        <v>29</v>
      </c>
      <c r="K35" s="3" t="s">
        <v>38</v>
      </c>
      <c r="L35" s="3" t="s">
        <v>16</v>
      </c>
      <c r="M35" s="3" t="s">
        <v>375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12.75" x14ac:dyDescent="0.2">
      <c r="A36" s="4">
        <v>35</v>
      </c>
      <c r="B36" s="5" t="s">
        <v>96</v>
      </c>
      <c r="C36" s="4"/>
      <c r="D36" s="4"/>
      <c r="E36" s="4"/>
      <c r="F36" s="4"/>
      <c r="G36" s="4" t="s">
        <v>17</v>
      </c>
      <c r="H36" s="4" t="s">
        <v>13</v>
      </c>
      <c r="I36" s="4" t="s">
        <v>19</v>
      </c>
      <c r="J36" s="3" t="s">
        <v>29</v>
      </c>
      <c r="K36" s="3" t="s">
        <v>30</v>
      </c>
      <c r="L36" s="3" t="s">
        <v>24</v>
      </c>
      <c r="M36" s="3" t="s">
        <v>376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12.75" x14ac:dyDescent="0.2">
      <c r="A37" s="4">
        <v>36</v>
      </c>
      <c r="B37" s="5" t="s">
        <v>97</v>
      </c>
      <c r="C37" s="4"/>
      <c r="D37" s="4"/>
      <c r="E37" s="4"/>
      <c r="F37" s="4"/>
      <c r="G37" s="4" t="s">
        <v>33</v>
      </c>
      <c r="H37" s="4" t="s">
        <v>13</v>
      </c>
      <c r="I37" s="4" t="s">
        <v>19</v>
      </c>
      <c r="J37" s="3" t="s">
        <v>29</v>
      </c>
      <c r="K37" s="3" t="s">
        <v>30</v>
      </c>
      <c r="L37" s="3" t="s">
        <v>33</v>
      </c>
      <c r="M37" s="3" t="s">
        <v>376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12.75" x14ac:dyDescent="0.2">
      <c r="A38" s="4">
        <v>37</v>
      </c>
      <c r="B38" s="5" t="s">
        <v>98</v>
      </c>
      <c r="C38" s="4"/>
      <c r="D38" s="4"/>
      <c r="E38" s="4"/>
      <c r="F38" s="4"/>
      <c r="G38" s="4" t="s">
        <v>33</v>
      </c>
      <c r="H38" s="4" t="s">
        <v>18</v>
      </c>
      <c r="I38" s="4" t="s">
        <v>14</v>
      </c>
      <c r="J38" s="3" t="s">
        <v>20</v>
      </c>
      <c r="K38" s="3"/>
      <c r="L38" s="3" t="s">
        <v>33</v>
      </c>
      <c r="M38" s="3" t="s">
        <v>375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12.75" x14ac:dyDescent="0.2">
      <c r="A39" s="4">
        <v>38</v>
      </c>
      <c r="B39" s="5" t="s">
        <v>99</v>
      </c>
      <c r="C39" s="4"/>
      <c r="D39" s="4"/>
      <c r="E39" s="4"/>
      <c r="F39" s="4"/>
      <c r="G39" s="4" t="s">
        <v>17</v>
      </c>
      <c r="H39" s="4" t="s">
        <v>18</v>
      </c>
      <c r="I39" s="4" t="s">
        <v>19</v>
      </c>
      <c r="J39" s="3" t="s">
        <v>34</v>
      </c>
      <c r="K39" s="3"/>
      <c r="L39" s="3" t="s">
        <v>24</v>
      </c>
      <c r="M39" s="3" t="s">
        <v>375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12.75" x14ac:dyDescent="0.2">
      <c r="A40" s="4">
        <v>39</v>
      </c>
      <c r="B40" s="5" t="s">
        <v>100</v>
      </c>
      <c r="C40" s="4"/>
      <c r="D40" s="4"/>
      <c r="E40" s="4"/>
      <c r="F40" s="4"/>
      <c r="G40" s="4" t="s">
        <v>17</v>
      </c>
      <c r="H40" s="4" t="s">
        <v>18</v>
      </c>
      <c r="I40" s="4" t="s">
        <v>19</v>
      </c>
      <c r="J40" s="3" t="s">
        <v>39</v>
      </c>
      <c r="K40" s="3"/>
      <c r="L40" s="3" t="s">
        <v>24</v>
      </c>
      <c r="M40" s="3" t="s">
        <v>375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12.75" x14ac:dyDescent="0.2">
      <c r="A41" s="4">
        <v>40</v>
      </c>
      <c r="B41" s="5" t="s">
        <v>101</v>
      </c>
      <c r="C41" s="4"/>
      <c r="D41" s="4"/>
      <c r="E41" s="4"/>
      <c r="F41" s="4"/>
      <c r="G41" s="4" t="s">
        <v>33</v>
      </c>
      <c r="H41" s="4" t="s">
        <v>18</v>
      </c>
      <c r="I41" s="4" t="s">
        <v>14</v>
      </c>
      <c r="J41" s="3" t="s">
        <v>39</v>
      </c>
      <c r="K41" s="3"/>
      <c r="L41" s="3" t="s">
        <v>33</v>
      </c>
      <c r="M41" s="3" t="s">
        <v>375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12.75" x14ac:dyDescent="0.2">
      <c r="A42" s="4">
        <v>41</v>
      </c>
      <c r="B42" s="5" t="s">
        <v>102</v>
      </c>
      <c r="C42" s="4"/>
      <c r="D42" s="4"/>
      <c r="E42" s="4"/>
      <c r="F42" s="4"/>
      <c r="G42" s="4" t="s">
        <v>33</v>
      </c>
      <c r="H42" s="4" t="s">
        <v>13</v>
      </c>
      <c r="I42" s="4" t="s">
        <v>14</v>
      </c>
      <c r="J42" s="3" t="s">
        <v>29</v>
      </c>
      <c r="K42" s="3" t="s">
        <v>38</v>
      </c>
      <c r="L42" s="3" t="s">
        <v>33</v>
      </c>
      <c r="M42" s="3" t="s">
        <v>375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2.75" x14ac:dyDescent="0.2">
      <c r="A43" s="4">
        <v>42</v>
      </c>
      <c r="B43" s="5" t="s">
        <v>103</v>
      </c>
      <c r="C43" s="4"/>
      <c r="D43" s="4"/>
      <c r="E43" s="4"/>
      <c r="F43" s="4"/>
      <c r="G43" s="4" t="s">
        <v>17</v>
      </c>
      <c r="H43" s="4" t="s">
        <v>13</v>
      </c>
      <c r="I43" s="4" t="s">
        <v>19</v>
      </c>
      <c r="J43" s="3" t="s">
        <v>29</v>
      </c>
      <c r="K43" s="3" t="s">
        <v>38</v>
      </c>
      <c r="L43" s="3" t="s">
        <v>24</v>
      </c>
      <c r="M43" s="3" t="s">
        <v>375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12.75" x14ac:dyDescent="0.2">
      <c r="A44" s="4">
        <v>43</v>
      </c>
      <c r="B44" s="5" t="s">
        <v>104</v>
      </c>
      <c r="C44" s="4"/>
      <c r="D44" s="4"/>
      <c r="E44" s="4"/>
      <c r="F44" s="4"/>
      <c r="G44" s="4" t="s">
        <v>33</v>
      </c>
      <c r="H44" s="4" t="s">
        <v>18</v>
      </c>
      <c r="I44" s="4" t="s">
        <v>14</v>
      </c>
      <c r="J44" s="3" t="s">
        <v>20</v>
      </c>
      <c r="K44" s="3"/>
      <c r="L44" s="3" t="s">
        <v>33</v>
      </c>
      <c r="M44" s="3" t="s">
        <v>375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12.75" x14ac:dyDescent="0.2">
      <c r="A45" s="4">
        <v>44</v>
      </c>
      <c r="B45" s="5" t="s">
        <v>105</v>
      </c>
      <c r="C45" s="4"/>
      <c r="D45" s="4"/>
      <c r="E45" s="4"/>
      <c r="F45" s="4"/>
      <c r="G45" s="4" t="s">
        <v>1</v>
      </c>
      <c r="H45" s="4" t="s">
        <v>18</v>
      </c>
      <c r="I45" s="4"/>
      <c r="J45" s="3" t="s">
        <v>20</v>
      </c>
      <c r="K45" s="3"/>
      <c r="L45" s="3" t="s">
        <v>37</v>
      </c>
      <c r="M45" s="3" t="s">
        <v>375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12.75" x14ac:dyDescent="0.2">
      <c r="A46" s="4">
        <v>45</v>
      </c>
      <c r="B46" s="5" t="s">
        <v>106</v>
      </c>
      <c r="C46" s="4"/>
      <c r="D46" s="4"/>
      <c r="E46" s="4"/>
      <c r="F46" s="4"/>
      <c r="G46" s="4" t="s">
        <v>12</v>
      </c>
      <c r="H46" s="4" t="s">
        <v>18</v>
      </c>
      <c r="I46" s="4" t="s">
        <v>14</v>
      </c>
      <c r="J46" s="3" t="s">
        <v>20</v>
      </c>
      <c r="K46" s="3"/>
      <c r="L46" s="3" t="s">
        <v>16</v>
      </c>
      <c r="M46" s="3" t="s">
        <v>375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2.75" x14ac:dyDescent="0.2">
      <c r="A47" s="4">
        <v>46</v>
      </c>
      <c r="B47" s="5" t="s">
        <v>107</v>
      </c>
      <c r="C47" s="4"/>
      <c r="D47" s="4"/>
      <c r="E47" s="4"/>
      <c r="F47" s="4"/>
      <c r="G47" s="4" t="s">
        <v>1</v>
      </c>
      <c r="H47" s="4" t="s">
        <v>18</v>
      </c>
      <c r="I47" s="4"/>
      <c r="J47" s="3" t="s">
        <v>34</v>
      </c>
      <c r="K47" s="3"/>
      <c r="L47" s="3" t="s">
        <v>37</v>
      </c>
      <c r="M47" s="3" t="s">
        <v>375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2.75" x14ac:dyDescent="0.2">
      <c r="A48" s="4">
        <v>47</v>
      </c>
      <c r="B48" s="5" t="s">
        <v>108</v>
      </c>
      <c r="C48" s="4"/>
      <c r="D48" s="4"/>
      <c r="E48" s="4"/>
      <c r="F48" s="4"/>
      <c r="G48" s="4" t="s">
        <v>12</v>
      </c>
      <c r="H48" s="4" t="s">
        <v>18</v>
      </c>
      <c r="I48" s="4" t="s">
        <v>14</v>
      </c>
      <c r="J48" s="3" t="s">
        <v>34</v>
      </c>
      <c r="K48" s="3"/>
      <c r="L48" s="3" t="s">
        <v>16</v>
      </c>
      <c r="M48" s="3" t="s">
        <v>375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2.75" x14ac:dyDescent="0.2">
      <c r="A49" s="4">
        <v>48</v>
      </c>
      <c r="B49" s="5" t="s">
        <v>109</v>
      </c>
      <c r="C49" s="4"/>
      <c r="D49" s="4"/>
      <c r="E49" s="4"/>
      <c r="F49" s="4"/>
      <c r="G49" s="4" t="s">
        <v>17</v>
      </c>
      <c r="H49" s="4" t="s">
        <v>13</v>
      </c>
      <c r="I49" s="4" t="s">
        <v>19</v>
      </c>
      <c r="J49" s="3" t="s">
        <v>29</v>
      </c>
      <c r="K49" s="3" t="s">
        <v>40</v>
      </c>
      <c r="L49" s="3" t="s">
        <v>24</v>
      </c>
      <c r="M49" s="3" t="s">
        <v>375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2.75" x14ac:dyDescent="0.2">
      <c r="A50" s="4">
        <v>49</v>
      </c>
      <c r="B50" s="5" t="s">
        <v>110</v>
      </c>
      <c r="C50" s="4"/>
      <c r="D50" s="4"/>
      <c r="E50" s="4"/>
      <c r="F50" s="4"/>
      <c r="G50" s="4" t="s">
        <v>17</v>
      </c>
      <c r="H50" s="4" t="s">
        <v>13</v>
      </c>
      <c r="I50" s="4" t="s">
        <v>19</v>
      </c>
      <c r="J50" s="3" t="s">
        <v>29</v>
      </c>
      <c r="K50" s="3" t="s">
        <v>15</v>
      </c>
      <c r="L50" s="3" t="s">
        <v>22</v>
      </c>
      <c r="M50" s="3" t="s">
        <v>375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2.75" x14ac:dyDescent="0.2">
      <c r="A51" s="4">
        <v>50</v>
      </c>
      <c r="B51" s="5" t="s">
        <v>111</v>
      </c>
      <c r="C51" s="4"/>
      <c r="D51" s="4"/>
      <c r="E51" s="4"/>
      <c r="F51" s="4"/>
      <c r="G51" s="4" t="s">
        <v>17</v>
      </c>
      <c r="H51" s="4" t="s">
        <v>13</v>
      </c>
      <c r="I51" s="4" t="s">
        <v>19</v>
      </c>
      <c r="J51" s="3" t="s">
        <v>29</v>
      </c>
      <c r="K51" s="3" t="s">
        <v>15</v>
      </c>
      <c r="L51" s="3" t="s">
        <v>22</v>
      </c>
      <c r="M51" s="3" t="s">
        <v>375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2.75" x14ac:dyDescent="0.2">
      <c r="A52" s="4">
        <v>51</v>
      </c>
      <c r="B52" s="5" t="s">
        <v>112</v>
      </c>
      <c r="C52" s="4"/>
      <c r="D52" s="4"/>
      <c r="E52" s="4"/>
      <c r="F52" s="4"/>
      <c r="G52" s="4" t="s">
        <v>17</v>
      </c>
      <c r="H52" s="4" t="s">
        <v>13</v>
      </c>
      <c r="I52" s="4" t="s">
        <v>26</v>
      </c>
      <c r="J52" s="3" t="s">
        <v>29</v>
      </c>
      <c r="K52" s="3" t="s">
        <v>15</v>
      </c>
      <c r="L52" s="3" t="s">
        <v>22</v>
      </c>
      <c r="M52" s="3" t="s">
        <v>375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2.75" x14ac:dyDescent="0.2">
      <c r="A53" s="4">
        <v>52</v>
      </c>
      <c r="B53" s="5" t="s">
        <v>113</v>
      </c>
      <c r="C53" s="4"/>
      <c r="D53" s="4"/>
      <c r="E53" s="4"/>
      <c r="F53" s="4"/>
      <c r="G53" s="4" t="s">
        <v>1</v>
      </c>
      <c r="H53" s="4" t="s">
        <v>18</v>
      </c>
      <c r="I53" s="4"/>
      <c r="J53" s="3" t="s">
        <v>39</v>
      </c>
      <c r="K53" s="3"/>
      <c r="L53" s="3" t="s">
        <v>37</v>
      </c>
      <c r="M53" s="3" t="s">
        <v>375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2.75" x14ac:dyDescent="0.2">
      <c r="A54" s="4">
        <v>53</v>
      </c>
      <c r="B54" s="5" t="s">
        <v>114</v>
      </c>
      <c r="C54" s="4"/>
      <c r="D54" s="4"/>
      <c r="E54" s="4"/>
      <c r="F54" s="4"/>
      <c r="G54" s="4" t="s">
        <v>33</v>
      </c>
      <c r="H54" s="4" t="s">
        <v>18</v>
      </c>
      <c r="I54" s="4" t="s">
        <v>14</v>
      </c>
      <c r="J54" s="3" t="s">
        <v>23</v>
      </c>
      <c r="K54" s="3"/>
      <c r="L54" s="3" t="s">
        <v>33</v>
      </c>
      <c r="M54" s="3" t="s">
        <v>375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2.75" x14ac:dyDescent="0.2">
      <c r="A55" s="4">
        <v>54</v>
      </c>
      <c r="B55" s="5" t="s">
        <v>115</v>
      </c>
      <c r="C55" s="4"/>
      <c r="D55" s="4"/>
      <c r="E55" s="4"/>
      <c r="F55" s="4"/>
      <c r="G55" s="4" t="s">
        <v>1</v>
      </c>
      <c r="H55" s="4" t="s">
        <v>18</v>
      </c>
      <c r="I55" s="4"/>
      <c r="J55" s="3" t="s">
        <v>20</v>
      </c>
      <c r="K55" s="3"/>
      <c r="L55" s="3" t="s">
        <v>37</v>
      </c>
      <c r="M55" s="3" t="s">
        <v>375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2.75" x14ac:dyDescent="0.2">
      <c r="A56" s="4">
        <v>55</v>
      </c>
      <c r="B56" s="5" t="s">
        <v>116</v>
      </c>
      <c r="C56" s="4"/>
      <c r="D56" s="4"/>
      <c r="E56" s="4"/>
      <c r="F56" s="4"/>
      <c r="G56" s="4" t="s">
        <v>17</v>
      </c>
      <c r="H56" s="4" t="s">
        <v>18</v>
      </c>
      <c r="I56" s="4" t="s">
        <v>19</v>
      </c>
      <c r="J56" s="3" t="s">
        <v>23</v>
      </c>
      <c r="K56" s="3"/>
      <c r="L56" s="3" t="s">
        <v>27</v>
      </c>
      <c r="M56" s="3" t="s">
        <v>376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2.75" x14ac:dyDescent="0.2">
      <c r="A57" s="4">
        <v>56</v>
      </c>
      <c r="B57" s="5" t="s">
        <v>117</v>
      </c>
      <c r="C57" s="4"/>
      <c r="D57" s="4"/>
      <c r="E57" s="4"/>
      <c r="F57" s="4"/>
      <c r="G57" s="4" t="s">
        <v>17</v>
      </c>
      <c r="H57" s="4" t="s">
        <v>18</v>
      </c>
      <c r="I57" s="4" t="s">
        <v>26</v>
      </c>
      <c r="J57" s="3" t="s">
        <v>34</v>
      </c>
      <c r="K57" s="3"/>
      <c r="L57" s="3" t="s">
        <v>22</v>
      </c>
      <c r="M57" s="3" t="s">
        <v>375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2.75" x14ac:dyDescent="0.2">
      <c r="A58" s="4">
        <v>57</v>
      </c>
      <c r="B58" s="5" t="s">
        <v>118</v>
      </c>
      <c r="C58" s="4"/>
      <c r="D58" s="4"/>
      <c r="E58" s="4"/>
      <c r="F58" s="4"/>
      <c r="G58" s="4" t="s">
        <v>1</v>
      </c>
      <c r="H58" s="4" t="s">
        <v>18</v>
      </c>
      <c r="I58" s="4"/>
      <c r="J58" s="3" t="s">
        <v>20</v>
      </c>
      <c r="K58" s="3"/>
      <c r="L58" s="3" t="s">
        <v>37</v>
      </c>
      <c r="M58" s="3" t="s">
        <v>377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2.75" x14ac:dyDescent="0.2">
      <c r="A59" s="4">
        <v>58</v>
      </c>
      <c r="B59" s="5" t="s">
        <v>119</v>
      </c>
      <c r="C59" s="4"/>
      <c r="D59" s="4"/>
      <c r="E59" s="4"/>
      <c r="F59" s="4"/>
      <c r="G59" s="4" t="s">
        <v>17</v>
      </c>
      <c r="H59" s="4" t="s">
        <v>13</v>
      </c>
      <c r="I59" s="4" t="s">
        <v>19</v>
      </c>
      <c r="J59" s="3" t="s">
        <v>29</v>
      </c>
      <c r="K59" s="3" t="s">
        <v>41</v>
      </c>
      <c r="L59" s="3" t="s">
        <v>24</v>
      </c>
      <c r="M59" s="3" t="s">
        <v>375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2.75" x14ac:dyDescent="0.2">
      <c r="A60" s="4">
        <v>59</v>
      </c>
      <c r="B60" s="5" t="s">
        <v>120</v>
      </c>
      <c r="C60" s="4"/>
      <c r="D60" s="4"/>
      <c r="E60" s="4"/>
      <c r="F60" s="4"/>
      <c r="G60" s="4" t="s">
        <v>17</v>
      </c>
      <c r="H60" s="4" t="s">
        <v>18</v>
      </c>
      <c r="I60" s="4" t="s">
        <v>19</v>
      </c>
      <c r="J60" s="3" t="s">
        <v>23</v>
      </c>
      <c r="K60" s="3"/>
      <c r="L60" s="3" t="s">
        <v>27</v>
      </c>
      <c r="M60" s="3" t="s">
        <v>376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2.75" x14ac:dyDescent="0.2">
      <c r="A61" s="4">
        <v>60</v>
      </c>
      <c r="B61" s="5" t="s">
        <v>121</v>
      </c>
      <c r="C61" s="4"/>
      <c r="D61" s="4"/>
      <c r="E61" s="4"/>
      <c r="F61" s="4"/>
      <c r="G61" s="4" t="s">
        <v>17</v>
      </c>
      <c r="H61" s="4" t="s">
        <v>18</v>
      </c>
      <c r="I61" s="4" t="s">
        <v>19</v>
      </c>
      <c r="J61" s="3" t="s">
        <v>39</v>
      </c>
      <c r="K61" s="3"/>
      <c r="L61" s="3" t="s">
        <v>24</v>
      </c>
      <c r="M61" s="3" t="s">
        <v>375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2.75" x14ac:dyDescent="0.2">
      <c r="A62" s="4">
        <v>61</v>
      </c>
      <c r="B62" s="5" t="s">
        <v>122</v>
      </c>
      <c r="C62" s="4"/>
      <c r="D62" s="4"/>
      <c r="E62" s="4"/>
      <c r="F62" s="4"/>
      <c r="G62" s="4" t="s">
        <v>33</v>
      </c>
      <c r="H62" s="4" t="s">
        <v>13</v>
      </c>
      <c r="I62" s="4" t="s">
        <v>14</v>
      </c>
      <c r="J62" s="3" t="s">
        <v>29</v>
      </c>
      <c r="K62" s="3" t="s">
        <v>42</v>
      </c>
      <c r="L62" s="3" t="s">
        <v>33</v>
      </c>
      <c r="M62" s="3" t="s">
        <v>375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2.75" x14ac:dyDescent="0.2">
      <c r="A63" s="4">
        <v>62</v>
      </c>
      <c r="B63" s="5" t="s">
        <v>123</v>
      </c>
      <c r="C63" s="4"/>
      <c r="D63" s="4"/>
      <c r="E63" s="4"/>
      <c r="F63" s="4"/>
      <c r="G63" s="4" t="s">
        <v>12</v>
      </c>
      <c r="H63" s="4" t="s">
        <v>18</v>
      </c>
      <c r="I63" s="4" t="s">
        <v>14</v>
      </c>
      <c r="J63" s="3" t="s">
        <v>20</v>
      </c>
      <c r="K63" s="3"/>
      <c r="L63" s="3" t="s">
        <v>16</v>
      </c>
      <c r="M63" s="3" t="s">
        <v>375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2.75" x14ac:dyDescent="0.2">
      <c r="A64" s="4">
        <v>63</v>
      </c>
      <c r="B64" s="5" t="s">
        <v>124</v>
      </c>
      <c r="C64" s="4"/>
      <c r="D64" s="4"/>
      <c r="E64" s="4"/>
      <c r="F64" s="4"/>
      <c r="G64" s="4" t="s">
        <v>33</v>
      </c>
      <c r="H64" s="4" t="s">
        <v>18</v>
      </c>
      <c r="I64" s="4" t="s">
        <v>14</v>
      </c>
      <c r="J64" s="3" t="s">
        <v>20</v>
      </c>
      <c r="K64" s="3"/>
      <c r="L64" s="3" t="s">
        <v>33</v>
      </c>
      <c r="M64" s="3" t="s">
        <v>375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2.75" x14ac:dyDescent="0.2">
      <c r="A65" s="4">
        <v>64</v>
      </c>
      <c r="B65" s="5" t="s">
        <v>125</v>
      </c>
      <c r="C65" s="4"/>
      <c r="D65" s="4"/>
      <c r="E65" s="4"/>
      <c r="F65" s="4"/>
      <c r="G65" s="4" t="s">
        <v>17</v>
      </c>
      <c r="H65" s="4" t="s">
        <v>18</v>
      </c>
      <c r="I65" s="4" t="s">
        <v>19</v>
      </c>
      <c r="J65" s="3" t="s">
        <v>20</v>
      </c>
      <c r="K65" s="3"/>
      <c r="L65" s="3" t="s">
        <v>22</v>
      </c>
      <c r="M65" s="3" t="s">
        <v>375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2.75" x14ac:dyDescent="0.2">
      <c r="A66" s="4">
        <v>65</v>
      </c>
      <c r="B66" s="5" t="s">
        <v>126</v>
      </c>
      <c r="C66" s="4"/>
      <c r="D66" s="4"/>
      <c r="E66" s="4"/>
      <c r="F66" s="4"/>
      <c r="G66" s="4" t="s">
        <v>1</v>
      </c>
      <c r="H66" s="4" t="s">
        <v>18</v>
      </c>
      <c r="I66" s="4" t="s">
        <v>19</v>
      </c>
      <c r="J66" s="3" t="s">
        <v>20</v>
      </c>
      <c r="K66" s="3"/>
      <c r="L66" s="3" t="s">
        <v>37</v>
      </c>
      <c r="M66" s="3" t="s">
        <v>375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2.75" x14ac:dyDescent="0.2">
      <c r="A67" s="4">
        <v>66</v>
      </c>
      <c r="B67" s="5" t="s">
        <v>127</v>
      </c>
      <c r="C67" s="4"/>
      <c r="D67" s="4"/>
      <c r="E67" s="4"/>
      <c r="F67" s="4"/>
      <c r="G67" s="4" t="s">
        <v>1</v>
      </c>
      <c r="H67" s="4" t="s">
        <v>18</v>
      </c>
      <c r="I67" s="4" t="s">
        <v>19</v>
      </c>
      <c r="J67" s="3" t="s">
        <v>20</v>
      </c>
      <c r="K67" s="3"/>
      <c r="L67" s="3" t="s">
        <v>37</v>
      </c>
      <c r="M67" s="3" t="s">
        <v>375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2.75" x14ac:dyDescent="0.2">
      <c r="A68" s="4">
        <v>67</v>
      </c>
      <c r="B68" s="5" t="s">
        <v>128</v>
      </c>
      <c r="C68" s="4"/>
      <c r="D68" s="4"/>
      <c r="E68" s="4"/>
      <c r="F68" s="4"/>
      <c r="G68" s="4" t="s">
        <v>12</v>
      </c>
      <c r="H68" s="4" t="s">
        <v>18</v>
      </c>
      <c r="I68" s="4" t="s">
        <v>14</v>
      </c>
      <c r="J68" s="3" t="s">
        <v>34</v>
      </c>
      <c r="K68" s="3"/>
      <c r="L68" s="3" t="s">
        <v>16</v>
      </c>
      <c r="M68" s="3" t="s">
        <v>375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2.75" x14ac:dyDescent="0.2">
      <c r="A69" s="4">
        <v>68</v>
      </c>
      <c r="B69" s="5" t="s">
        <v>129</v>
      </c>
      <c r="C69" s="4"/>
      <c r="D69" s="4"/>
      <c r="E69" s="4"/>
      <c r="F69" s="4"/>
      <c r="G69" s="4" t="s">
        <v>12</v>
      </c>
      <c r="H69" s="4" t="s">
        <v>18</v>
      </c>
      <c r="I69" s="4" t="s">
        <v>14</v>
      </c>
      <c r="J69" s="3" t="s">
        <v>20</v>
      </c>
      <c r="K69" s="3"/>
      <c r="L69" s="3" t="s">
        <v>16</v>
      </c>
      <c r="M69" s="3" t="s">
        <v>375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2.75" x14ac:dyDescent="0.2">
      <c r="A70" s="4">
        <v>69</v>
      </c>
      <c r="B70" s="5" t="s">
        <v>130</v>
      </c>
      <c r="C70" s="4"/>
      <c r="D70" s="4"/>
      <c r="E70" s="4"/>
      <c r="F70" s="4"/>
      <c r="G70" s="4" t="s">
        <v>12</v>
      </c>
      <c r="H70" s="4" t="s">
        <v>0</v>
      </c>
      <c r="I70" s="4" t="s">
        <v>14</v>
      </c>
      <c r="J70" s="3"/>
      <c r="K70" s="3"/>
      <c r="L70" s="3" t="s">
        <v>16</v>
      </c>
      <c r="M70" s="3" t="s">
        <v>375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2.75" x14ac:dyDescent="0.2">
      <c r="A71" s="4">
        <v>70</v>
      </c>
      <c r="B71" s="5" t="s">
        <v>131</v>
      </c>
      <c r="C71" s="4"/>
      <c r="D71" s="4"/>
      <c r="E71" s="4"/>
      <c r="F71" s="4"/>
      <c r="G71" s="4" t="s">
        <v>12</v>
      </c>
      <c r="H71" s="4" t="s">
        <v>0</v>
      </c>
      <c r="I71" s="4" t="s">
        <v>14</v>
      </c>
      <c r="J71" s="3"/>
      <c r="K71" s="3"/>
      <c r="L71" s="3" t="s">
        <v>16</v>
      </c>
      <c r="M71" s="3" t="s">
        <v>375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2.75" x14ac:dyDescent="0.2">
      <c r="A72" s="4">
        <v>71</v>
      </c>
      <c r="B72" s="5" t="s">
        <v>132</v>
      </c>
      <c r="C72" s="4"/>
      <c r="D72" s="4"/>
      <c r="E72" s="4"/>
      <c r="F72" s="4"/>
      <c r="G72" s="4" t="s">
        <v>31</v>
      </c>
      <c r="H72" s="4" t="s">
        <v>0</v>
      </c>
      <c r="I72" s="4" t="s">
        <v>14</v>
      </c>
      <c r="J72" s="3"/>
      <c r="K72" s="3"/>
      <c r="L72" s="3" t="s">
        <v>32</v>
      </c>
      <c r="M72" s="3" t="s">
        <v>375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2.75" x14ac:dyDescent="0.2">
      <c r="A73" s="4">
        <v>72</v>
      </c>
      <c r="B73" s="5" t="s">
        <v>133</v>
      </c>
      <c r="C73" s="4"/>
      <c r="D73" s="4"/>
      <c r="E73" s="4"/>
      <c r="F73" s="4"/>
      <c r="G73" s="4" t="s">
        <v>12</v>
      </c>
      <c r="H73" s="4" t="s">
        <v>0</v>
      </c>
      <c r="I73" s="4" t="s">
        <v>14</v>
      </c>
      <c r="J73" s="3"/>
      <c r="K73" s="3"/>
      <c r="L73" s="3" t="s">
        <v>16</v>
      </c>
      <c r="M73" s="3" t="s">
        <v>375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2.75" x14ac:dyDescent="0.2">
      <c r="A74" s="4">
        <v>73</v>
      </c>
      <c r="B74" s="5" t="s">
        <v>134</v>
      </c>
      <c r="C74" s="4"/>
      <c r="D74" s="4"/>
      <c r="E74" s="4"/>
      <c r="F74" s="4"/>
      <c r="G74" s="4" t="s">
        <v>12</v>
      </c>
      <c r="H74" s="4" t="s">
        <v>0</v>
      </c>
      <c r="I74" s="4" t="s">
        <v>14</v>
      </c>
      <c r="J74" s="3"/>
      <c r="K74" s="3"/>
      <c r="L74" s="3" t="s">
        <v>16</v>
      </c>
      <c r="M74" s="3" t="s">
        <v>375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2.75" x14ac:dyDescent="0.2">
      <c r="A75" s="4">
        <v>74</v>
      </c>
      <c r="B75" s="5" t="s">
        <v>135</v>
      </c>
      <c r="C75" s="4"/>
      <c r="D75" s="4"/>
      <c r="E75" s="4"/>
      <c r="F75" s="4"/>
      <c r="G75" s="4" t="s">
        <v>12</v>
      </c>
      <c r="H75" s="4" t="s">
        <v>0</v>
      </c>
      <c r="I75" s="4" t="s">
        <v>14</v>
      </c>
      <c r="J75" s="3"/>
      <c r="K75" s="3"/>
      <c r="L75" s="3" t="s">
        <v>16</v>
      </c>
      <c r="M75" s="3" t="s">
        <v>375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2.75" x14ac:dyDescent="0.2">
      <c r="A76" s="4">
        <v>75</v>
      </c>
      <c r="B76" s="5" t="s">
        <v>136</v>
      </c>
      <c r="C76" s="4"/>
      <c r="D76" s="4"/>
      <c r="E76" s="4"/>
      <c r="F76" s="4"/>
      <c r="G76" s="4" t="s">
        <v>12</v>
      </c>
      <c r="H76" s="4" t="s">
        <v>0</v>
      </c>
      <c r="I76" s="4" t="s">
        <v>14</v>
      </c>
      <c r="J76" s="3"/>
      <c r="K76" s="3"/>
      <c r="L76" s="3" t="s">
        <v>16</v>
      </c>
      <c r="M76" s="3" t="s">
        <v>375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2.75" x14ac:dyDescent="0.2">
      <c r="A77" s="4">
        <v>76</v>
      </c>
      <c r="B77" s="5" t="s">
        <v>137</v>
      </c>
      <c r="C77" s="4"/>
      <c r="D77" s="4"/>
      <c r="E77" s="4"/>
      <c r="F77" s="4"/>
      <c r="G77" s="4" t="s">
        <v>12</v>
      </c>
      <c r="H77" s="4" t="s">
        <v>0</v>
      </c>
      <c r="I77" s="4" t="s">
        <v>14</v>
      </c>
      <c r="J77" s="3"/>
      <c r="K77" s="3"/>
      <c r="L77" s="3" t="s">
        <v>16</v>
      </c>
      <c r="M77" s="3" t="s">
        <v>375</v>
      </c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2.75" x14ac:dyDescent="0.2">
      <c r="A78" s="4">
        <v>77</v>
      </c>
      <c r="B78" s="5" t="s">
        <v>138</v>
      </c>
      <c r="C78" s="4"/>
      <c r="D78" s="4"/>
      <c r="E78" s="4"/>
      <c r="F78" s="4"/>
      <c r="G78" s="4" t="s">
        <v>17</v>
      </c>
      <c r="H78" s="4" t="s">
        <v>18</v>
      </c>
      <c r="I78" s="4" t="s">
        <v>19</v>
      </c>
      <c r="J78" s="3" t="s">
        <v>23</v>
      </c>
      <c r="K78" s="3"/>
      <c r="L78" s="3" t="s">
        <v>24</v>
      </c>
      <c r="M78" s="3" t="s">
        <v>376</v>
      </c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2.75" x14ac:dyDescent="0.2">
      <c r="A79" s="4">
        <v>78</v>
      </c>
      <c r="B79" s="5" t="s">
        <v>139</v>
      </c>
      <c r="C79" s="4"/>
      <c r="D79" s="4"/>
      <c r="E79" s="4"/>
      <c r="F79" s="4"/>
      <c r="G79" s="4" t="s">
        <v>12</v>
      </c>
      <c r="H79" s="4" t="s">
        <v>0</v>
      </c>
      <c r="I79" s="4" t="s">
        <v>14</v>
      </c>
      <c r="J79" s="3"/>
      <c r="K79" s="3"/>
      <c r="L79" s="3" t="s">
        <v>16</v>
      </c>
      <c r="M79" s="3" t="s">
        <v>375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2.75" x14ac:dyDescent="0.2">
      <c r="A80" s="4">
        <v>79</v>
      </c>
      <c r="B80" s="5" t="s">
        <v>140</v>
      </c>
      <c r="C80" s="4"/>
      <c r="D80" s="4"/>
      <c r="E80" s="4"/>
      <c r="F80" s="4"/>
      <c r="G80" s="4" t="s">
        <v>31</v>
      </c>
      <c r="H80" s="4" t="s">
        <v>0</v>
      </c>
      <c r="I80" s="4" t="s">
        <v>14</v>
      </c>
      <c r="J80" s="3"/>
      <c r="K80" s="3"/>
      <c r="L80" s="3" t="s">
        <v>32</v>
      </c>
      <c r="M80" s="3" t="s">
        <v>375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2.75" x14ac:dyDescent="0.2">
      <c r="A81" s="4">
        <v>80</v>
      </c>
      <c r="B81" s="5" t="s">
        <v>141</v>
      </c>
      <c r="C81" s="4"/>
      <c r="D81" s="4"/>
      <c r="E81" s="4"/>
      <c r="F81" s="4"/>
      <c r="G81" s="4" t="s">
        <v>12</v>
      </c>
      <c r="H81" s="4" t="s">
        <v>0</v>
      </c>
      <c r="I81" s="4" t="s">
        <v>14</v>
      </c>
      <c r="J81" s="3"/>
      <c r="K81" s="3"/>
      <c r="L81" s="3" t="s">
        <v>16</v>
      </c>
      <c r="M81" s="3" t="s">
        <v>376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2.75" x14ac:dyDescent="0.2">
      <c r="A82" s="4">
        <v>81</v>
      </c>
      <c r="B82" s="5" t="s">
        <v>142</v>
      </c>
      <c r="C82" s="4"/>
      <c r="D82" s="4"/>
      <c r="E82" s="4"/>
      <c r="F82" s="4"/>
      <c r="G82" s="4" t="s">
        <v>31</v>
      </c>
      <c r="H82" s="4" t="s">
        <v>0</v>
      </c>
      <c r="I82" s="4" t="s">
        <v>14</v>
      </c>
      <c r="J82" s="3"/>
      <c r="K82" s="3"/>
      <c r="L82" s="3" t="s">
        <v>32</v>
      </c>
      <c r="M82" s="3" t="s">
        <v>375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2.75" x14ac:dyDescent="0.2">
      <c r="A83" s="4">
        <v>82</v>
      </c>
      <c r="B83" s="5" t="s">
        <v>143</v>
      </c>
      <c r="C83" s="4"/>
      <c r="D83" s="4"/>
      <c r="E83" s="4"/>
      <c r="F83" s="4"/>
      <c r="G83" s="4" t="s">
        <v>31</v>
      </c>
      <c r="H83" s="4" t="s">
        <v>0</v>
      </c>
      <c r="I83" s="4" t="s">
        <v>14</v>
      </c>
      <c r="J83" s="3"/>
      <c r="K83" s="3"/>
      <c r="L83" s="3" t="s">
        <v>32</v>
      </c>
      <c r="M83" s="3" t="s">
        <v>375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2.75" x14ac:dyDescent="0.2">
      <c r="A84" s="4">
        <v>83</v>
      </c>
      <c r="B84" s="5" t="s">
        <v>144</v>
      </c>
      <c r="C84" s="4"/>
      <c r="D84" s="4"/>
      <c r="E84" s="4"/>
      <c r="F84" s="4"/>
      <c r="G84" s="4" t="s">
        <v>12</v>
      </c>
      <c r="H84" s="4" t="s">
        <v>0</v>
      </c>
      <c r="I84" s="4" t="s">
        <v>14</v>
      </c>
      <c r="J84" s="3"/>
      <c r="K84" s="3"/>
      <c r="L84" s="3" t="s">
        <v>16</v>
      </c>
      <c r="M84" s="3" t="s">
        <v>375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2.75" x14ac:dyDescent="0.2">
      <c r="A85" s="4">
        <v>84</v>
      </c>
      <c r="B85" s="5" t="s">
        <v>145</v>
      </c>
      <c r="C85" s="4"/>
      <c r="D85" s="4"/>
      <c r="E85" s="4"/>
      <c r="F85" s="4"/>
      <c r="G85" s="4" t="s">
        <v>31</v>
      </c>
      <c r="H85" s="4" t="s">
        <v>0</v>
      </c>
      <c r="I85" s="4" t="s">
        <v>14</v>
      </c>
      <c r="J85" s="3"/>
      <c r="K85" s="3"/>
      <c r="L85" s="3" t="s">
        <v>32</v>
      </c>
      <c r="M85" s="3" t="s">
        <v>375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2.75" x14ac:dyDescent="0.2">
      <c r="A86" s="4">
        <v>85</v>
      </c>
      <c r="B86" s="5" t="s">
        <v>146</v>
      </c>
      <c r="C86" s="4"/>
      <c r="D86" s="4"/>
      <c r="E86" s="4"/>
      <c r="F86" s="4"/>
      <c r="G86" s="4" t="s">
        <v>33</v>
      </c>
      <c r="H86" s="4" t="s">
        <v>18</v>
      </c>
      <c r="I86" s="4" t="s">
        <v>14</v>
      </c>
      <c r="J86" s="3" t="s">
        <v>20</v>
      </c>
      <c r="K86" s="3"/>
      <c r="L86" s="3" t="s">
        <v>33</v>
      </c>
      <c r="M86" s="3" t="s">
        <v>375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2.75" x14ac:dyDescent="0.2">
      <c r="A87" s="4">
        <v>86</v>
      </c>
      <c r="B87" s="5" t="s">
        <v>147</v>
      </c>
      <c r="C87" s="4"/>
      <c r="D87" s="4"/>
      <c r="E87" s="4"/>
      <c r="F87" s="4"/>
      <c r="G87" s="4" t="s">
        <v>33</v>
      </c>
      <c r="H87" s="4" t="s">
        <v>13</v>
      </c>
      <c r="I87" s="4" t="s">
        <v>14</v>
      </c>
      <c r="J87" s="3" t="s">
        <v>29</v>
      </c>
      <c r="K87" s="3" t="s">
        <v>43</v>
      </c>
      <c r="L87" s="3" t="s">
        <v>33</v>
      </c>
      <c r="M87" s="3" t="s">
        <v>375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2.75" x14ac:dyDescent="0.2">
      <c r="A88" s="4">
        <v>87</v>
      </c>
      <c r="B88" s="5" t="s">
        <v>148</v>
      </c>
      <c r="C88" s="4"/>
      <c r="D88" s="4"/>
      <c r="E88" s="4"/>
      <c r="F88" s="4"/>
      <c r="G88" s="4" t="s">
        <v>12</v>
      </c>
      <c r="H88" s="4" t="s">
        <v>18</v>
      </c>
      <c r="I88" s="4" t="s">
        <v>14</v>
      </c>
      <c r="J88" s="3" t="s">
        <v>39</v>
      </c>
      <c r="K88" s="3"/>
      <c r="L88" s="3" t="s">
        <v>16</v>
      </c>
      <c r="M88" s="3" t="s">
        <v>375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2.75" x14ac:dyDescent="0.2">
      <c r="A89" s="4">
        <v>88</v>
      </c>
      <c r="B89" s="5" t="s">
        <v>149</v>
      </c>
      <c r="C89" s="4"/>
      <c r="D89" s="4"/>
      <c r="E89" s="4"/>
      <c r="F89" s="4"/>
      <c r="G89" s="4" t="s">
        <v>33</v>
      </c>
      <c r="H89" s="4" t="s">
        <v>18</v>
      </c>
      <c r="I89" s="4" t="s">
        <v>14</v>
      </c>
      <c r="J89" s="3" t="s">
        <v>34</v>
      </c>
      <c r="K89" s="3"/>
      <c r="L89" s="3" t="s">
        <v>33</v>
      </c>
      <c r="M89" s="3" t="s">
        <v>375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2.75" x14ac:dyDescent="0.2">
      <c r="A90" s="4">
        <v>89</v>
      </c>
      <c r="B90" s="5" t="s">
        <v>150</v>
      </c>
      <c r="C90" s="4"/>
      <c r="D90" s="4"/>
      <c r="E90" s="4"/>
      <c r="F90" s="4"/>
      <c r="G90" s="4" t="s">
        <v>33</v>
      </c>
      <c r="H90" s="4" t="s">
        <v>18</v>
      </c>
      <c r="I90" s="4" t="s">
        <v>14</v>
      </c>
      <c r="J90" s="3" t="s">
        <v>20</v>
      </c>
      <c r="K90" s="3"/>
      <c r="L90" s="3" t="s">
        <v>33</v>
      </c>
      <c r="M90" s="3" t="s">
        <v>375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2.75" x14ac:dyDescent="0.2">
      <c r="A91" s="4">
        <v>90</v>
      </c>
      <c r="B91" s="5" t="s">
        <v>151</v>
      </c>
      <c r="C91" s="4"/>
      <c r="D91" s="4"/>
      <c r="E91" s="4"/>
      <c r="F91" s="4"/>
      <c r="G91" s="4" t="s">
        <v>31</v>
      </c>
      <c r="H91" s="4" t="s">
        <v>18</v>
      </c>
      <c r="I91" s="4" t="s">
        <v>14</v>
      </c>
      <c r="J91" s="3" t="s">
        <v>20</v>
      </c>
      <c r="K91" s="3"/>
      <c r="L91" s="3" t="s">
        <v>32</v>
      </c>
      <c r="M91" s="3" t="s">
        <v>375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2.75" x14ac:dyDescent="0.2">
      <c r="A92" s="4">
        <v>91</v>
      </c>
      <c r="B92" s="5" t="s">
        <v>152</v>
      </c>
      <c r="C92" s="4"/>
      <c r="D92" s="4"/>
      <c r="E92" s="4"/>
      <c r="F92" s="4"/>
      <c r="G92" s="4" t="s">
        <v>17</v>
      </c>
      <c r="H92" s="4" t="s">
        <v>18</v>
      </c>
      <c r="I92" s="4" t="s">
        <v>19</v>
      </c>
      <c r="J92" s="3" t="s">
        <v>20</v>
      </c>
      <c r="K92" s="3"/>
      <c r="L92" s="3" t="s">
        <v>24</v>
      </c>
      <c r="M92" s="3" t="s">
        <v>375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2.75" x14ac:dyDescent="0.2">
      <c r="A93" s="4">
        <v>92</v>
      </c>
      <c r="B93" s="5" t="s">
        <v>153</v>
      </c>
      <c r="C93" s="4"/>
      <c r="D93" s="4"/>
      <c r="E93" s="4"/>
      <c r="F93" s="4"/>
      <c r="G93" s="4" t="s">
        <v>17</v>
      </c>
      <c r="H93" s="4" t="s">
        <v>18</v>
      </c>
      <c r="I93" s="4" t="s">
        <v>19</v>
      </c>
      <c r="J93" s="3" t="s">
        <v>39</v>
      </c>
      <c r="K93" s="3"/>
      <c r="L93" s="3" t="s">
        <v>22</v>
      </c>
      <c r="M93" s="3" t="s">
        <v>375</v>
      </c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2.75" x14ac:dyDescent="0.2">
      <c r="A94" s="4">
        <v>93</v>
      </c>
      <c r="B94" s="5" t="s">
        <v>154</v>
      </c>
      <c r="C94" s="4"/>
      <c r="D94" s="4"/>
      <c r="E94" s="4"/>
      <c r="F94" s="4"/>
      <c r="G94" s="4" t="s">
        <v>33</v>
      </c>
      <c r="H94" s="4" t="s">
        <v>0</v>
      </c>
      <c r="I94" s="4" t="s">
        <v>14</v>
      </c>
      <c r="J94" s="3"/>
      <c r="K94" s="3"/>
      <c r="L94" s="3" t="s">
        <v>33</v>
      </c>
      <c r="M94" s="3" t="s">
        <v>376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2.75" x14ac:dyDescent="0.2">
      <c r="A95" s="4">
        <v>94</v>
      </c>
      <c r="B95" s="5" t="s">
        <v>155</v>
      </c>
      <c r="C95" s="4"/>
      <c r="D95" s="4"/>
      <c r="E95" s="4"/>
      <c r="F95" s="4"/>
      <c r="G95" s="4" t="s">
        <v>17</v>
      </c>
      <c r="H95" s="4" t="s">
        <v>18</v>
      </c>
      <c r="I95" s="4" t="s">
        <v>19</v>
      </c>
      <c r="J95" s="3" t="s">
        <v>34</v>
      </c>
      <c r="K95" s="3"/>
      <c r="L95" s="3" t="s">
        <v>24</v>
      </c>
      <c r="M95" s="3" t="s">
        <v>375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2.75" x14ac:dyDescent="0.2">
      <c r="A96" s="4">
        <v>95</v>
      </c>
      <c r="B96" s="5" t="s">
        <v>156</v>
      </c>
      <c r="C96" s="4"/>
      <c r="D96" s="4"/>
      <c r="E96" s="4"/>
      <c r="F96" s="4"/>
      <c r="G96" s="4" t="s">
        <v>17</v>
      </c>
      <c r="H96" s="4" t="s">
        <v>13</v>
      </c>
      <c r="I96" s="4" t="s">
        <v>19</v>
      </c>
      <c r="J96" s="3" t="s">
        <v>29</v>
      </c>
      <c r="K96" s="3" t="s">
        <v>44</v>
      </c>
      <c r="L96" s="3" t="s">
        <v>22</v>
      </c>
      <c r="M96" s="3" t="s">
        <v>375</v>
      </c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2.75" x14ac:dyDescent="0.2">
      <c r="A97" s="4">
        <v>96</v>
      </c>
      <c r="B97" s="5" t="s">
        <v>157</v>
      </c>
      <c r="C97" s="4"/>
      <c r="D97" s="4"/>
      <c r="E97" s="4"/>
      <c r="F97" s="4"/>
      <c r="G97" s="4" t="s">
        <v>31</v>
      </c>
      <c r="H97" s="4" t="s">
        <v>18</v>
      </c>
      <c r="I97" s="4" t="s">
        <v>14</v>
      </c>
      <c r="J97" s="3" t="s">
        <v>23</v>
      </c>
      <c r="K97" s="3"/>
      <c r="L97" s="3" t="s">
        <v>32</v>
      </c>
      <c r="M97" s="3" t="s">
        <v>376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2.75" x14ac:dyDescent="0.2">
      <c r="A98" s="4">
        <v>97</v>
      </c>
      <c r="B98" s="5" t="s">
        <v>158</v>
      </c>
      <c r="C98" s="4"/>
      <c r="D98" s="4"/>
      <c r="E98" s="4"/>
      <c r="F98" s="4"/>
      <c r="G98" s="4" t="s">
        <v>31</v>
      </c>
      <c r="H98" s="4" t="s">
        <v>18</v>
      </c>
      <c r="I98" s="4" t="s">
        <v>14</v>
      </c>
      <c r="J98" s="3" t="s">
        <v>20</v>
      </c>
      <c r="K98" s="3"/>
      <c r="L98" s="3" t="s">
        <v>32</v>
      </c>
      <c r="M98" s="3" t="s">
        <v>375</v>
      </c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2.75" x14ac:dyDescent="0.2">
      <c r="A99" s="4">
        <v>98</v>
      </c>
      <c r="B99" s="5" t="s">
        <v>159</v>
      </c>
      <c r="C99" s="4"/>
      <c r="D99" s="4"/>
      <c r="E99" s="4"/>
      <c r="F99" s="4"/>
      <c r="G99" s="4" t="s">
        <v>31</v>
      </c>
      <c r="H99" s="4" t="s">
        <v>18</v>
      </c>
      <c r="I99" s="4" t="s">
        <v>14</v>
      </c>
      <c r="J99" s="3" t="s">
        <v>20</v>
      </c>
      <c r="K99" s="3"/>
      <c r="L99" s="3" t="s">
        <v>32</v>
      </c>
      <c r="M99" s="3" t="s">
        <v>375</v>
      </c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2.75" x14ac:dyDescent="0.2">
      <c r="A100" s="4">
        <v>99</v>
      </c>
      <c r="B100" s="5" t="s">
        <v>160</v>
      </c>
      <c r="C100" s="4"/>
      <c r="D100" s="4"/>
      <c r="E100" s="4"/>
      <c r="F100" s="4"/>
      <c r="G100" s="4" t="s">
        <v>12</v>
      </c>
      <c r="H100" s="4" t="s">
        <v>18</v>
      </c>
      <c r="I100" s="4" t="s">
        <v>14</v>
      </c>
      <c r="J100" s="3" t="s">
        <v>20</v>
      </c>
      <c r="K100" s="3"/>
      <c r="L100" s="3" t="s">
        <v>16</v>
      </c>
      <c r="M100" s="3" t="s">
        <v>375</v>
      </c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2.75" x14ac:dyDescent="0.2">
      <c r="A101" s="4">
        <v>100</v>
      </c>
      <c r="B101" s="5" t="s">
        <v>161</v>
      </c>
      <c r="C101" s="4"/>
      <c r="D101" s="4"/>
      <c r="E101" s="4"/>
      <c r="F101" s="4"/>
      <c r="G101" s="4" t="s">
        <v>33</v>
      </c>
      <c r="H101" s="4" t="s">
        <v>18</v>
      </c>
      <c r="I101" s="4" t="s">
        <v>14</v>
      </c>
      <c r="J101" s="3" t="s">
        <v>20</v>
      </c>
      <c r="K101" s="3"/>
      <c r="L101" s="3" t="s">
        <v>33</v>
      </c>
      <c r="M101" s="3" t="s">
        <v>375</v>
      </c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2.75" x14ac:dyDescent="0.2">
      <c r="A102" s="4">
        <v>101</v>
      </c>
      <c r="B102" s="5" t="s">
        <v>162</v>
      </c>
      <c r="C102" s="4"/>
      <c r="D102" s="4"/>
      <c r="E102" s="4"/>
      <c r="F102" s="4"/>
      <c r="G102" s="4" t="s">
        <v>17</v>
      </c>
      <c r="H102" s="4" t="s">
        <v>18</v>
      </c>
      <c r="I102" s="4" t="s">
        <v>19</v>
      </c>
      <c r="J102" s="3" t="s">
        <v>23</v>
      </c>
      <c r="K102" s="3"/>
      <c r="L102" s="3" t="s">
        <v>27</v>
      </c>
      <c r="M102" s="3" t="s">
        <v>376</v>
      </c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2.75" x14ac:dyDescent="0.2">
      <c r="A103" s="4">
        <v>102</v>
      </c>
      <c r="B103" s="5" t="s">
        <v>163</v>
      </c>
      <c r="C103" s="4"/>
      <c r="D103" s="4"/>
      <c r="E103" s="4"/>
      <c r="F103" s="4"/>
      <c r="G103" s="4" t="s">
        <v>33</v>
      </c>
      <c r="H103" s="4" t="s">
        <v>18</v>
      </c>
      <c r="I103" s="4" t="s">
        <v>14</v>
      </c>
      <c r="J103" s="3" t="s">
        <v>20</v>
      </c>
      <c r="K103" s="3"/>
      <c r="L103" s="3" t="s">
        <v>33</v>
      </c>
      <c r="M103" s="3" t="s">
        <v>375</v>
      </c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2.75" x14ac:dyDescent="0.2">
      <c r="A104" s="4">
        <v>103</v>
      </c>
      <c r="B104" s="5" t="s">
        <v>164</v>
      </c>
      <c r="C104" s="4"/>
      <c r="D104" s="4"/>
      <c r="E104" s="4"/>
      <c r="F104" s="4"/>
      <c r="G104" s="4" t="s">
        <v>12</v>
      </c>
      <c r="H104" s="4" t="s">
        <v>0</v>
      </c>
      <c r="I104" s="4" t="s">
        <v>14</v>
      </c>
      <c r="J104" s="3"/>
      <c r="K104" s="3"/>
      <c r="L104" s="3" t="s">
        <v>16</v>
      </c>
      <c r="M104" s="3" t="s">
        <v>375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2.75" x14ac:dyDescent="0.2">
      <c r="A105" s="4">
        <v>104</v>
      </c>
      <c r="B105" s="5" t="s">
        <v>165</v>
      </c>
      <c r="C105" s="4"/>
      <c r="D105" s="4"/>
      <c r="E105" s="4"/>
      <c r="F105" s="4"/>
      <c r="G105" s="4" t="s">
        <v>31</v>
      </c>
      <c r="H105" s="4" t="s">
        <v>0</v>
      </c>
      <c r="I105" s="4" t="s">
        <v>14</v>
      </c>
      <c r="J105" s="3"/>
      <c r="K105" s="3"/>
      <c r="L105" s="3" t="s">
        <v>32</v>
      </c>
      <c r="M105" s="3" t="s">
        <v>375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2.75" x14ac:dyDescent="0.2">
      <c r="A106" s="4">
        <v>105</v>
      </c>
      <c r="B106" s="5" t="s">
        <v>166</v>
      </c>
      <c r="C106" s="4"/>
      <c r="D106" s="4"/>
      <c r="E106" s="4"/>
      <c r="F106" s="4"/>
      <c r="G106" s="4" t="s">
        <v>33</v>
      </c>
      <c r="H106" s="4" t="s">
        <v>18</v>
      </c>
      <c r="I106" s="4" t="s">
        <v>14</v>
      </c>
      <c r="J106" s="3" t="s">
        <v>20</v>
      </c>
      <c r="K106" s="3"/>
      <c r="L106" s="3" t="s">
        <v>33</v>
      </c>
      <c r="M106" s="3" t="s">
        <v>375</v>
      </c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2.75" x14ac:dyDescent="0.2">
      <c r="A107" s="4">
        <v>106</v>
      </c>
      <c r="B107" s="5" t="s">
        <v>167</v>
      </c>
      <c r="C107" s="4"/>
      <c r="D107" s="4"/>
      <c r="E107" s="4"/>
      <c r="F107" s="4"/>
      <c r="G107" s="4" t="s">
        <v>33</v>
      </c>
      <c r="H107" s="4" t="s">
        <v>0</v>
      </c>
      <c r="I107" s="4" t="s">
        <v>14</v>
      </c>
      <c r="J107" s="3"/>
      <c r="K107" s="3"/>
      <c r="L107" s="3" t="s">
        <v>33</v>
      </c>
      <c r="M107" s="3" t="s">
        <v>375</v>
      </c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2.75" x14ac:dyDescent="0.2">
      <c r="A108" s="4">
        <v>107</v>
      </c>
      <c r="B108" s="5" t="s">
        <v>168</v>
      </c>
      <c r="C108" s="4"/>
      <c r="D108" s="4"/>
      <c r="E108" s="4"/>
      <c r="F108" s="4"/>
      <c r="G108" s="4" t="s">
        <v>17</v>
      </c>
      <c r="H108" s="4" t="s">
        <v>18</v>
      </c>
      <c r="I108" s="4" t="s">
        <v>19</v>
      </c>
      <c r="J108" s="3" t="s">
        <v>20</v>
      </c>
      <c r="K108" s="3"/>
      <c r="L108" s="3" t="s">
        <v>24</v>
      </c>
      <c r="M108" s="3" t="s">
        <v>375</v>
      </c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2.75" x14ac:dyDescent="0.2">
      <c r="A109" s="4">
        <v>108</v>
      </c>
      <c r="B109" s="5" t="s">
        <v>169</v>
      </c>
      <c r="C109" s="4"/>
      <c r="D109" s="4"/>
      <c r="E109" s="4"/>
      <c r="F109" s="4"/>
      <c r="G109" s="4" t="s">
        <v>17</v>
      </c>
      <c r="H109" s="4" t="s">
        <v>13</v>
      </c>
      <c r="I109" s="4" t="s">
        <v>19</v>
      </c>
      <c r="J109" s="3" t="s">
        <v>29</v>
      </c>
      <c r="K109" s="3" t="s">
        <v>38</v>
      </c>
      <c r="L109" s="3" t="s">
        <v>24</v>
      </c>
      <c r="M109" s="3" t="s">
        <v>376</v>
      </c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2.75" x14ac:dyDescent="0.2">
      <c r="A110" s="4">
        <v>109</v>
      </c>
      <c r="B110" s="5" t="s">
        <v>170</v>
      </c>
      <c r="C110" s="4"/>
      <c r="D110" s="4"/>
      <c r="E110" s="4"/>
      <c r="F110" s="4"/>
      <c r="G110" s="4" t="s">
        <v>17</v>
      </c>
      <c r="H110" s="4" t="s">
        <v>18</v>
      </c>
      <c r="I110" s="4" t="s">
        <v>19</v>
      </c>
      <c r="J110" s="3" t="s">
        <v>39</v>
      </c>
      <c r="K110" s="3"/>
      <c r="L110" s="3" t="s">
        <v>22</v>
      </c>
      <c r="M110" s="3" t="s">
        <v>375</v>
      </c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2.75" x14ac:dyDescent="0.2">
      <c r="A111" s="4">
        <v>110</v>
      </c>
      <c r="B111" s="5" t="s">
        <v>171</v>
      </c>
      <c r="C111" s="4"/>
      <c r="D111" s="4"/>
      <c r="E111" s="4"/>
      <c r="F111" s="4"/>
      <c r="G111" s="4" t="s">
        <v>17</v>
      </c>
      <c r="H111" s="4" t="s">
        <v>13</v>
      </c>
      <c r="I111" s="4" t="s">
        <v>19</v>
      </c>
      <c r="J111" s="3" t="s">
        <v>29</v>
      </c>
      <c r="K111" s="3" t="s">
        <v>30</v>
      </c>
      <c r="L111" s="3" t="s">
        <v>27</v>
      </c>
      <c r="M111" s="3" t="s">
        <v>376</v>
      </c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2.75" x14ac:dyDescent="0.2">
      <c r="A112" s="4">
        <v>111</v>
      </c>
      <c r="B112" s="5" t="s">
        <v>172</v>
      </c>
      <c r="C112" s="4"/>
      <c r="D112" s="4"/>
      <c r="E112" s="4"/>
      <c r="F112" s="4"/>
      <c r="G112" s="4" t="s">
        <v>17</v>
      </c>
      <c r="H112" s="4" t="s">
        <v>13</v>
      </c>
      <c r="I112" s="4" t="s">
        <v>19</v>
      </c>
      <c r="J112" s="3" t="s">
        <v>29</v>
      </c>
      <c r="K112" s="3" t="s">
        <v>30</v>
      </c>
      <c r="L112" s="3" t="s">
        <v>25</v>
      </c>
      <c r="M112" s="3" t="s">
        <v>376</v>
      </c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2.75" x14ac:dyDescent="0.2">
      <c r="A113" s="4">
        <v>112</v>
      </c>
      <c r="B113" s="5" t="s">
        <v>173</v>
      </c>
      <c r="C113" s="4"/>
      <c r="D113" s="4"/>
      <c r="E113" s="4"/>
      <c r="F113" s="4"/>
      <c r="G113" s="4" t="s">
        <v>17</v>
      </c>
      <c r="H113" s="4" t="s">
        <v>13</v>
      </c>
      <c r="I113" s="4" t="s">
        <v>19</v>
      </c>
      <c r="J113" s="3" t="s">
        <v>29</v>
      </c>
      <c r="K113" s="3" t="s">
        <v>30</v>
      </c>
      <c r="L113" s="3" t="s">
        <v>24</v>
      </c>
      <c r="M113" s="3" t="s">
        <v>376</v>
      </c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2.75" x14ac:dyDescent="0.2">
      <c r="A114" s="4">
        <v>113</v>
      </c>
      <c r="B114" s="5" t="s">
        <v>174</v>
      </c>
      <c r="C114" s="4"/>
      <c r="D114" s="4"/>
      <c r="E114" s="4"/>
      <c r="F114" s="4"/>
      <c r="G114" s="4" t="s">
        <v>33</v>
      </c>
      <c r="H114" s="4" t="s">
        <v>18</v>
      </c>
      <c r="I114" s="4" t="s">
        <v>14</v>
      </c>
      <c r="J114" s="3" t="s">
        <v>39</v>
      </c>
      <c r="K114" s="3"/>
      <c r="L114" s="3" t="s">
        <v>33</v>
      </c>
      <c r="M114" s="3" t="s">
        <v>375</v>
      </c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2.75" x14ac:dyDescent="0.2">
      <c r="A115" s="4">
        <v>114</v>
      </c>
      <c r="B115" s="5" t="s">
        <v>175</v>
      </c>
      <c r="C115" s="4"/>
      <c r="D115" s="4"/>
      <c r="E115" s="4"/>
      <c r="F115" s="4"/>
      <c r="G115" s="4" t="s">
        <v>1</v>
      </c>
      <c r="H115" s="4" t="s">
        <v>18</v>
      </c>
      <c r="I115" s="4" t="s">
        <v>14</v>
      </c>
      <c r="J115" s="3" t="s">
        <v>39</v>
      </c>
      <c r="K115" s="3"/>
      <c r="L115" s="3" t="s">
        <v>37</v>
      </c>
      <c r="M115" s="3" t="s">
        <v>375</v>
      </c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2.75" x14ac:dyDescent="0.2">
      <c r="A116" s="4">
        <v>115</v>
      </c>
      <c r="B116" s="5" t="s">
        <v>176</v>
      </c>
      <c r="C116" s="4"/>
      <c r="D116" s="4"/>
      <c r="E116" s="4"/>
      <c r="F116" s="4"/>
      <c r="G116" s="4" t="s">
        <v>1</v>
      </c>
      <c r="H116" s="4" t="s">
        <v>18</v>
      </c>
      <c r="I116" s="4" t="s">
        <v>14</v>
      </c>
      <c r="J116" s="3" t="s">
        <v>39</v>
      </c>
      <c r="K116" s="3"/>
      <c r="L116" s="3" t="s">
        <v>37</v>
      </c>
      <c r="M116" s="3" t="s">
        <v>375</v>
      </c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2.75" x14ac:dyDescent="0.2">
      <c r="A117" s="4">
        <v>116</v>
      </c>
      <c r="B117" s="5" t="s">
        <v>177</v>
      </c>
      <c r="C117" s="4"/>
      <c r="D117" s="4"/>
      <c r="E117" s="4"/>
      <c r="F117" s="4"/>
      <c r="G117" s="4" t="s">
        <v>33</v>
      </c>
      <c r="H117" s="4" t="s">
        <v>18</v>
      </c>
      <c r="I117" s="4" t="s">
        <v>14</v>
      </c>
      <c r="J117" s="3" t="s">
        <v>34</v>
      </c>
      <c r="K117" s="3"/>
      <c r="L117" s="3" t="s">
        <v>33</v>
      </c>
      <c r="M117" s="3" t="s">
        <v>375</v>
      </c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2.75" x14ac:dyDescent="0.2">
      <c r="A118" s="4">
        <v>117</v>
      </c>
      <c r="B118" s="5" t="s">
        <v>178</v>
      </c>
      <c r="C118" s="4"/>
      <c r="D118" s="4"/>
      <c r="E118" s="4"/>
      <c r="F118" s="4"/>
      <c r="G118" s="4" t="s">
        <v>12</v>
      </c>
      <c r="H118" s="4" t="s">
        <v>18</v>
      </c>
      <c r="I118" s="4" t="s">
        <v>14</v>
      </c>
      <c r="J118" s="3" t="s">
        <v>20</v>
      </c>
      <c r="K118" s="3"/>
      <c r="L118" s="3" t="s">
        <v>16</v>
      </c>
      <c r="M118" s="3" t="s">
        <v>375</v>
      </c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2.75" x14ac:dyDescent="0.2">
      <c r="A119" s="4">
        <v>118</v>
      </c>
      <c r="B119" s="5" t="s">
        <v>179</v>
      </c>
      <c r="C119" s="4"/>
      <c r="D119" s="4"/>
      <c r="E119" s="4"/>
      <c r="F119" s="4"/>
      <c r="G119" s="4" t="s">
        <v>33</v>
      </c>
      <c r="H119" s="4" t="s">
        <v>18</v>
      </c>
      <c r="I119" s="4" t="s">
        <v>14</v>
      </c>
      <c r="J119" s="3" t="s">
        <v>20</v>
      </c>
      <c r="K119" s="3"/>
      <c r="L119" s="3" t="s">
        <v>33</v>
      </c>
      <c r="M119" s="3" t="s">
        <v>375</v>
      </c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2.75" x14ac:dyDescent="0.2">
      <c r="A120" s="4">
        <v>119</v>
      </c>
      <c r="B120" s="5" t="s">
        <v>180</v>
      </c>
      <c r="C120" s="4"/>
      <c r="D120" s="4"/>
      <c r="E120" s="4"/>
      <c r="F120" s="4"/>
      <c r="G120" s="4" t="s">
        <v>33</v>
      </c>
      <c r="H120" s="4" t="s">
        <v>18</v>
      </c>
      <c r="I120" s="4" t="s">
        <v>14</v>
      </c>
      <c r="J120" s="3" t="s">
        <v>20</v>
      </c>
      <c r="K120" s="3"/>
      <c r="L120" s="3" t="s">
        <v>33</v>
      </c>
      <c r="M120" s="3" t="s">
        <v>375</v>
      </c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2.75" x14ac:dyDescent="0.2">
      <c r="A121" s="4">
        <v>120</v>
      </c>
      <c r="B121" s="5" t="s">
        <v>181</v>
      </c>
      <c r="C121" s="4"/>
      <c r="D121" s="4"/>
      <c r="E121" s="4"/>
      <c r="F121" s="4"/>
      <c r="G121" s="4" t="s">
        <v>31</v>
      </c>
      <c r="H121" s="4" t="s">
        <v>18</v>
      </c>
      <c r="I121" s="4" t="s">
        <v>14</v>
      </c>
      <c r="J121" s="3" t="s">
        <v>20</v>
      </c>
      <c r="K121" s="3"/>
      <c r="L121" s="3" t="s">
        <v>32</v>
      </c>
      <c r="M121" s="3" t="s">
        <v>375</v>
      </c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2.75" x14ac:dyDescent="0.2">
      <c r="A122" s="4">
        <v>121</v>
      </c>
      <c r="B122" s="5" t="s">
        <v>182</v>
      </c>
      <c r="C122" s="4"/>
      <c r="D122" s="4"/>
      <c r="E122" s="4"/>
      <c r="F122" s="4"/>
      <c r="G122" s="4" t="s">
        <v>31</v>
      </c>
      <c r="H122" s="4" t="s">
        <v>18</v>
      </c>
      <c r="I122" s="4" t="s">
        <v>14</v>
      </c>
      <c r="J122" s="3" t="s">
        <v>20</v>
      </c>
      <c r="K122" s="3"/>
      <c r="L122" s="3" t="s">
        <v>32</v>
      </c>
      <c r="M122" s="3" t="s">
        <v>375</v>
      </c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2.75" x14ac:dyDescent="0.2">
      <c r="A123" s="4">
        <v>122</v>
      </c>
      <c r="B123" s="5" t="s">
        <v>183</v>
      </c>
      <c r="C123" s="4"/>
      <c r="D123" s="4"/>
      <c r="E123" s="4"/>
      <c r="F123" s="4"/>
      <c r="G123" s="4" t="s">
        <v>17</v>
      </c>
      <c r="H123" s="4" t="s">
        <v>18</v>
      </c>
      <c r="I123" s="4" t="s">
        <v>19</v>
      </c>
      <c r="J123" s="3" t="s">
        <v>23</v>
      </c>
      <c r="K123" s="3"/>
      <c r="L123" s="3" t="s">
        <v>27</v>
      </c>
      <c r="M123" s="3" t="s">
        <v>376</v>
      </c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2.75" x14ac:dyDescent="0.2">
      <c r="A124" s="4">
        <v>123</v>
      </c>
      <c r="B124" s="5" t="s">
        <v>184</v>
      </c>
      <c r="C124" s="4"/>
      <c r="D124" s="4"/>
      <c r="E124" s="4"/>
      <c r="F124" s="4"/>
      <c r="G124" s="4" t="s">
        <v>1</v>
      </c>
      <c r="H124" s="4" t="s">
        <v>18</v>
      </c>
      <c r="I124" s="4" t="s">
        <v>14</v>
      </c>
      <c r="J124" s="3" t="s">
        <v>20</v>
      </c>
      <c r="K124" s="3"/>
      <c r="L124" s="3" t="s">
        <v>37</v>
      </c>
      <c r="M124" s="3" t="s">
        <v>375</v>
      </c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2.75" x14ac:dyDescent="0.2">
      <c r="A125" s="4">
        <v>124</v>
      </c>
      <c r="B125" s="5" t="s">
        <v>185</v>
      </c>
      <c r="C125" s="4"/>
      <c r="D125" s="4"/>
      <c r="E125" s="4"/>
      <c r="F125" s="4"/>
      <c r="G125" s="4" t="s">
        <v>17</v>
      </c>
      <c r="H125" s="4" t="s">
        <v>18</v>
      </c>
      <c r="I125" s="4" t="s">
        <v>19</v>
      </c>
      <c r="J125" s="3" t="s">
        <v>20</v>
      </c>
      <c r="K125" s="3"/>
      <c r="L125" s="3" t="s">
        <v>22</v>
      </c>
      <c r="M125" s="3" t="s">
        <v>375</v>
      </c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2.75" x14ac:dyDescent="0.2">
      <c r="A126" s="4">
        <v>125</v>
      </c>
      <c r="B126" s="5" t="s">
        <v>186</v>
      </c>
      <c r="C126" s="4"/>
      <c r="D126" s="4"/>
      <c r="E126" s="4"/>
      <c r="F126" s="4"/>
      <c r="G126" s="4" t="s">
        <v>33</v>
      </c>
      <c r="H126" s="4" t="s">
        <v>18</v>
      </c>
      <c r="I126" s="4" t="s">
        <v>14</v>
      </c>
      <c r="J126" s="3" t="s">
        <v>20</v>
      </c>
      <c r="K126" s="3"/>
      <c r="L126" s="3" t="s">
        <v>33</v>
      </c>
      <c r="M126" s="3" t="s">
        <v>375</v>
      </c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2.75" x14ac:dyDescent="0.2">
      <c r="A127" s="4">
        <v>126</v>
      </c>
      <c r="B127" s="5" t="s">
        <v>187</v>
      </c>
      <c r="C127" s="4"/>
      <c r="D127" s="4"/>
      <c r="E127" s="4"/>
      <c r="F127" s="4"/>
      <c r="G127" s="4" t="s">
        <v>17</v>
      </c>
      <c r="H127" s="4" t="s">
        <v>13</v>
      </c>
      <c r="I127" s="4" t="s">
        <v>19</v>
      </c>
      <c r="J127" s="3" t="s">
        <v>29</v>
      </c>
      <c r="K127" s="3" t="s">
        <v>45</v>
      </c>
      <c r="L127" s="3" t="s">
        <v>24</v>
      </c>
      <c r="M127" s="3" t="s">
        <v>375</v>
      </c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2.75" x14ac:dyDescent="0.2">
      <c r="A128" s="4">
        <v>127</v>
      </c>
      <c r="B128" s="5" t="s">
        <v>188</v>
      </c>
      <c r="C128" s="4"/>
      <c r="D128" s="4"/>
      <c r="E128" s="4"/>
      <c r="F128" s="4"/>
      <c r="G128" s="4" t="s">
        <v>17</v>
      </c>
      <c r="H128" s="4" t="s">
        <v>13</v>
      </c>
      <c r="I128" s="4" t="s">
        <v>26</v>
      </c>
      <c r="J128" s="3" t="s">
        <v>29</v>
      </c>
      <c r="K128" s="3" t="s">
        <v>45</v>
      </c>
      <c r="L128" s="3" t="s">
        <v>24</v>
      </c>
      <c r="M128" s="3" t="s">
        <v>375</v>
      </c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2.75" x14ac:dyDescent="0.2">
      <c r="A129" s="4">
        <v>128</v>
      </c>
      <c r="B129" s="5" t="s">
        <v>189</v>
      </c>
      <c r="C129" s="4"/>
      <c r="D129" s="4"/>
      <c r="E129" s="4"/>
      <c r="F129" s="4"/>
      <c r="G129" s="4" t="s">
        <v>33</v>
      </c>
      <c r="H129" s="4" t="s">
        <v>18</v>
      </c>
      <c r="I129" s="4" t="s">
        <v>14</v>
      </c>
      <c r="J129" s="3" t="s">
        <v>20</v>
      </c>
      <c r="K129" s="3"/>
      <c r="L129" s="3" t="s">
        <v>33</v>
      </c>
      <c r="M129" s="3" t="s">
        <v>375</v>
      </c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2.75" x14ac:dyDescent="0.2">
      <c r="A130" s="4">
        <v>129</v>
      </c>
      <c r="B130" s="5" t="s">
        <v>190</v>
      </c>
      <c r="C130" s="4"/>
      <c r="D130" s="4"/>
      <c r="E130" s="4"/>
      <c r="F130" s="4"/>
      <c r="G130" s="4" t="s">
        <v>1</v>
      </c>
      <c r="H130" s="4" t="s">
        <v>0</v>
      </c>
      <c r="I130" s="4" t="s">
        <v>14</v>
      </c>
      <c r="J130" s="3"/>
      <c r="K130" s="3"/>
      <c r="L130" s="3" t="s">
        <v>37</v>
      </c>
      <c r="M130" s="3" t="s">
        <v>375</v>
      </c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2.75" x14ac:dyDescent="0.2">
      <c r="A131" s="4">
        <v>130</v>
      </c>
      <c r="B131" s="5" t="s">
        <v>191</v>
      </c>
      <c r="C131" s="4"/>
      <c r="D131" s="4"/>
      <c r="E131" s="4"/>
      <c r="F131" s="4"/>
      <c r="G131" s="4" t="s">
        <v>1</v>
      </c>
      <c r="H131" s="4" t="s">
        <v>18</v>
      </c>
      <c r="I131" s="4" t="s">
        <v>19</v>
      </c>
      <c r="J131" s="3" t="s">
        <v>20</v>
      </c>
      <c r="K131" s="3"/>
      <c r="L131" s="3" t="s">
        <v>37</v>
      </c>
      <c r="M131" s="3" t="s">
        <v>375</v>
      </c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2.75" x14ac:dyDescent="0.2">
      <c r="A132" s="4">
        <v>131</v>
      </c>
      <c r="B132" s="5" t="s">
        <v>192</v>
      </c>
      <c r="C132" s="4"/>
      <c r="D132" s="4"/>
      <c r="E132" s="4"/>
      <c r="F132" s="4"/>
      <c r="G132" s="4" t="s">
        <v>17</v>
      </c>
      <c r="H132" s="4" t="s">
        <v>18</v>
      </c>
      <c r="I132" s="4" t="s">
        <v>19</v>
      </c>
      <c r="J132" s="3" t="s">
        <v>34</v>
      </c>
      <c r="K132" s="3"/>
      <c r="L132" s="3" t="s">
        <v>22</v>
      </c>
      <c r="M132" s="3" t="s">
        <v>375</v>
      </c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2.75" x14ac:dyDescent="0.2">
      <c r="A133" s="4">
        <v>132</v>
      </c>
      <c r="B133" s="5" t="s">
        <v>193</v>
      </c>
      <c r="C133" s="4"/>
      <c r="D133" s="4"/>
      <c r="E133" s="4"/>
      <c r="F133" s="4"/>
      <c r="G133" s="4" t="s">
        <v>33</v>
      </c>
      <c r="H133" s="4" t="s">
        <v>18</v>
      </c>
      <c r="I133" s="4" t="s">
        <v>14</v>
      </c>
      <c r="J133" s="3" t="s">
        <v>23</v>
      </c>
      <c r="K133" s="3"/>
      <c r="L133" s="3" t="s">
        <v>33</v>
      </c>
      <c r="M133" s="3" t="s">
        <v>376</v>
      </c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2.75" x14ac:dyDescent="0.2">
      <c r="A134" s="4">
        <v>133</v>
      </c>
      <c r="B134" s="5" t="s">
        <v>194</v>
      </c>
      <c r="C134" s="4"/>
      <c r="D134" s="4"/>
      <c r="E134" s="4"/>
      <c r="F134" s="4"/>
      <c r="G134" s="4" t="s">
        <v>33</v>
      </c>
      <c r="H134" s="4" t="s">
        <v>18</v>
      </c>
      <c r="I134" s="4" t="s">
        <v>14</v>
      </c>
      <c r="J134" s="3" t="s">
        <v>34</v>
      </c>
      <c r="K134" s="3"/>
      <c r="L134" s="3" t="s">
        <v>33</v>
      </c>
      <c r="M134" s="3" t="s">
        <v>375</v>
      </c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2.75" x14ac:dyDescent="0.2">
      <c r="A135" s="4">
        <v>134</v>
      </c>
      <c r="B135" s="5" t="s">
        <v>195</v>
      </c>
      <c r="C135" s="4"/>
      <c r="D135" s="4"/>
      <c r="E135" s="4"/>
      <c r="F135" s="4"/>
      <c r="G135" s="4" t="s">
        <v>33</v>
      </c>
      <c r="H135" s="4" t="s">
        <v>18</v>
      </c>
      <c r="I135" s="4" t="s">
        <v>14</v>
      </c>
      <c r="J135" s="3" t="s">
        <v>23</v>
      </c>
      <c r="K135" s="3"/>
      <c r="L135" s="3" t="s">
        <v>33</v>
      </c>
      <c r="M135" s="3" t="s">
        <v>376</v>
      </c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2.75" x14ac:dyDescent="0.2">
      <c r="A136" s="4">
        <v>135</v>
      </c>
      <c r="B136" s="5" t="s">
        <v>196</v>
      </c>
      <c r="C136" s="4"/>
      <c r="D136" s="4"/>
      <c r="E136" s="4"/>
      <c r="F136" s="4"/>
      <c r="G136" s="4" t="s">
        <v>33</v>
      </c>
      <c r="H136" s="4" t="s">
        <v>18</v>
      </c>
      <c r="I136" s="4" t="s">
        <v>14</v>
      </c>
      <c r="J136" s="3" t="s">
        <v>34</v>
      </c>
      <c r="K136" s="3"/>
      <c r="L136" s="3" t="s">
        <v>33</v>
      </c>
      <c r="M136" s="3" t="s">
        <v>375</v>
      </c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2.75" x14ac:dyDescent="0.2">
      <c r="A137" s="4">
        <v>136</v>
      </c>
      <c r="B137" s="5" t="s">
        <v>197</v>
      </c>
      <c r="C137" s="4"/>
      <c r="D137" s="4"/>
      <c r="E137" s="4"/>
      <c r="F137" s="4"/>
      <c r="G137" s="4" t="s">
        <v>17</v>
      </c>
      <c r="H137" s="4" t="s">
        <v>18</v>
      </c>
      <c r="I137" s="4" t="s">
        <v>19</v>
      </c>
      <c r="J137" s="3" t="s">
        <v>34</v>
      </c>
      <c r="K137" s="3"/>
      <c r="L137" s="3" t="s">
        <v>24</v>
      </c>
      <c r="M137" s="3" t="s">
        <v>375</v>
      </c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2.75" x14ac:dyDescent="0.2">
      <c r="A138" s="4">
        <v>137</v>
      </c>
      <c r="B138" s="5" t="s">
        <v>198</v>
      </c>
      <c r="C138" s="4"/>
      <c r="D138" s="4"/>
      <c r="E138" s="4"/>
      <c r="F138" s="4"/>
      <c r="G138" s="4" t="s">
        <v>1</v>
      </c>
      <c r="H138" s="4" t="s">
        <v>13</v>
      </c>
      <c r="I138" s="4" t="s">
        <v>19</v>
      </c>
      <c r="J138" s="3" t="s">
        <v>29</v>
      </c>
      <c r="K138" s="3" t="s">
        <v>35</v>
      </c>
      <c r="L138" s="3" t="s">
        <v>37</v>
      </c>
      <c r="M138" s="3" t="s">
        <v>375</v>
      </c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2.75" x14ac:dyDescent="0.2">
      <c r="A139" s="4">
        <v>138</v>
      </c>
      <c r="B139" s="5" t="s">
        <v>199</v>
      </c>
      <c r="C139" s="4"/>
      <c r="D139" s="4"/>
      <c r="E139" s="4"/>
      <c r="F139" s="4"/>
      <c r="G139" s="4" t="s">
        <v>1</v>
      </c>
      <c r="H139" s="4" t="s">
        <v>18</v>
      </c>
      <c r="I139" s="4" t="s">
        <v>14</v>
      </c>
      <c r="J139" s="3" t="s">
        <v>20</v>
      </c>
      <c r="K139" s="3"/>
      <c r="L139" s="3" t="s">
        <v>37</v>
      </c>
      <c r="M139" s="3" t="s">
        <v>375</v>
      </c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2.75" x14ac:dyDescent="0.2">
      <c r="A140" s="4">
        <v>139</v>
      </c>
      <c r="B140" s="5" t="s">
        <v>200</v>
      </c>
      <c r="C140" s="4"/>
      <c r="D140" s="4"/>
      <c r="E140" s="4"/>
      <c r="F140" s="4"/>
      <c r="G140" s="4" t="s">
        <v>12</v>
      </c>
      <c r="H140" s="4" t="s">
        <v>18</v>
      </c>
      <c r="I140" s="4" t="s">
        <v>14</v>
      </c>
      <c r="J140" s="3" t="s">
        <v>20</v>
      </c>
      <c r="K140" s="3"/>
      <c r="L140" s="3" t="s">
        <v>16</v>
      </c>
      <c r="M140" s="3" t="s">
        <v>375</v>
      </c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2.75" x14ac:dyDescent="0.2">
      <c r="A141" s="4">
        <v>140</v>
      </c>
      <c r="B141" s="5" t="s">
        <v>201</v>
      </c>
      <c r="C141" s="4"/>
      <c r="D141" s="4"/>
      <c r="E141" s="4"/>
      <c r="F141" s="4"/>
      <c r="G141" s="4" t="s">
        <v>31</v>
      </c>
      <c r="H141" s="4" t="s">
        <v>18</v>
      </c>
      <c r="I141" s="4" t="s">
        <v>14</v>
      </c>
      <c r="J141" s="3" t="s">
        <v>20</v>
      </c>
      <c r="K141" s="3"/>
      <c r="L141" s="3" t="s">
        <v>32</v>
      </c>
      <c r="M141" s="3" t="s">
        <v>375</v>
      </c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2.75" x14ac:dyDescent="0.2">
      <c r="A142" s="4">
        <v>141</v>
      </c>
      <c r="B142" s="5" t="s">
        <v>202</v>
      </c>
      <c r="C142" s="4"/>
      <c r="D142" s="4"/>
      <c r="E142" s="4"/>
      <c r="F142" s="4"/>
      <c r="G142" s="4" t="s">
        <v>17</v>
      </c>
      <c r="H142" s="4" t="s">
        <v>13</v>
      </c>
      <c r="I142" s="4" t="s">
        <v>19</v>
      </c>
      <c r="J142" s="3" t="s">
        <v>29</v>
      </c>
      <c r="K142" s="3" t="s">
        <v>46</v>
      </c>
      <c r="L142" s="3" t="s">
        <v>27</v>
      </c>
      <c r="M142" s="3" t="s">
        <v>376</v>
      </c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2.75" x14ac:dyDescent="0.2">
      <c r="A143" s="4">
        <v>142</v>
      </c>
      <c r="B143" s="5" t="s">
        <v>203</v>
      </c>
      <c r="C143" s="4"/>
      <c r="D143" s="4"/>
      <c r="E143" s="4"/>
      <c r="F143" s="4"/>
      <c r="G143" s="4" t="s">
        <v>17</v>
      </c>
      <c r="H143" s="4" t="s">
        <v>18</v>
      </c>
      <c r="I143" s="4" t="s">
        <v>19</v>
      </c>
      <c r="J143" s="3" t="s">
        <v>34</v>
      </c>
      <c r="K143" s="3"/>
      <c r="L143" s="3" t="s">
        <v>24</v>
      </c>
      <c r="M143" s="3" t="s">
        <v>377</v>
      </c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2.75" x14ac:dyDescent="0.2">
      <c r="A144" s="4">
        <v>143</v>
      </c>
      <c r="B144" s="5" t="s">
        <v>204</v>
      </c>
      <c r="C144" s="4"/>
      <c r="D144" s="4"/>
      <c r="E144" s="4"/>
      <c r="F144" s="4"/>
      <c r="G144" s="4" t="s">
        <v>33</v>
      </c>
      <c r="H144" s="4" t="s">
        <v>18</v>
      </c>
      <c r="I144" s="4" t="s">
        <v>14</v>
      </c>
      <c r="J144" s="3" t="s">
        <v>20</v>
      </c>
      <c r="K144" s="3"/>
      <c r="L144" s="3" t="s">
        <v>33</v>
      </c>
      <c r="M144" s="3" t="s">
        <v>375</v>
      </c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2.75" x14ac:dyDescent="0.2">
      <c r="A145" s="4">
        <v>144</v>
      </c>
      <c r="B145" s="5" t="s">
        <v>205</v>
      </c>
      <c r="C145" s="4"/>
      <c r="D145" s="4"/>
      <c r="E145" s="4"/>
      <c r="F145" s="4"/>
      <c r="G145" s="4" t="s">
        <v>31</v>
      </c>
      <c r="H145" s="4" t="s">
        <v>18</v>
      </c>
      <c r="I145" s="4" t="s">
        <v>19</v>
      </c>
      <c r="J145" s="3" t="s">
        <v>20</v>
      </c>
      <c r="K145" s="3"/>
      <c r="L145" s="3" t="s">
        <v>32</v>
      </c>
      <c r="M145" s="3" t="s">
        <v>375</v>
      </c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2.75" x14ac:dyDescent="0.2">
      <c r="A146" s="4">
        <v>145</v>
      </c>
      <c r="B146" s="5" t="s">
        <v>206</v>
      </c>
      <c r="C146" s="4"/>
      <c r="D146" s="4"/>
      <c r="E146" s="4"/>
      <c r="F146" s="4"/>
      <c r="G146" s="4" t="s">
        <v>1</v>
      </c>
      <c r="H146" s="4" t="s">
        <v>18</v>
      </c>
      <c r="I146" s="4"/>
      <c r="J146" s="3" t="s">
        <v>20</v>
      </c>
      <c r="K146" s="3"/>
      <c r="L146" s="3" t="s">
        <v>37</v>
      </c>
      <c r="M146" s="3" t="s">
        <v>375</v>
      </c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2.75" x14ac:dyDescent="0.2">
      <c r="A147" s="4">
        <v>146</v>
      </c>
      <c r="B147" s="5" t="s">
        <v>207</v>
      </c>
      <c r="C147" s="4"/>
      <c r="D147" s="4"/>
      <c r="E147" s="4"/>
      <c r="F147" s="4"/>
      <c r="G147" s="4" t="s">
        <v>17</v>
      </c>
      <c r="H147" s="4" t="s">
        <v>18</v>
      </c>
      <c r="I147" s="4" t="s">
        <v>19</v>
      </c>
      <c r="J147" s="3" t="s">
        <v>20</v>
      </c>
      <c r="K147" s="3"/>
      <c r="L147" s="3" t="s">
        <v>24</v>
      </c>
      <c r="M147" s="3" t="s">
        <v>375</v>
      </c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2.75" x14ac:dyDescent="0.2">
      <c r="A148" s="4">
        <v>147</v>
      </c>
      <c r="B148" s="5" t="s">
        <v>208</v>
      </c>
      <c r="C148" s="4"/>
      <c r="D148" s="4"/>
      <c r="E148" s="4"/>
      <c r="F148" s="4"/>
      <c r="G148" s="4" t="s">
        <v>17</v>
      </c>
      <c r="H148" s="4" t="s">
        <v>13</v>
      </c>
      <c r="I148" s="4" t="s">
        <v>19</v>
      </c>
      <c r="J148" s="3" t="s">
        <v>29</v>
      </c>
      <c r="K148" s="3" t="s">
        <v>43</v>
      </c>
      <c r="L148" s="3" t="s">
        <v>24</v>
      </c>
      <c r="M148" s="3" t="s">
        <v>376</v>
      </c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2.75" x14ac:dyDescent="0.2">
      <c r="A149" s="4">
        <v>148</v>
      </c>
      <c r="B149" s="5" t="s">
        <v>209</v>
      </c>
      <c r="C149" s="4"/>
      <c r="D149" s="4"/>
      <c r="E149" s="4"/>
      <c r="F149" s="4"/>
      <c r="G149" s="4" t="s">
        <v>17</v>
      </c>
      <c r="H149" s="4" t="s">
        <v>13</v>
      </c>
      <c r="I149" s="4" t="s">
        <v>19</v>
      </c>
      <c r="J149" s="3" t="s">
        <v>29</v>
      </c>
      <c r="K149" s="3" t="s">
        <v>30</v>
      </c>
      <c r="L149" s="3" t="s">
        <v>27</v>
      </c>
      <c r="M149" s="3" t="s">
        <v>376</v>
      </c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2.75" x14ac:dyDescent="0.2">
      <c r="A150" s="4">
        <v>149</v>
      </c>
      <c r="B150" s="5" t="s">
        <v>210</v>
      </c>
      <c r="C150" s="4"/>
      <c r="D150" s="4"/>
      <c r="E150" s="4"/>
      <c r="F150" s="4"/>
      <c r="G150" s="4" t="s">
        <v>17</v>
      </c>
      <c r="H150" s="4" t="s">
        <v>13</v>
      </c>
      <c r="I150" s="4" t="s">
        <v>26</v>
      </c>
      <c r="J150" s="3" t="s">
        <v>29</v>
      </c>
      <c r="K150" s="3" t="s">
        <v>30</v>
      </c>
      <c r="L150" s="3" t="s">
        <v>24</v>
      </c>
      <c r="M150" s="3" t="s">
        <v>376</v>
      </c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2.75" x14ac:dyDescent="0.2">
      <c r="A151" s="4">
        <v>150</v>
      </c>
      <c r="B151" s="5" t="s">
        <v>211</v>
      </c>
      <c r="C151" s="4"/>
      <c r="D151" s="4"/>
      <c r="E151" s="4"/>
      <c r="F151" s="4"/>
      <c r="G151" s="4" t="s">
        <v>12</v>
      </c>
      <c r="H151" s="4" t="s">
        <v>18</v>
      </c>
      <c r="I151" s="4" t="s">
        <v>14</v>
      </c>
      <c r="J151" s="3" t="s">
        <v>20</v>
      </c>
      <c r="K151" s="3"/>
      <c r="L151" s="3" t="s">
        <v>16</v>
      </c>
      <c r="M151" s="3" t="s">
        <v>375</v>
      </c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2.75" x14ac:dyDescent="0.2">
      <c r="A152" s="4">
        <v>151</v>
      </c>
      <c r="B152" s="5" t="s">
        <v>212</v>
      </c>
      <c r="C152" s="4"/>
      <c r="D152" s="4"/>
      <c r="E152" s="4"/>
      <c r="F152" s="4"/>
      <c r="G152" s="4" t="s">
        <v>31</v>
      </c>
      <c r="H152" s="4" t="s">
        <v>18</v>
      </c>
      <c r="I152" s="4" t="s">
        <v>14</v>
      </c>
      <c r="J152" s="3" t="s">
        <v>20</v>
      </c>
      <c r="K152" s="3"/>
      <c r="L152" s="3" t="s">
        <v>32</v>
      </c>
      <c r="M152" s="3" t="s">
        <v>375</v>
      </c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2.75" x14ac:dyDescent="0.2">
      <c r="A153" s="4">
        <v>152</v>
      </c>
      <c r="B153" s="5" t="s">
        <v>213</v>
      </c>
      <c r="C153" s="4"/>
      <c r="D153" s="4"/>
      <c r="E153" s="4"/>
      <c r="F153" s="4"/>
      <c r="G153" s="4" t="s">
        <v>33</v>
      </c>
      <c r="H153" s="4" t="s">
        <v>18</v>
      </c>
      <c r="I153" s="4" t="s">
        <v>14</v>
      </c>
      <c r="J153" s="3" t="s">
        <v>20</v>
      </c>
      <c r="K153" s="3"/>
      <c r="L153" s="3" t="s">
        <v>33</v>
      </c>
      <c r="M153" s="3" t="s">
        <v>375</v>
      </c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2.75" x14ac:dyDescent="0.2">
      <c r="A154" s="4">
        <v>153</v>
      </c>
      <c r="B154" s="5" t="s">
        <v>214</v>
      </c>
      <c r="C154" s="4"/>
      <c r="D154" s="4"/>
      <c r="E154" s="4"/>
      <c r="F154" s="4"/>
      <c r="G154" s="4" t="s">
        <v>17</v>
      </c>
      <c r="H154" s="4" t="s">
        <v>13</v>
      </c>
      <c r="I154" s="4" t="s">
        <v>19</v>
      </c>
      <c r="J154" s="3" t="s">
        <v>29</v>
      </c>
      <c r="K154" s="3" t="s">
        <v>47</v>
      </c>
      <c r="L154" s="3" t="s">
        <v>27</v>
      </c>
      <c r="M154" s="3" t="s">
        <v>376</v>
      </c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2.75" x14ac:dyDescent="0.2">
      <c r="A155" s="4">
        <v>154</v>
      </c>
      <c r="B155" s="5" t="s">
        <v>215</v>
      </c>
      <c r="C155" s="4"/>
      <c r="D155" s="4"/>
      <c r="E155" s="4"/>
      <c r="F155" s="4"/>
      <c r="G155" s="4" t="s">
        <v>1</v>
      </c>
      <c r="H155" s="4" t="s">
        <v>18</v>
      </c>
      <c r="I155" s="4"/>
      <c r="J155" s="3" t="s">
        <v>39</v>
      </c>
      <c r="K155" s="3"/>
      <c r="L155" s="3" t="s">
        <v>37</v>
      </c>
      <c r="M155" s="3" t="s">
        <v>375</v>
      </c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2.75" x14ac:dyDescent="0.2">
      <c r="A156" s="4">
        <v>155</v>
      </c>
      <c r="B156" s="5" t="s">
        <v>216</v>
      </c>
      <c r="C156" s="4"/>
      <c r="D156" s="4"/>
      <c r="E156" s="4"/>
      <c r="F156" s="4"/>
      <c r="G156" s="4" t="s">
        <v>33</v>
      </c>
      <c r="H156" s="4" t="s">
        <v>18</v>
      </c>
      <c r="I156" s="4" t="s">
        <v>14</v>
      </c>
      <c r="J156" s="3" t="s">
        <v>20</v>
      </c>
      <c r="K156" s="3"/>
      <c r="L156" s="3" t="s">
        <v>33</v>
      </c>
      <c r="M156" s="3" t="s">
        <v>375</v>
      </c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2.75" x14ac:dyDescent="0.2">
      <c r="A157" s="4">
        <v>156</v>
      </c>
      <c r="B157" s="5" t="s">
        <v>217</v>
      </c>
      <c r="C157" s="4"/>
      <c r="D157" s="4"/>
      <c r="E157" s="4"/>
      <c r="F157" s="4"/>
      <c r="G157" s="4" t="s">
        <v>17</v>
      </c>
      <c r="H157" s="4" t="s">
        <v>18</v>
      </c>
      <c r="I157" s="4" t="s">
        <v>19</v>
      </c>
      <c r="J157" s="3" t="s">
        <v>39</v>
      </c>
      <c r="K157" s="3"/>
      <c r="L157" s="3" t="s">
        <v>24</v>
      </c>
      <c r="M157" s="3" t="s">
        <v>375</v>
      </c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2.75" x14ac:dyDescent="0.2">
      <c r="A158" s="4">
        <v>157</v>
      </c>
      <c r="B158" s="5" t="s">
        <v>218</v>
      </c>
      <c r="C158" s="4"/>
      <c r="D158" s="4"/>
      <c r="E158" s="4"/>
      <c r="F158" s="4"/>
      <c r="G158" s="4" t="s">
        <v>17</v>
      </c>
      <c r="H158" s="4" t="s">
        <v>18</v>
      </c>
      <c r="I158" s="4" t="s">
        <v>19</v>
      </c>
      <c r="J158" s="3" t="s">
        <v>20</v>
      </c>
      <c r="K158" s="3"/>
      <c r="L158" s="3" t="s">
        <v>24</v>
      </c>
      <c r="M158" s="3" t="s">
        <v>375</v>
      </c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2.75" x14ac:dyDescent="0.2">
      <c r="A159" s="4">
        <v>158</v>
      </c>
      <c r="B159" s="5" t="s">
        <v>219</v>
      </c>
      <c r="C159" s="4"/>
      <c r="D159" s="4"/>
      <c r="E159" s="4"/>
      <c r="F159" s="4"/>
      <c r="G159" s="4" t="s">
        <v>31</v>
      </c>
      <c r="H159" s="4" t="s">
        <v>18</v>
      </c>
      <c r="I159" s="4" t="s">
        <v>14</v>
      </c>
      <c r="J159" s="3" t="s">
        <v>20</v>
      </c>
      <c r="K159" s="3"/>
      <c r="L159" s="3" t="s">
        <v>32</v>
      </c>
      <c r="M159" s="3" t="s">
        <v>375</v>
      </c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2.75" x14ac:dyDescent="0.2">
      <c r="A160" s="4">
        <v>159</v>
      </c>
      <c r="B160" s="5" t="s">
        <v>220</v>
      </c>
      <c r="C160" s="4"/>
      <c r="D160" s="4"/>
      <c r="E160" s="4"/>
      <c r="F160" s="4"/>
      <c r="G160" s="4" t="s">
        <v>1</v>
      </c>
      <c r="H160" s="4" t="s">
        <v>13</v>
      </c>
      <c r="I160" s="4"/>
      <c r="J160" s="3" t="s">
        <v>29</v>
      </c>
      <c r="K160" s="3" t="s">
        <v>30</v>
      </c>
      <c r="L160" s="3" t="s">
        <v>37</v>
      </c>
      <c r="M160" s="3" t="s">
        <v>375</v>
      </c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2.75" x14ac:dyDescent="0.2">
      <c r="A161" s="4">
        <v>160</v>
      </c>
      <c r="B161" s="5" t="s">
        <v>221</v>
      </c>
      <c r="C161" s="4"/>
      <c r="D161" s="4"/>
      <c r="E161" s="4"/>
      <c r="F161" s="4"/>
      <c r="G161" s="4" t="s">
        <v>1</v>
      </c>
      <c r="H161" s="4" t="s">
        <v>13</v>
      </c>
      <c r="I161" s="4"/>
      <c r="J161" s="3" t="s">
        <v>29</v>
      </c>
      <c r="K161" s="3" t="s">
        <v>30</v>
      </c>
      <c r="L161" s="3" t="s">
        <v>37</v>
      </c>
      <c r="M161" s="3" t="s">
        <v>375</v>
      </c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2.75" x14ac:dyDescent="0.2">
      <c r="A162" s="4">
        <v>161</v>
      </c>
      <c r="B162" s="5" t="s">
        <v>222</v>
      </c>
      <c r="C162" s="4"/>
      <c r="D162" s="4"/>
      <c r="E162" s="4"/>
      <c r="F162" s="4"/>
      <c r="G162" s="4" t="s">
        <v>17</v>
      </c>
      <c r="H162" s="4" t="s">
        <v>13</v>
      </c>
      <c r="I162" s="4" t="s">
        <v>19</v>
      </c>
      <c r="J162" s="3" t="s">
        <v>29</v>
      </c>
      <c r="K162" s="3" t="s">
        <v>38</v>
      </c>
      <c r="L162" s="3" t="s">
        <v>24</v>
      </c>
      <c r="M162" s="3" t="s">
        <v>375</v>
      </c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2.75" x14ac:dyDescent="0.2">
      <c r="A163" s="4">
        <v>162</v>
      </c>
      <c r="B163" s="5" t="s">
        <v>223</v>
      </c>
      <c r="C163" s="4"/>
      <c r="D163" s="4"/>
      <c r="E163" s="4"/>
      <c r="F163" s="4"/>
      <c r="G163" s="4" t="s">
        <v>17</v>
      </c>
      <c r="H163" s="4" t="s">
        <v>13</v>
      </c>
      <c r="I163" s="4" t="s">
        <v>19</v>
      </c>
      <c r="J163" s="3" t="s">
        <v>29</v>
      </c>
      <c r="K163" s="3" t="s">
        <v>15</v>
      </c>
      <c r="L163" s="3" t="s">
        <v>24</v>
      </c>
      <c r="M163" s="3" t="s">
        <v>375</v>
      </c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2.75" x14ac:dyDescent="0.2">
      <c r="A164" s="4">
        <v>163</v>
      </c>
      <c r="B164" s="5" t="s">
        <v>224</v>
      </c>
      <c r="C164" s="4"/>
      <c r="D164" s="4"/>
      <c r="E164" s="4"/>
      <c r="F164" s="4"/>
      <c r="G164" s="4" t="s">
        <v>1</v>
      </c>
      <c r="H164" s="4" t="s">
        <v>18</v>
      </c>
      <c r="I164" s="4"/>
      <c r="J164" s="3" t="s">
        <v>34</v>
      </c>
      <c r="K164" s="3"/>
      <c r="L164" s="3" t="s">
        <v>37</v>
      </c>
      <c r="M164" s="3" t="s">
        <v>375</v>
      </c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2.75" x14ac:dyDescent="0.2">
      <c r="A165" s="4">
        <v>164</v>
      </c>
      <c r="B165" s="5" t="s">
        <v>225</v>
      </c>
      <c r="C165" s="4"/>
      <c r="D165" s="4"/>
      <c r="E165" s="4"/>
      <c r="F165" s="4"/>
      <c r="G165" s="4" t="s">
        <v>33</v>
      </c>
      <c r="H165" s="4" t="s">
        <v>13</v>
      </c>
      <c r="I165" s="4" t="s">
        <v>19</v>
      </c>
      <c r="J165" s="3" t="s">
        <v>29</v>
      </c>
      <c r="K165" s="3" t="s">
        <v>48</v>
      </c>
      <c r="L165" s="3" t="s">
        <v>33</v>
      </c>
      <c r="M165" s="3" t="s">
        <v>376</v>
      </c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2.75" x14ac:dyDescent="0.2">
      <c r="A166" s="4">
        <v>165</v>
      </c>
      <c r="B166" s="5" t="s">
        <v>226</v>
      </c>
      <c r="C166" s="4"/>
      <c r="D166" s="4"/>
      <c r="E166" s="4"/>
      <c r="F166" s="4"/>
      <c r="G166" s="4" t="s">
        <v>1</v>
      </c>
      <c r="H166" s="4" t="s">
        <v>18</v>
      </c>
      <c r="I166" s="4"/>
      <c r="J166" s="3" t="s">
        <v>34</v>
      </c>
      <c r="K166" s="3"/>
      <c r="L166" s="3" t="s">
        <v>37</v>
      </c>
      <c r="M166" s="3" t="s">
        <v>375</v>
      </c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2.75" x14ac:dyDescent="0.2">
      <c r="A167" s="4">
        <v>166</v>
      </c>
      <c r="B167" s="5" t="s">
        <v>227</v>
      </c>
      <c r="C167" s="4"/>
      <c r="D167" s="4"/>
      <c r="E167" s="4"/>
      <c r="F167" s="4"/>
      <c r="G167" s="4" t="s">
        <v>33</v>
      </c>
      <c r="H167" s="4" t="s">
        <v>13</v>
      </c>
      <c r="I167" s="4" t="s">
        <v>26</v>
      </c>
      <c r="J167" s="3" t="s">
        <v>29</v>
      </c>
      <c r="K167" s="3" t="s">
        <v>30</v>
      </c>
      <c r="L167" s="3" t="s">
        <v>33</v>
      </c>
      <c r="M167" s="3" t="s">
        <v>376</v>
      </c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2.75" x14ac:dyDescent="0.2">
      <c r="A168" s="4">
        <v>167</v>
      </c>
      <c r="B168" s="5" t="s">
        <v>228</v>
      </c>
      <c r="C168" s="4"/>
      <c r="D168" s="4"/>
      <c r="E168" s="4"/>
      <c r="F168" s="4"/>
      <c r="G168" s="4" t="s">
        <v>17</v>
      </c>
      <c r="H168" s="4" t="s">
        <v>18</v>
      </c>
      <c r="I168" s="4" t="s">
        <v>19</v>
      </c>
      <c r="J168" s="3" t="s">
        <v>20</v>
      </c>
      <c r="K168" s="3"/>
      <c r="L168" s="3" t="s">
        <v>22</v>
      </c>
      <c r="M168" s="3" t="s">
        <v>375</v>
      </c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2.75" x14ac:dyDescent="0.2">
      <c r="A169" s="4">
        <v>168</v>
      </c>
      <c r="B169" s="5" t="s">
        <v>229</v>
      </c>
      <c r="C169" s="4"/>
      <c r="D169" s="4"/>
      <c r="E169" s="4"/>
      <c r="F169" s="4"/>
      <c r="G169" s="4" t="s">
        <v>33</v>
      </c>
      <c r="H169" s="4" t="s">
        <v>18</v>
      </c>
      <c r="I169" s="4" t="s">
        <v>14</v>
      </c>
      <c r="J169" s="3" t="s">
        <v>20</v>
      </c>
      <c r="K169" s="3"/>
      <c r="L169" s="3" t="s">
        <v>33</v>
      </c>
      <c r="M169" s="3" t="s">
        <v>375</v>
      </c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2.75" x14ac:dyDescent="0.2">
      <c r="A170" s="4">
        <v>169</v>
      </c>
      <c r="B170" s="5" t="s">
        <v>230</v>
      </c>
      <c r="C170" s="4"/>
      <c r="D170" s="4"/>
      <c r="E170" s="4"/>
      <c r="F170" s="4"/>
      <c r="G170" s="4" t="s">
        <v>12</v>
      </c>
      <c r="H170" s="4" t="s">
        <v>18</v>
      </c>
      <c r="I170" s="4" t="s">
        <v>14</v>
      </c>
      <c r="J170" s="3" t="s">
        <v>20</v>
      </c>
      <c r="K170" s="3"/>
      <c r="L170" s="3" t="s">
        <v>16</v>
      </c>
      <c r="M170" s="3" t="s">
        <v>375</v>
      </c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2.75" x14ac:dyDescent="0.2">
      <c r="A171" s="4">
        <v>170</v>
      </c>
      <c r="B171" s="5" t="s">
        <v>231</v>
      </c>
      <c r="C171" s="4"/>
      <c r="D171" s="4"/>
      <c r="E171" s="4"/>
      <c r="F171" s="4"/>
      <c r="G171" s="4" t="s">
        <v>17</v>
      </c>
      <c r="H171" s="4" t="s">
        <v>18</v>
      </c>
      <c r="I171" s="4" t="s">
        <v>26</v>
      </c>
      <c r="J171" s="3" t="s">
        <v>23</v>
      </c>
      <c r="K171" s="3"/>
      <c r="L171" s="3" t="s">
        <v>27</v>
      </c>
      <c r="M171" s="3" t="s">
        <v>376</v>
      </c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2.75" x14ac:dyDescent="0.2">
      <c r="A172" s="4">
        <v>171</v>
      </c>
      <c r="B172" s="5" t="s">
        <v>232</v>
      </c>
      <c r="C172" s="4"/>
      <c r="D172" s="4"/>
      <c r="E172" s="4"/>
      <c r="F172" s="4"/>
      <c r="G172" s="4" t="s">
        <v>17</v>
      </c>
      <c r="H172" s="4" t="s">
        <v>18</v>
      </c>
      <c r="I172" s="4" t="s">
        <v>26</v>
      </c>
      <c r="J172" s="3" t="s">
        <v>23</v>
      </c>
      <c r="K172" s="3"/>
      <c r="L172" s="3" t="s">
        <v>27</v>
      </c>
      <c r="M172" s="3" t="s">
        <v>376</v>
      </c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2.75" x14ac:dyDescent="0.2">
      <c r="A173" s="4">
        <v>172</v>
      </c>
      <c r="B173" s="5" t="s">
        <v>233</v>
      </c>
      <c r="C173" s="4"/>
      <c r="D173" s="4"/>
      <c r="E173" s="4"/>
      <c r="F173" s="4"/>
      <c r="G173" s="4" t="s">
        <v>1</v>
      </c>
      <c r="H173" s="4" t="s">
        <v>18</v>
      </c>
      <c r="I173" s="4"/>
      <c r="J173" s="3" t="s">
        <v>34</v>
      </c>
      <c r="K173" s="3"/>
      <c r="L173" s="3" t="s">
        <v>37</v>
      </c>
      <c r="M173" s="3" t="s">
        <v>375</v>
      </c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2.75" x14ac:dyDescent="0.2">
      <c r="A174" s="4">
        <v>173</v>
      </c>
      <c r="B174" s="5" t="s">
        <v>234</v>
      </c>
      <c r="C174" s="4"/>
      <c r="D174" s="4"/>
      <c r="E174" s="4"/>
      <c r="F174" s="4"/>
      <c r="G174" s="4" t="s">
        <v>12</v>
      </c>
      <c r="H174" s="4" t="s">
        <v>0</v>
      </c>
      <c r="I174" s="4" t="s">
        <v>14</v>
      </c>
      <c r="J174" s="3"/>
      <c r="K174" s="3"/>
      <c r="L174" s="3" t="s">
        <v>16</v>
      </c>
      <c r="M174" s="3" t="s">
        <v>376</v>
      </c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2.75" x14ac:dyDescent="0.2">
      <c r="A175" s="4">
        <v>174</v>
      </c>
      <c r="B175" s="5" t="s">
        <v>235</v>
      </c>
      <c r="C175" s="4"/>
      <c r="D175" s="4"/>
      <c r="E175" s="4"/>
      <c r="F175" s="4"/>
      <c r="G175" s="4" t="s">
        <v>31</v>
      </c>
      <c r="H175" s="4" t="s">
        <v>18</v>
      </c>
      <c r="I175" s="4" t="s">
        <v>14</v>
      </c>
      <c r="J175" s="3" t="s">
        <v>20</v>
      </c>
      <c r="K175" s="3"/>
      <c r="L175" s="3" t="s">
        <v>32</v>
      </c>
      <c r="M175" s="3" t="s">
        <v>375</v>
      </c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2.75" x14ac:dyDescent="0.2">
      <c r="A176" s="4">
        <v>175</v>
      </c>
      <c r="B176" s="5" t="s">
        <v>236</v>
      </c>
      <c r="C176" s="4"/>
      <c r="D176" s="4"/>
      <c r="E176" s="4"/>
      <c r="F176" s="4"/>
      <c r="G176" s="4" t="s">
        <v>12</v>
      </c>
      <c r="H176" s="4" t="s">
        <v>18</v>
      </c>
      <c r="I176" s="4" t="s">
        <v>14</v>
      </c>
      <c r="J176" s="3" t="s">
        <v>20</v>
      </c>
      <c r="K176" s="3"/>
      <c r="L176" s="3" t="s">
        <v>16</v>
      </c>
      <c r="M176" s="3" t="s">
        <v>375</v>
      </c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2.75" x14ac:dyDescent="0.2">
      <c r="A177" s="4">
        <v>176</v>
      </c>
      <c r="B177" s="5" t="s">
        <v>237</v>
      </c>
      <c r="C177" s="4"/>
      <c r="D177" s="4"/>
      <c r="E177" s="4"/>
      <c r="F177" s="4"/>
      <c r="G177" s="4" t="s">
        <v>31</v>
      </c>
      <c r="H177" s="4" t="s">
        <v>0</v>
      </c>
      <c r="I177" s="4" t="s">
        <v>14</v>
      </c>
      <c r="J177" s="3"/>
      <c r="K177" s="3"/>
      <c r="L177" s="3" t="s">
        <v>32</v>
      </c>
      <c r="M177" s="3" t="s">
        <v>376</v>
      </c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2.75" x14ac:dyDescent="0.2">
      <c r="A178" s="4">
        <v>177</v>
      </c>
      <c r="B178" s="5" t="s">
        <v>238</v>
      </c>
      <c r="C178" s="4"/>
      <c r="D178" s="4"/>
      <c r="E178" s="4"/>
      <c r="F178" s="4"/>
      <c r="G178" s="4" t="s">
        <v>33</v>
      </c>
      <c r="H178" s="4" t="s">
        <v>0</v>
      </c>
      <c r="I178" s="4" t="s">
        <v>14</v>
      </c>
      <c r="J178" s="3"/>
      <c r="K178" s="3"/>
      <c r="L178" s="3" t="s">
        <v>33</v>
      </c>
      <c r="M178" s="3" t="s">
        <v>376</v>
      </c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2.75" x14ac:dyDescent="0.2">
      <c r="A179" s="4">
        <v>178</v>
      </c>
      <c r="B179" s="5" t="s">
        <v>239</v>
      </c>
      <c r="C179" s="4"/>
      <c r="D179" s="4"/>
      <c r="E179" s="4"/>
      <c r="F179" s="4"/>
      <c r="G179" s="4" t="s">
        <v>17</v>
      </c>
      <c r="H179" s="4" t="s">
        <v>13</v>
      </c>
      <c r="I179" s="4" t="s">
        <v>19</v>
      </c>
      <c r="J179" s="3" t="s">
        <v>29</v>
      </c>
      <c r="K179" s="3" t="s">
        <v>46</v>
      </c>
      <c r="L179" s="3" t="s">
        <v>27</v>
      </c>
      <c r="M179" s="3" t="s">
        <v>376</v>
      </c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2.75" x14ac:dyDescent="0.2">
      <c r="A180" s="4">
        <v>179</v>
      </c>
      <c r="B180" s="5" t="s">
        <v>240</v>
      </c>
      <c r="C180" s="4"/>
      <c r="D180" s="4"/>
      <c r="E180" s="4"/>
      <c r="F180" s="4"/>
      <c r="G180" s="4" t="s">
        <v>17</v>
      </c>
      <c r="H180" s="4" t="s">
        <v>18</v>
      </c>
      <c r="I180" s="4" t="s">
        <v>19</v>
      </c>
      <c r="J180" s="3" t="s">
        <v>34</v>
      </c>
      <c r="K180" s="3"/>
      <c r="L180" s="3" t="s">
        <v>24</v>
      </c>
      <c r="M180" s="3" t="s">
        <v>375</v>
      </c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2.75" x14ac:dyDescent="0.2">
      <c r="A181" s="4">
        <v>180</v>
      </c>
      <c r="B181" s="5" t="s">
        <v>241</v>
      </c>
      <c r="C181" s="4"/>
      <c r="D181" s="4"/>
      <c r="E181" s="4"/>
      <c r="F181" s="4"/>
      <c r="G181" s="4" t="s">
        <v>31</v>
      </c>
      <c r="H181" s="4" t="s">
        <v>18</v>
      </c>
      <c r="I181" s="4" t="s">
        <v>14</v>
      </c>
      <c r="J181" s="3" t="s">
        <v>34</v>
      </c>
      <c r="K181" s="3"/>
      <c r="L181" s="3" t="s">
        <v>32</v>
      </c>
      <c r="M181" s="3" t="s">
        <v>375</v>
      </c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2.75" x14ac:dyDescent="0.2">
      <c r="A182" s="4">
        <v>181</v>
      </c>
      <c r="B182" s="5" t="s">
        <v>242</v>
      </c>
      <c r="C182" s="4"/>
      <c r="D182" s="4"/>
      <c r="E182" s="4"/>
      <c r="F182" s="4"/>
      <c r="G182" s="4" t="s">
        <v>17</v>
      </c>
      <c r="H182" s="4" t="s">
        <v>18</v>
      </c>
      <c r="I182" s="4" t="s">
        <v>19</v>
      </c>
      <c r="J182" s="3" t="s">
        <v>20</v>
      </c>
      <c r="K182" s="3"/>
      <c r="L182" s="3" t="s">
        <v>24</v>
      </c>
      <c r="M182" s="3" t="s">
        <v>375</v>
      </c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2.75" x14ac:dyDescent="0.2">
      <c r="A183" s="4">
        <v>182</v>
      </c>
      <c r="B183" s="5" t="s">
        <v>243</v>
      </c>
      <c r="C183" s="4"/>
      <c r="D183" s="4"/>
      <c r="E183" s="4"/>
      <c r="F183" s="4"/>
      <c r="G183" s="4" t="s">
        <v>33</v>
      </c>
      <c r="H183" s="4" t="s">
        <v>18</v>
      </c>
      <c r="I183" s="4" t="s">
        <v>14</v>
      </c>
      <c r="J183" s="3" t="s">
        <v>20</v>
      </c>
      <c r="K183" s="3"/>
      <c r="L183" s="3" t="s">
        <v>33</v>
      </c>
      <c r="M183" s="3" t="s">
        <v>375</v>
      </c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2.75" x14ac:dyDescent="0.2">
      <c r="A184" s="4">
        <v>183</v>
      </c>
      <c r="B184" s="5" t="s">
        <v>244</v>
      </c>
      <c r="C184" s="4"/>
      <c r="D184" s="4"/>
      <c r="E184" s="4"/>
      <c r="F184" s="4"/>
      <c r="G184" s="4" t="s">
        <v>17</v>
      </c>
      <c r="H184" s="4" t="s">
        <v>18</v>
      </c>
      <c r="I184" s="4" t="s">
        <v>19</v>
      </c>
      <c r="J184" s="3" t="s">
        <v>23</v>
      </c>
      <c r="K184" s="3"/>
      <c r="L184" s="3" t="s">
        <v>27</v>
      </c>
      <c r="M184" s="3" t="s">
        <v>376</v>
      </c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2.75" x14ac:dyDescent="0.2">
      <c r="A185" s="4">
        <v>184</v>
      </c>
      <c r="B185" s="5" t="s">
        <v>245</v>
      </c>
      <c r="C185" s="4"/>
      <c r="D185" s="4"/>
      <c r="E185" s="4"/>
      <c r="F185" s="4"/>
      <c r="G185" s="4" t="s">
        <v>33</v>
      </c>
      <c r="H185" s="4" t="s">
        <v>18</v>
      </c>
      <c r="I185" s="4" t="s">
        <v>14</v>
      </c>
      <c r="J185" s="3" t="s">
        <v>20</v>
      </c>
      <c r="K185" s="3"/>
      <c r="L185" s="3" t="s">
        <v>33</v>
      </c>
      <c r="M185" s="3" t="s">
        <v>375</v>
      </c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2.75" x14ac:dyDescent="0.2">
      <c r="A186" s="4">
        <v>185</v>
      </c>
      <c r="B186" s="5" t="s">
        <v>246</v>
      </c>
      <c r="C186" s="4"/>
      <c r="D186" s="4"/>
      <c r="E186" s="4"/>
      <c r="F186" s="4"/>
      <c r="G186" s="4" t="s">
        <v>31</v>
      </c>
      <c r="H186" s="4" t="s">
        <v>18</v>
      </c>
      <c r="I186" s="4" t="s">
        <v>14</v>
      </c>
      <c r="J186" s="3" t="s">
        <v>20</v>
      </c>
      <c r="K186" s="3"/>
      <c r="L186" s="3" t="s">
        <v>32</v>
      </c>
      <c r="M186" s="3" t="s">
        <v>375</v>
      </c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2.75" x14ac:dyDescent="0.2">
      <c r="A187" s="4">
        <v>186</v>
      </c>
      <c r="B187" s="5" t="s">
        <v>247</v>
      </c>
      <c r="C187" s="4"/>
      <c r="D187" s="4"/>
      <c r="E187" s="4"/>
      <c r="F187" s="4"/>
      <c r="G187" s="4" t="s">
        <v>17</v>
      </c>
      <c r="H187" s="4" t="s">
        <v>18</v>
      </c>
      <c r="I187" s="4" t="s">
        <v>26</v>
      </c>
      <c r="J187" s="3" t="s">
        <v>23</v>
      </c>
      <c r="K187" s="3"/>
      <c r="L187" s="3" t="s">
        <v>27</v>
      </c>
      <c r="M187" s="3" t="s">
        <v>376</v>
      </c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2.75" x14ac:dyDescent="0.2">
      <c r="A188" s="4">
        <v>187</v>
      </c>
      <c r="B188" s="5" t="s">
        <v>248</v>
      </c>
      <c r="C188" s="4"/>
      <c r="D188" s="4"/>
      <c r="E188" s="4"/>
      <c r="F188" s="4"/>
      <c r="G188" s="4" t="s">
        <v>17</v>
      </c>
      <c r="H188" s="4" t="s">
        <v>18</v>
      </c>
      <c r="I188" s="4" t="s">
        <v>26</v>
      </c>
      <c r="J188" s="3" t="s">
        <v>23</v>
      </c>
      <c r="K188" s="3"/>
      <c r="L188" s="3" t="s">
        <v>27</v>
      </c>
      <c r="M188" s="3" t="s">
        <v>376</v>
      </c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2.75" x14ac:dyDescent="0.2">
      <c r="A189" s="4">
        <v>188</v>
      </c>
      <c r="B189" s="5" t="s">
        <v>249</v>
      </c>
      <c r="C189" s="4"/>
      <c r="D189" s="4"/>
      <c r="E189" s="4"/>
      <c r="F189" s="4"/>
      <c r="G189" s="4" t="s">
        <v>17</v>
      </c>
      <c r="H189" s="4" t="s">
        <v>18</v>
      </c>
      <c r="I189" s="4" t="s">
        <v>26</v>
      </c>
      <c r="J189" s="3" t="s">
        <v>23</v>
      </c>
      <c r="K189" s="3"/>
      <c r="L189" s="3" t="s">
        <v>25</v>
      </c>
      <c r="M189" s="3" t="s">
        <v>376</v>
      </c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2.75" x14ac:dyDescent="0.2">
      <c r="A190" s="4">
        <v>189</v>
      </c>
      <c r="B190" s="5" t="s">
        <v>250</v>
      </c>
      <c r="C190" s="4"/>
      <c r="D190" s="4"/>
      <c r="E190" s="4"/>
      <c r="F190" s="4"/>
      <c r="G190" s="4" t="s">
        <v>17</v>
      </c>
      <c r="H190" s="4" t="s">
        <v>18</v>
      </c>
      <c r="I190" s="4" t="s">
        <v>26</v>
      </c>
      <c r="J190" s="3" t="s">
        <v>23</v>
      </c>
      <c r="K190" s="3"/>
      <c r="L190" s="3" t="s">
        <v>25</v>
      </c>
      <c r="M190" s="3" t="s">
        <v>376</v>
      </c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2.75" x14ac:dyDescent="0.2">
      <c r="A191" s="4">
        <v>190</v>
      </c>
      <c r="B191" s="5" t="s">
        <v>251</v>
      </c>
      <c r="C191" s="4"/>
      <c r="D191" s="4"/>
      <c r="E191" s="4"/>
      <c r="F191" s="4"/>
      <c r="G191" s="4" t="s">
        <v>17</v>
      </c>
      <c r="H191" s="4" t="s">
        <v>18</v>
      </c>
      <c r="I191" s="4" t="s">
        <v>26</v>
      </c>
      <c r="J191" s="3" t="s">
        <v>23</v>
      </c>
      <c r="K191" s="3"/>
      <c r="L191" s="3" t="s">
        <v>25</v>
      </c>
      <c r="M191" s="3" t="s">
        <v>376</v>
      </c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2.75" x14ac:dyDescent="0.2">
      <c r="A192" s="4">
        <v>191</v>
      </c>
      <c r="B192" s="5" t="s">
        <v>252</v>
      </c>
      <c r="C192" s="4"/>
      <c r="D192" s="4"/>
      <c r="E192" s="4"/>
      <c r="F192" s="4"/>
      <c r="G192" s="4" t="s">
        <v>31</v>
      </c>
      <c r="H192" s="4" t="s">
        <v>18</v>
      </c>
      <c r="I192" s="4" t="s">
        <v>14</v>
      </c>
      <c r="J192" s="3" t="s">
        <v>20</v>
      </c>
      <c r="K192" s="3"/>
      <c r="L192" s="3" t="s">
        <v>32</v>
      </c>
      <c r="M192" s="3" t="s">
        <v>375</v>
      </c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2.75" x14ac:dyDescent="0.2">
      <c r="A193" s="4">
        <v>192</v>
      </c>
      <c r="B193" s="5" t="s">
        <v>253</v>
      </c>
      <c r="C193" s="4"/>
      <c r="D193" s="4"/>
      <c r="E193" s="4"/>
      <c r="F193" s="4"/>
      <c r="G193" s="4" t="s">
        <v>33</v>
      </c>
      <c r="H193" s="4" t="s">
        <v>18</v>
      </c>
      <c r="I193" s="4" t="s">
        <v>14</v>
      </c>
      <c r="J193" s="3" t="s">
        <v>34</v>
      </c>
      <c r="K193" s="3"/>
      <c r="L193" s="3" t="s">
        <v>33</v>
      </c>
      <c r="M193" s="3" t="s">
        <v>375</v>
      </c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2.75" x14ac:dyDescent="0.2">
      <c r="A194" s="4">
        <v>193</v>
      </c>
      <c r="B194" s="5" t="s">
        <v>254</v>
      </c>
      <c r="C194" s="4"/>
      <c r="D194" s="4"/>
      <c r="E194" s="4"/>
      <c r="F194" s="4"/>
      <c r="G194" s="4" t="s">
        <v>17</v>
      </c>
      <c r="H194" s="4" t="s">
        <v>13</v>
      </c>
      <c r="I194" s="4" t="s">
        <v>19</v>
      </c>
      <c r="J194" s="3" t="s">
        <v>29</v>
      </c>
      <c r="K194" s="3" t="s">
        <v>30</v>
      </c>
      <c r="L194" s="3" t="s">
        <v>22</v>
      </c>
      <c r="M194" s="3" t="s">
        <v>375</v>
      </c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2.75" x14ac:dyDescent="0.2">
      <c r="A195" s="4">
        <v>194</v>
      </c>
      <c r="B195" s="5" t="s">
        <v>255</v>
      </c>
      <c r="C195" s="4"/>
      <c r="D195" s="4"/>
      <c r="E195" s="4"/>
      <c r="F195" s="4"/>
      <c r="G195" s="4" t="s">
        <v>1</v>
      </c>
      <c r="H195" s="4" t="s">
        <v>13</v>
      </c>
      <c r="I195" s="4"/>
      <c r="J195" s="3" t="s">
        <v>29</v>
      </c>
      <c r="K195" s="3" t="s">
        <v>36</v>
      </c>
      <c r="L195" s="3" t="s">
        <v>37</v>
      </c>
      <c r="M195" s="3" t="s">
        <v>375</v>
      </c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2.75" x14ac:dyDescent="0.2">
      <c r="A196" s="4">
        <v>195</v>
      </c>
      <c r="B196" s="5" t="s">
        <v>256</v>
      </c>
      <c r="C196" s="4"/>
      <c r="D196" s="4"/>
      <c r="E196" s="4"/>
      <c r="F196" s="4"/>
      <c r="G196" s="4" t="s">
        <v>33</v>
      </c>
      <c r="H196" s="4" t="s">
        <v>18</v>
      </c>
      <c r="I196" s="4" t="s">
        <v>14</v>
      </c>
      <c r="J196" s="3" t="s">
        <v>34</v>
      </c>
      <c r="K196" s="3"/>
      <c r="L196" s="3" t="s">
        <v>33</v>
      </c>
      <c r="M196" s="3" t="s">
        <v>375</v>
      </c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2.75" x14ac:dyDescent="0.2">
      <c r="A197" s="4">
        <v>196</v>
      </c>
      <c r="B197" s="5" t="s">
        <v>257</v>
      </c>
      <c r="C197" s="4"/>
      <c r="D197" s="4"/>
      <c r="E197" s="4"/>
      <c r="F197" s="4"/>
      <c r="G197" s="4" t="s">
        <v>17</v>
      </c>
      <c r="H197" s="4" t="s">
        <v>13</v>
      </c>
      <c r="I197" s="4" t="s">
        <v>19</v>
      </c>
      <c r="J197" s="3" t="s">
        <v>29</v>
      </c>
      <c r="K197" s="3" t="s">
        <v>49</v>
      </c>
      <c r="L197" s="3" t="s">
        <v>27</v>
      </c>
      <c r="M197" s="3" t="s">
        <v>376</v>
      </c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2.75" x14ac:dyDescent="0.2">
      <c r="A198" s="4">
        <v>197</v>
      </c>
      <c r="B198" s="5" t="s">
        <v>258</v>
      </c>
      <c r="C198" s="4"/>
      <c r="D198" s="4"/>
      <c r="E198" s="4"/>
      <c r="F198" s="4"/>
      <c r="G198" s="4" t="s">
        <v>17</v>
      </c>
      <c r="H198" s="4" t="s">
        <v>18</v>
      </c>
      <c r="I198" s="4" t="s">
        <v>19</v>
      </c>
      <c r="J198" s="3" t="s">
        <v>39</v>
      </c>
      <c r="K198" s="3"/>
      <c r="L198" s="3" t="s">
        <v>24</v>
      </c>
      <c r="M198" s="3" t="s">
        <v>375</v>
      </c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2.75" x14ac:dyDescent="0.2">
      <c r="A199" s="4">
        <v>198</v>
      </c>
      <c r="B199" s="5" t="s">
        <v>259</v>
      </c>
      <c r="C199" s="4"/>
      <c r="D199" s="4"/>
      <c r="E199" s="4"/>
      <c r="F199" s="4"/>
      <c r="G199" s="4" t="s">
        <v>33</v>
      </c>
      <c r="H199" s="4" t="s">
        <v>18</v>
      </c>
      <c r="I199" s="4" t="s">
        <v>14</v>
      </c>
      <c r="J199" s="3" t="s">
        <v>39</v>
      </c>
      <c r="K199" s="3"/>
      <c r="L199" s="3" t="s">
        <v>33</v>
      </c>
      <c r="M199" s="3" t="s">
        <v>375</v>
      </c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2.75" x14ac:dyDescent="0.2">
      <c r="A200" s="4">
        <v>199</v>
      </c>
      <c r="B200" s="5" t="s">
        <v>260</v>
      </c>
      <c r="C200" s="4"/>
      <c r="D200" s="4"/>
      <c r="E200" s="4"/>
      <c r="F200" s="4"/>
      <c r="G200" s="4" t="s">
        <v>1</v>
      </c>
      <c r="H200" s="4" t="s">
        <v>18</v>
      </c>
      <c r="I200" s="4"/>
      <c r="J200" s="3" t="s">
        <v>34</v>
      </c>
      <c r="K200" s="3"/>
      <c r="L200" s="3" t="s">
        <v>37</v>
      </c>
      <c r="M200" s="3" t="s">
        <v>375</v>
      </c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2.75" x14ac:dyDescent="0.2">
      <c r="A201" s="4">
        <v>200</v>
      </c>
      <c r="B201" s="5" t="s">
        <v>261</v>
      </c>
      <c r="C201" s="4"/>
      <c r="D201" s="4"/>
      <c r="E201" s="4"/>
      <c r="F201" s="4"/>
      <c r="G201" s="4" t="s">
        <v>17</v>
      </c>
      <c r="H201" s="4" t="s">
        <v>13</v>
      </c>
      <c r="I201" s="4" t="s">
        <v>19</v>
      </c>
      <c r="J201" s="3" t="s">
        <v>29</v>
      </c>
      <c r="K201" s="3" t="s">
        <v>30</v>
      </c>
      <c r="L201" s="3" t="s">
        <v>25</v>
      </c>
      <c r="M201" s="3" t="s">
        <v>376</v>
      </c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2.75" x14ac:dyDescent="0.2">
      <c r="A202" s="4">
        <v>201</v>
      </c>
      <c r="B202" s="5" t="s">
        <v>262</v>
      </c>
      <c r="C202" s="4"/>
      <c r="D202" s="4"/>
      <c r="E202" s="4"/>
      <c r="F202" s="4"/>
      <c r="G202" s="4" t="s">
        <v>1</v>
      </c>
      <c r="H202" s="4" t="s">
        <v>0</v>
      </c>
      <c r="I202" s="4"/>
      <c r="J202" s="3"/>
      <c r="K202" s="3"/>
      <c r="L202" s="3" t="s">
        <v>37</v>
      </c>
      <c r="M202" s="3" t="s">
        <v>375</v>
      </c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2.75" x14ac:dyDescent="0.2">
      <c r="A203" s="4">
        <v>202</v>
      </c>
      <c r="B203" s="5" t="s">
        <v>263</v>
      </c>
      <c r="C203" s="4"/>
      <c r="D203" s="4"/>
      <c r="E203" s="4"/>
      <c r="F203" s="4"/>
      <c r="G203" s="4" t="s">
        <v>33</v>
      </c>
      <c r="H203" s="4" t="s">
        <v>0</v>
      </c>
      <c r="I203" s="4" t="s">
        <v>26</v>
      </c>
      <c r="J203" s="3"/>
      <c r="K203" s="3"/>
      <c r="L203" s="3" t="s">
        <v>33</v>
      </c>
      <c r="M203" s="3" t="s">
        <v>375</v>
      </c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2.75" x14ac:dyDescent="0.2">
      <c r="A204" s="4">
        <v>203</v>
      </c>
      <c r="B204" s="5" t="s">
        <v>264</v>
      </c>
      <c r="C204" s="4"/>
      <c r="D204" s="4"/>
      <c r="E204" s="4"/>
      <c r="F204" s="4"/>
      <c r="G204" s="4" t="s">
        <v>17</v>
      </c>
      <c r="H204" s="4" t="s">
        <v>18</v>
      </c>
      <c r="I204" s="4" t="s">
        <v>19</v>
      </c>
      <c r="J204" s="3" t="s">
        <v>34</v>
      </c>
      <c r="K204" s="3"/>
      <c r="L204" s="3" t="s">
        <v>22</v>
      </c>
      <c r="M204" s="3" t="s">
        <v>375</v>
      </c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2.75" x14ac:dyDescent="0.2">
      <c r="A205" s="4">
        <v>204</v>
      </c>
      <c r="B205" s="5" t="s">
        <v>265</v>
      </c>
      <c r="C205" s="4"/>
      <c r="D205" s="4"/>
      <c r="E205" s="4"/>
      <c r="F205" s="4"/>
      <c r="G205" s="4" t="s">
        <v>17</v>
      </c>
      <c r="H205" s="4" t="s">
        <v>18</v>
      </c>
      <c r="I205" s="4" t="s">
        <v>19</v>
      </c>
      <c r="J205" s="3" t="s">
        <v>50</v>
      </c>
      <c r="K205" s="3"/>
      <c r="L205" s="3" t="s">
        <v>22</v>
      </c>
      <c r="M205" s="3" t="s">
        <v>375</v>
      </c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2.75" x14ac:dyDescent="0.2">
      <c r="A206" s="4">
        <v>205</v>
      </c>
      <c r="B206" s="5" t="s">
        <v>266</v>
      </c>
      <c r="C206" s="4"/>
      <c r="D206" s="4"/>
      <c r="E206" s="4"/>
      <c r="F206" s="4"/>
      <c r="G206" s="4" t="s">
        <v>33</v>
      </c>
      <c r="H206" s="4" t="s">
        <v>18</v>
      </c>
      <c r="I206" s="4" t="s">
        <v>14</v>
      </c>
      <c r="J206" s="3" t="s">
        <v>34</v>
      </c>
      <c r="K206" s="3"/>
      <c r="L206" s="3" t="s">
        <v>33</v>
      </c>
      <c r="M206" s="3" t="s">
        <v>375</v>
      </c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2.75" x14ac:dyDescent="0.2">
      <c r="A207" s="4">
        <v>206</v>
      </c>
      <c r="B207" s="5" t="s">
        <v>267</v>
      </c>
      <c r="C207" s="4"/>
      <c r="D207" s="4"/>
      <c r="E207" s="4"/>
      <c r="F207" s="4"/>
      <c r="G207" s="4" t="s">
        <v>1</v>
      </c>
      <c r="H207" s="4" t="s">
        <v>18</v>
      </c>
      <c r="I207" s="4"/>
      <c r="J207" s="3" t="s">
        <v>34</v>
      </c>
      <c r="K207" s="3"/>
      <c r="L207" s="3" t="s">
        <v>37</v>
      </c>
      <c r="M207" s="3" t="s">
        <v>375</v>
      </c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2.75" x14ac:dyDescent="0.2">
      <c r="A208" s="4">
        <v>207</v>
      </c>
      <c r="B208" s="5" t="s">
        <v>268</v>
      </c>
      <c r="C208" s="4"/>
      <c r="D208" s="4"/>
      <c r="E208" s="4"/>
      <c r="F208" s="4"/>
      <c r="G208" s="4" t="s">
        <v>33</v>
      </c>
      <c r="H208" s="4" t="s">
        <v>0</v>
      </c>
      <c r="I208" s="4" t="s">
        <v>14</v>
      </c>
      <c r="J208" s="3"/>
      <c r="K208" s="3"/>
      <c r="L208" s="3" t="s">
        <v>33</v>
      </c>
      <c r="M208" s="3" t="s">
        <v>375</v>
      </c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2.75" x14ac:dyDescent="0.2">
      <c r="A209" s="4">
        <v>208</v>
      </c>
      <c r="B209" s="5" t="s">
        <v>269</v>
      </c>
      <c r="C209" s="4"/>
      <c r="D209" s="4"/>
      <c r="E209" s="4"/>
      <c r="F209" s="4"/>
      <c r="G209" s="4" t="s">
        <v>1</v>
      </c>
      <c r="H209" s="4" t="s">
        <v>18</v>
      </c>
      <c r="I209" s="4"/>
      <c r="J209" s="3" t="s">
        <v>50</v>
      </c>
      <c r="K209" s="3"/>
      <c r="L209" s="3" t="s">
        <v>37</v>
      </c>
      <c r="M209" s="3" t="s">
        <v>375</v>
      </c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2.75" x14ac:dyDescent="0.2">
      <c r="A210" s="4">
        <v>209</v>
      </c>
      <c r="B210" s="5" t="s">
        <v>270</v>
      </c>
      <c r="C210" s="4"/>
      <c r="D210" s="4"/>
      <c r="E210" s="4"/>
      <c r="F210" s="4"/>
      <c r="G210" s="4" t="s">
        <v>33</v>
      </c>
      <c r="H210" s="4" t="s">
        <v>18</v>
      </c>
      <c r="I210" s="4" t="s">
        <v>19</v>
      </c>
      <c r="J210" s="3" t="s">
        <v>50</v>
      </c>
      <c r="K210" s="3"/>
      <c r="L210" s="3" t="s">
        <v>33</v>
      </c>
      <c r="M210" s="3" t="s">
        <v>375</v>
      </c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2.75" x14ac:dyDescent="0.2">
      <c r="A211" s="4">
        <v>210</v>
      </c>
      <c r="B211" s="5" t="s">
        <v>271</v>
      </c>
      <c r="C211" s="4"/>
      <c r="D211" s="4"/>
      <c r="E211" s="4"/>
      <c r="F211" s="4"/>
      <c r="G211" s="4" t="s">
        <v>17</v>
      </c>
      <c r="H211" s="4" t="s">
        <v>18</v>
      </c>
      <c r="I211" s="4" t="s">
        <v>19</v>
      </c>
      <c r="J211" s="3" t="s">
        <v>34</v>
      </c>
      <c r="K211" s="3"/>
      <c r="L211" s="3" t="s">
        <v>22</v>
      </c>
      <c r="M211" s="3" t="s">
        <v>375</v>
      </c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2.75" x14ac:dyDescent="0.2">
      <c r="A212" s="4">
        <v>211</v>
      </c>
      <c r="B212" s="5" t="s">
        <v>272</v>
      </c>
      <c r="C212" s="4"/>
      <c r="D212" s="4"/>
      <c r="E212" s="4"/>
      <c r="F212" s="4"/>
      <c r="G212" s="4" t="s">
        <v>1</v>
      </c>
      <c r="H212" s="4" t="s">
        <v>18</v>
      </c>
      <c r="I212" s="4"/>
      <c r="J212" s="3" t="s">
        <v>20</v>
      </c>
      <c r="K212" s="3"/>
      <c r="L212" s="3" t="s">
        <v>37</v>
      </c>
      <c r="M212" s="3" t="s">
        <v>375</v>
      </c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2.75" x14ac:dyDescent="0.2">
      <c r="A213" s="4">
        <v>212</v>
      </c>
      <c r="B213" s="5" t="s">
        <v>273</v>
      </c>
      <c r="C213" s="4"/>
      <c r="D213" s="4"/>
      <c r="E213" s="4"/>
      <c r="F213" s="4"/>
      <c r="G213" s="4" t="s">
        <v>1</v>
      </c>
      <c r="H213" s="4" t="s">
        <v>18</v>
      </c>
      <c r="I213" s="4"/>
      <c r="J213" s="3" t="s">
        <v>50</v>
      </c>
      <c r="K213" s="3"/>
      <c r="L213" s="3" t="s">
        <v>37</v>
      </c>
      <c r="M213" s="3" t="s">
        <v>375</v>
      </c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2.75" x14ac:dyDescent="0.2">
      <c r="A214" s="4">
        <v>213</v>
      </c>
      <c r="B214" s="5" t="s">
        <v>274</v>
      </c>
      <c r="C214" s="4"/>
      <c r="D214" s="4"/>
      <c r="E214" s="4"/>
      <c r="F214" s="4"/>
      <c r="G214" s="4" t="s">
        <v>1</v>
      </c>
      <c r="H214" s="4" t="s">
        <v>18</v>
      </c>
      <c r="I214" s="4"/>
      <c r="J214" s="3" t="s">
        <v>20</v>
      </c>
      <c r="K214" s="3"/>
      <c r="L214" s="3" t="s">
        <v>37</v>
      </c>
      <c r="M214" s="3" t="s">
        <v>375</v>
      </c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2.75" x14ac:dyDescent="0.2">
      <c r="A215" s="4">
        <v>214</v>
      </c>
      <c r="B215" s="5" t="s">
        <v>275</v>
      </c>
      <c r="C215" s="4"/>
      <c r="D215" s="4"/>
      <c r="E215" s="4"/>
      <c r="F215" s="4"/>
      <c r="G215" s="4" t="s">
        <v>17</v>
      </c>
      <c r="H215" s="4" t="s">
        <v>0</v>
      </c>
      <c r="I215" s="4" t="s">
        <v>19</v>
      </c>
      <c r="J215" s="3"/>
      <c r="K215" s="3"/>
      <c r="L215" s="3" t="s">
        <v>22</v>
      </c>
      <c r="M215" s="3" t="s">
        <v>375</v>
      </c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2.75" x14ac:dyDescent="0.2">
      <c r="A216" s="4">
        <v>215</v>
      </c>
      <c r="B216" s="5" t="s">
        <v>276</v>
      </c>
      <c r="C216" s="4"/>
      <c r="D216" s="4"/>
      <c r="E216" s="4"/>
      <c r="F216" s="4"/>
      <c r="G216" s="4" t="s">
        <v>33</v>
      </c>
      <c r="H216" s="4" t="s">
        <v>18</v>
      </c>
      <c r="I216" s="4" t="s">
        <v>14</v>
      </c>
      <c r="J216" s="3" t="s">
        <v>20</v>
      </c>
      <c r="K216" s="3"/>
      <c r="L216" s="3" t="s">
        <v>33</v>
      </c>
      <c r="M216" s="3" t="s">
        <v>375</v>
      </c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2.75" x14ac:dyDescent="0.2">
      <c r="A217" s="4">
        <v>216</v>
      </c>
      <c r="B217" s="5" t="s">
        <v>277</v>
      </c>
      <c r="C217" s="4"/>
      <c r="D217" s="4"/>
      <c r="E217" s="4"/>
      <c r="F217" s="4"/>
      <c r="G217" s="4" t="s">
        <v>17</v>
      </c>
      <c r="H217" s="4" t="s">
        <v>0</v>
      </c>
      <c r="I217" s="4" t="s">
        <v>26</v>
      </c>
      <c r="J217" s="3"/>
      <c r="K217" s="3"/>
      <c r="L217" s="3" t="s">
        <v>22</v>
      </c>
      <c r="M217" s="3" t="s">
        <v>375</v>
      </c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2.75" x14ac:dyDescent="0.2">
      <c r="A218" s="4">
        <v>217</v>
      </c>
      <c r="B218" s="5" t="s">
        <v>278</v>
      </c>
      <c r="C218" s="4"/>
      <c r="D218" s="4"/>
      <c r="E218" s="4"/>
      <c r="F218" s="4"/>
      <c r="G218" s="4" t="s">
        <v>31</v>
      </c>
      <c r="H218" s="4" t="s">
        <v>0</v>
      </c>
      <c r="I218" s="4" t="s">
        <v>14</v>
      </c>
      <c r="J218" s="3"/>
      <c r="K218" s="3"/>
      <c r="L218" s="3" t="s">
        <v>32</v>
      </c>
      <c r="M218" s="3" t="s">
        <v>375</v>
      </c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2.75" x14ac:dyDescent="0.2">
      <c r="A219" s="4">
        <v>218</v>
      </c>
      <c r="B219" s="5" t="s">
        <v>279</v>
      </c>
      <c r="C219" s="4"/>
      <c r="D219" s="4"/>
      <c r="E219" s="4"/>
      <c r="F219" s="4"/>
      <c r="G219" s="4" t="s">
        <v>12</v>
      </c>
      <c r="H219" s="4" t="s">
        <v>18</v>
      </c>
      <c r="I219" s="4" t="s">
        <v>14</v>
      </c>
      <c r="J219" s="3" t="s">
        <v>20</v>
      </c>
      <c r="K219" s="3"/>
      <c r="L219" s="3" t="s">
        <v>16</v>
      </c>
      <c r="M219" s="3" t="s">
        <v>375</v>
      </c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2.75" x14ac:dyDescent="0.2">
      <c r="A220" s="4">
        <v>219</v>
      </c>
      <c r="B220" s="5" t="s">
        <v>280</v>
      </c>
      <c r="C220" s="4"/>
      <c r="D220" s="4"/>
      <c r="E220" s="4"/>
      <c r="F220" s="4"/>
      <c r="G220" s="4" t="s">
        <v>31</v>
      </c>
      <c r="H220" s="4" t="s">
        <v>18</v>
      </c>
      <c r="I220" s="4" t="s">
        <v>19</v>
      </c>
      <c r="J220" s="3" t="s">
        <v>34</v>
      </c>
      <c r="K220" s="3"/>
      <c r="L220" s="3" t="s">
        <v>32</v>
      </c>
      <c r="M220" s="3" t="s">
        <v>375</v>
      </c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2.75" x14ac:dyDescent="0.2">
      <c r="A221" s="4">
        <v>220</v>
      </c>
      <c r="B221" s="5" t="s">
        <v>281</v>
      </c>
      <c r="C221" s="4"/>
      <c r="D221" s="4"/>
      <c r="E221" s="4"/>
      <c r="F221" s="4"/>
      <c r="G221" s="4" t="s">
        <v>1</v>
      </c>
      <c r="H221" s="4" t="s">
        <v>18</v>
      </c>
      <c r="I221" s="4"/>
      <c r="J221" s="3" t="s">
        <v>20</v>
      </c>
      <c r="K221" s="3"/>
      <c r="L221" s="3" t="s">
        <v>37</v>
      </c>
      <c r="M221" s="3" t="s">
        <v>375</v>
      </c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2.75" x14ac:dyDescent="0.2">
      <c r="A222" s="4">
        <v>221</v>
      </c>
      <c r="B222" s="5" t="s">
        <v>282</v>
      </c>
      <c r="C222" s="4"/>
      <c r="D222" s="4"/>
      <c r="E222" s="4"/>
      <c r="F222" s="4"/>
      <c r="G222" s="4" t="s">
        <v>17</v>
      </c>
      <c r="H222" s="4" t="s">
        <v>13</v>
      </c>
      <c r="I222" s="4" t="s">
        <v>19</v>
      </c>
      <c r="J222" s="3" t="s">
        <v>29</v>
      </c>
      <c r="K222" s="3" t="s">
        <v>51</v>
      </c>
      <c r="L222" s="3" t="s">
        <v>27</v>
      </c>
      <c r="M222" s="3" t="s">
        <v>376</v>
      </c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2.75" x14ac:dyDescent="0.2">
      <c r="A223" s="4">
        <v>222</v>
      </c>
      <c r="B223" s="5" t="s">
        <v>283</v>
      </c>
      <c r="C223" s="4"/>
      <c r="D223" s="4"/>
      <c r="E223" s="4"/>
      <c r="F223" s="4"/>
      <c r="G223" s="4" t="s">
        <v>1</v>
      </c>
      <c r="H223" s="4" t="s">
        <v>13</v>
      </c>
      <c r="I223" s="4"/>
      <c r="J223" s="3" t="s">
        <v>29</v>
      </c>
      <c r="K223" s="3" t="s">
        <v>43</v>
      </c>
      <c r="L223" s="3" t="s">
        <v>37</v>
      </c>
      <c r="M223" s="3" t="s">
        <v>375</v>
      </c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2.75" x14ac:dyDescent="0.2">
      <c r="A224" s="4">
        <v>223</v>
      </c>
      <c r="B224" s="5" t="s">
        <v>284</v>
      </c>
      <c r="C224" s="4"/>
      <c r="D224" s="4"/>
      <c r="E224" s="4"/>
      <c r="F224" s="4"/>
      <c r="G224" s="4" t="s">
        <v>17</v>
      </c>
      <c r="H224" s="4" t="s">
        <v>13</v>
      </c>
      <c r="I224" s="4" t="s">
        <v>19</v>
      </c>
      <c r="J224" s="3" t="s">
        <v>29</v>
      </c>
      <c r="K224" s="3" t="s">
        <v>43</v>
      </c>
      <c r="L224" s="3" t="s">
        <v>22</v>
      </c>
      <c r="M224" s="3" t="s">
        <v>375</v>
      </c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2.75" x14ac:dyDescent="0.2">
      <c r="A225" s="4">
        <v>224</v>
      </c>
      <c r="B225" s="5" t="s">
        <v>285</v>
      </c>
      <c r="C225" s="4"/>
      <c r="D225" s="4"/>
      <c r="E225" s="4"/>
      <c r="F225" s="4"/>
      <c r="G225" s="4" t="s">
        <v>33</v>
      </c>
      <c r="H225" s="4" t="s">
        <v>13</v>
      </c>
      <c r="I225" s="4" t="s">
        <v>19</v>
      </c>
      <c r="J225" s="3" t="s">
        <v>29</v>
      </c>
      <c r="K225" s="3" t="s">
        <v>43</v>
      </c>
      <c r="L225" s="3" t="s">
        <v>33</v>
      </c>
      <c r="M225" s="3" t="s">
        <v>375</v>
      </c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2.75" x14ac:dyDescent="0.2">
      <c r="A226" s="4">
        <v>225</v>
      </c>
      <c r="B226" s="5" t="s">
        <v>286</v>
      </c>
      <c r="C226" s="4"/>
      <c r="D226" s="4"/>
      <c r="E226" s="4"/>
      <c r="F226" s="4"/>
      <c r="G226" s="4" t="s">
        <v>1</v>
      </c>
      <c r="H226" s="4" t="s">
        <v>13</v>
      </c>
      <c r="I226" s="4"/>
      <c r="J226" s="3" t="s">
        <v>29</v>
      </c>
      <c r="K226" s="3" t="s">
        <v>43</v>
      </c>
      <c r="L226" s="3" t="s">
        <v>37</v>
      </c>
      <c r="M226" s="3" t="s">
        <v>375</v>
      </c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2.75" x14ac:dyDescent="0.2">
      <c r="A227" s="4">
        <v>226</v>
      </c>
      <c r="B227" s="5" t="s">
        <v>287</v>
      </c>
      <c r="C227" s="4"/>
      <c r="D227" s="4"/>
      <c r="E227" s="4"/>
      <c r="F227" s="4"/>
      <c r="G227" s="4" t="s">
        <v>1</v>
      </c>
      <c r="H227" s="4" t="s">
        <v>13</v>
      </c>
      <c r="I227" s="4"/>
      <c r="J227" s="3" t="s">
        <v>29</v>
      </c>
      <c r="K227" s="3" t="s">
        <v>43</v>
      </c>
      <c r="L227" s="3" t="s">
        <v>37</v>
      </c>
      <c r="M227" s="3" t="s">
        <v>375</v>
      </c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2.75" x14ac:dyDescent="0.2">
      <c r="A228" s="4">
        <v>227</v>
      </c>
      <c r="B228" s="5" t="s">
        <v>288</v>
      </c>
      <c r="C228" s="4"/>
      <c r="D228" s="4"/>
      <c r="E228" s="4"/>
      <c r="F228" s="4"/>
      <c r="G228" s="4" t="s">
        <v>31</v>
      </c>
      <c r="H228" s="4" t="s">
        <v>13</v>
      </c>
      <c r="I228" s="4" t="s">
        <v>26</v>
      </c>
      <c r="J228" s="3" t="s">
        <v>29</v>
      </c>
      <c r="K228" s="3" t="s">
        <v>43</v>
      </c>
      <c r="L228" s="3" t="s">
        <v>32</v>
      </c>
      <c r="M228" s="3" t="s">
        <v>375</v>
      </c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2.75" x14ac:dyDescent="0.2">
      <c r="A229" s="4">
        <v>228</v>
      </c>
      <c r="B229" s="5" t="s">
        <v>289</v>
      </c>
      <c r="C229" s="4"/>
      <c r="D229" s="4"/>
      <c r="E229" s="4"/>
      <c r="F229" s="4"/>
      <c r="G229" s="4" t="s">
        <v>17</v>
      </c>
      <c r="H229" s="4" t="s">
        <v>13</v>
      </c>
      <c r="I229" s="4" t="s">
        <v>26</v>
      </c>
      <c r="J229" s="3" t="s">
        <v>29</v>
      </c>
      <c r="K229" s="3" t="s">
        <v>43</v>
      </c>
      <c r="L229" s="3" t="s">
        <v>22</v>
      </c>
      <c r="M229" s="3" t="s">
        <v>375</v>
      </c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2.75" x14ac:dyDescent="0.2">
      <c r="A230" s="4">
        <v>229</v>
      </c>
      <c r="B230" s="5" t="s">
        <v>290</v>
      </c>
      <c r="C230" s="4"/>
      <c r="D230" s="4"/>
      <c r="E230" s="4"/>
      <c r="F230" s="4"/>
      <c r="G230" s="4" t="s">
        <v>1</v>
      </c>
      <c r="H230" s="4" t="s">
        <v>18</v>
      </c>
      <c r="I230" s="4"/>
      <c r="J230" s="3" t="s">
        <v>20</v>
      </c>
      <c r="K230" s="3"/>
      <c r="L230" s="3" t="s">
        <v>37</v>
      </c>
      <c r="M230" s="3" t="s">
        <v>375</v>
      </c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2.75" x14ac:dyDescent="0.2">
      <c r="A231" s="4">
        <v>230</v>
      </c>
      <c r="B231" s="5" t="s">
        <v>291</v>
      </c>
      <c r="C231" s="4"/>
      <c r="D231" s="4"/>
      <c r="E231" s="4"/>
      <c r="F231" s="4"/>
      <c r="G231" s="4" t="s">
        <v>33</v>
      </c>
      <c r="H231" s="4" t="s">
        <v>18</v>
      </c>
      <c r="I231" s="4" t="s">
        <v>14</v>
      </c>
      <c r="J231" s="3" t="s">
        <v>20</v>
      </c>
      <c r="K231" s="3"/>
      <c r="L231" s="3" t="s">
        <v>33</v>
      </c>
      <c r="M231" s="3" t="s">
        <v>375</v>
      </c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2.75" x14ac:dyDescent="0.2">
      <c r="A232" s="4">
        <v>231</v>
      </c>
      <c r="B232" s="5" t="s">
        <v>292</v>
      </c>
      <c r="C232" s="4"/>
      <c r="D232" s="4"/>
      <c r="E232" s="4"/>
      <c r="F232" s="4"/>
      <c r="G232" s="4" t="s">
        <v>1</v>
      </c>
      <c r="H232" s="4" t="s">
        <v>18</v>
      </c>
      <c r="I232" s="4"/>
      <c r="J232" s="3" t="s">
        <v>34</v>
      </c>
      <c r="K232" s="3"/>
      <c r="L232" s="3" t="s">
        <v>37</v>
      </c>
      <c r="M232" s="3" t="s">
        <v>375</v>
      </c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2.75" x14ac:dyDescent="0.2">
      <c r="A233" s="4">
        <v>232</v>
      </c>
      <c r="B233" s="5" t="s">
        <v>293</v>
      </c>
      <c r="C233" s="4"/>
      <c r="D233" s="4"/>
      <c r="E233" s="4"/>
      <c r="F233" s="4"/>
      <c r="G233" s="4" t="s">
        <v>12</v>
      </c>
      <c r="H233" s="4" t="s">
        <v>18</v>
      </c>
      <c r="I233" s="4" t="s">
        <v>14</v>
      </c>
      <c r="J233" s="3" t="s">
        <v>20</v>
      </c>
      <c r="K233" s="3"/>
      <c r="L233" s="3" t="s">
        <v>16</v>
      </c>
      <c r="M233" s="3" t="s">
        <v>375</v>
      </c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2.75" x14ac:dyDescent="0.2">
      <c r="A234" s="4">
        <v>233</v>
      </c>
      <c r="B234" s="5" t="s">
        <v>294</v>
      </c>
      <c r="C234" s="4"/>
      <c r="D234" s="4"/>
      <c r="E234" s="4"/>
      <c r="F234" s="4"/>
      <c r="G234" s="4" t="s">
        <v>31</v>
      </c>
      <c r="H234" s="4" t="s">
        <v>18</v>
      </c>
      <c r="I234" s="4" t="s">
        <v>14</v>
      </c>
      <c r="J234" s="3" t="s">
        <v>20</v>
      </c>
      <c r="K234" s="3"/>
      <c r="L234" s="3" t="s">
        <v>32</v>
      </c>
      <c r="M234" s="3" t="s">
        <v>375</v>
      </c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2.75" x14ac:dyDescent="0.2">
      <c r="A235" s="4">
        <v>234</v>
      </c>
      <c r="B235" s="5" t="s">
        <v>295</v>
      </c>
      <c r="C235" s="4"/>
      <c r="D235" s="4"/>
      <c r="E235" s="4"/>
      <c r="F235" s="4"/>
      <c r="G235" s="4" t="s">
        <v>17</v>
      </c>
      <c r="H235" s="4" t="s">
        <v>18</v>
      </c>
      <c r="I235" s="4" t="s">
        <v>19</v>
      </c>
      <c r="J235" s="3" t="s">
        <v>20</v>
      </c>
      <c r="K235" s="3"/>
      <c r="L235" s="3" t="s">
        <v>22</v>
      </c>
      <c r="M235" s="3" t="s">
        <v>375</v>
      </c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2.75" x14ac:dyDescent="0.2">
      <c r="A236" s="4">
        <v>235</v>
      </c>
      <c r="B236" s="5" t="s">
        <v>296</v>
      </c>
      <c r="C236" s="4"/>
      <c r="D236" s="4"/>
      <c r="E236" s="4"/>
      <c r="F236" s="4"/>
      <c r="G236" s="4" t="s">
        <v>31</v>
      </c>
      <c r="H236" s="4" t="s">
        <v>18</v>
      </c>
      <c r="I236" s="4" t="s">
        <v>14</v>
      </c>
      <c r="J236" s="3" t="s">
        <v>20</v>
      </c>
      <c r="K236" s="3"/>
      <c r="L236" s="3" t="s">
        <v>32</v>
      </c>
      <c r="M236" s="3" t="s">
        <v>375</v>
      </c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2.75" x14ac:dyDescent="0.2">
      <c r="A237" s="4">
        <v>236</v>
      </c>
      <c r="B237" s="5" t="s">
        <v>297</v>
      </c>
      <c r="C237" s="4"/>
      <c r="D237" s="4"/>
      <c r="E237" s="4"/>
      <c r="F237" s="4"/>
      <c r="G237" s="4" t="s">
        <v>33</v>
      </c>
      <c r="H237" s="4" t="s">
        <v>13</v>
      </c>
      <c r="I237" s="4" t="s">
        <v>19</v>
      </c>
      <c r="J237" s="3" t="s">
        <v>29</v>
      </c>
      <c r="K237" s="3" t="s">
        <v>35</v>
      </c>
      <c r="L237" s="3" t="s">
        <v>33</v>
      </c>
      <c r="M237" s="3" t="s">
        <v>376</v>
      </c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2.75" x14ac:dyDescent="0.2">
      <c r="A238" s="4">
        <v>237</v>
      </c>
      <c r="B238" s="5" t="s">
        <v>298</v>
      </c>
      <c r="C238" s="4"/>
      <c r="D238" s="4"/>
      <c r="E238" s="4"/>
      <c r="F238" s="4"/>
      <c r="G238" s="4" t="s">
        <v>17</v>
      </c>
      <c r="H238" s="4" t="s">
        <v>13</v>
      </c>
      <c r="I238" s="4" t="s">
        <v>19</v>
      </c>
      <c r="J238" s="3" t="s">
        <v>29</v>
      </c>
      <c r="K238" s="3" t="s">
        <v>36</v>
      </c>
      <c r="L238" s="3" t="s">
        <v>24</v>
      </c>
      <c r="M238" s="3" t="s">
        <v>375</v>
      </c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2.75" x14ac:dyDescent="0.2">
      <c r="A239" s="4">
        <v>238</v>
      </c>
      <c r="B239" s="5" t="s">
        <v>299</v>
      </c>
      <c r="C239" s="4"/>
      <c r="D239" s="4"/>
      <c r="E239" s="4"/>
      <c r="F239" s="4"/>
      <c r="G239" s="4" t="s">
        <v>17</v>
      </c>
      <c r="H239" s="4" t="s">
        <v>13</v>
      </c>
      <c r="I239" s="4" t="s">
        <v>19</v>
      </c>
      <c r="J239" s="3" t="s">
        <v>29</v>
      </c>
      <c r="K239" s="3" t="s">
        <v>38</v>
      </c>
      <c r="L239" s="3" t="s">
        <v>24</v>
      </c>
      <c r="M239" s="3" t="s">
        <v>375</v>
      </c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2.75" x14ac:dyDescent="0.2">
      <c r="A240" s="4">
        <v>239</v>
      </c>
      <c r="B240" s="5" t="s">
        <v>300</v>
      </c>
      <c r="C240" s="4"/>
      <c r="D240" s="4"/>
      <c r="E240" s="4"/>
      <c r="F240" s="4"/>
      <c r="G240" s="4" t="s">
        <v>17</v>
      </c>
      <c r="H240" s="4" t="s">
        <v>18</v>
      </c>
      <c r="I240" s="4" t="s">
        <v>19</v>
      </c>
      <c r="J240" s="3" t="s">
        <v>23</v>
      </c>
      <c r="K240" s="3"/>
      <c r="L240" s="3" t="s">
        <v>27</v>
      </c>
      <c r="M240" s="3" t="s">
        <v>376</v>
      </c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2.75" x14ac:dyDescent="0.2">
      <c r="A241" s="4">
        <v>240</v>
      </c>
      <c r="B241" s="5" t="s">
        <v>301</v>
      </c>
      <c r="C241" s="4"/>
      <c r="D241" s="4"/>
      <c r="E241" s="4"/>
      <c r="F241" s="4"/>
      <c r="G241" s="4" t="s">
        <v>31</v>
      </c>
      <c r="H241" s="4" t="s">
        <v>18</v>
      </c>
      <c r="I241" s="4" t="s">
        <v>14</v>
      </c>
      <c r="J241" s="3" t="s">
        <v>20</v>
      </c>
      <c r="K241" s="3"/>
      <c r="L241" s="3" t="s">
        <v>32</v>
      </c>
      <c r="M241" s="3" t="s">
        <v>375</v>
      </c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2.75" x14ac:dyDescent="0.2">
      <c r="A242" s="4">
        <v>241</v>
      </c>
      <c r="B242" s="5" t="s">
        <v>302</v>
      </c>
      <c r="C242" s="4"/>
      <c r="D242" s="4"/>
      <c r="E242" s="4"/>
      <c r="F242" s="4"/>
      <c r="G242" s="4" t="s">
        <v>12</v>
      </c>
      <c r="H242" s="4" t="s">
        <v>18</v>
      </c>
      <c r="I242" s="4" t="s">
        <v>14</v>
      </c>
      <c r="J242" s="3" t="s">
        <v>20</v>
      </c>
      <c r="K242" s="3"/>
      <c r="L242" s="3" t="s">
        <v>16</v>
      </c>
      <c r="M242" s="3" t="s">
        <v>375</v>
      </c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2.75" x14ac:dyDescent="0.2">
      <c r="A243" s="4">
        <v>242</v>
      </c>
      <c r="B243" s="5" t="s">
        <v>303</v>
      </c>
      <c r="C243" s="4"/>
      <c r="D243" s="4"/>
      <c r="E243" s="4"/>
      <c r="F243" s="4"/>
      <c r="G243" s="4" t="s">
        <v>31</v>
      </c>
      <c r="H243" s="4" t="s">
        <v>18</v>
      </c>
      <c r="I243" s="4" t="s">
        <v>14</v>
      </c>
      <c r="J243" s="3" t="s">
        <v>20</v>
      </c>
      <c r="K243" s="3"/>
      <c r="L243" s="3" t="s">
        <v>32</v>
      </c>
      <c r="M243" s="3" t="s">
        <v>375</v>
      </c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2.75" x14ac:dyDescent="0.2">
      <c r="A244" s="4">
        <v>243</v>
      </c>
      <c r="B244" s="5" t="s">
        <v>304</v>
      </c>
      <c r="C244" s="4"/>
      <c r="D244" s="4"/>
      <c r="E244" s="4"/>
      <c r="F244" s="4"/>
      <c r="G244" s="4" t="s">
        <v>33</v>
      </c>
      <c r="H244" s="4" t="s">
        <v>18</v>
      </c>
      <c r="I244" s="4" t="s">
        <v>19</v>
      </c>
      <c r="J244" s="3" t="s">
        <v>20</v>
      </c>
      <c r="K244" s="3"/>
      <c r="L244" s="3" t="s">
        <v>33</v>
      </c>
      <c r="M244" s="3" t="s">
        <v>375</v>
      </c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2.75" x14ac:dyDescent="0.2">
      <c r="A245" s="4">
        <v>244</v>
      </c>
      <c r="B245" s="5" t="s">
        <v>305</v>
      </c>
      <c r="C245" s="4"/>
      <c r="D245" s="4"/>
      <c r="E245" s="4"/>
      <c r="F245" s="4"/>
      <c r="G245" s="4" t="s">
        <v>31</v>
      </c>
      <c r="H245" s="4" t="s">
        <v>18</v>
      </c>
      <c r="I245" s="4" t="s">
        <v>14</v>
      </c>
      <c r="J245" s="3" t="s">
        <v>20</v>
      </c>
      <c r="K245" s="3"/>
      <c r="L245" s="3" t="s">
        <v>32</v>
      </c>
      <c r="M245" s="3" t="s">
        <v>375</v>
      </c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2.75" x14ac:dyDescent="0.2">
      <c r="A246" s="4">
        <v>245</v>
      </c>
      <c r="B246" s="5" t="s">
        <v>306</v>
      </c>
      <c r="C246" s="4"/>
      <c r="D246" s="4"/>
      <c r="E246" s="4"/>
      <c r="F246" s="4"/>
      <c r="G246" s="4" t="s">
        <v>1</v>
      </c>
      <c r="H246" s="4" t="s">
        <v>18</v>
      </c>
      <c r="I246" s="4"/>
      <c r="J246" s="3" t="s">
        <v>20</v>
      </c>
      <c r="K246" s="3"/>
      <c r="L246" s="3" t="s">
        <v>37</v>
      </c>
      <c r="M246" s="3" t="s">
        <v>375</v>
      </c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2.75" x14ac:dyDescent="0.2">
      <c r="A247" s="4">
        <v>246</v>
      </c>
      <c r="B247" s="5" t="s">
        <v>307</v>
      </c>
      <c r="C247" s="4"/>
      <c r="D247" s="4"/>
      <c r="E247" s="4"/>
      <c r="F247" s="4"/>
      <c r="G247" s="4" t="s">
        <v>17</v>
      </c>
      <c r="H247" s="4" t="s">
        <v>18</v>
      </c>
      <c r="I247" s="4" t="s">
        <v>19</v>
      </c>
      <c r="J247" s="3" t="s">
        <v>20</v>
      </c>
      <c r="K247" s="3"/>
      <c r="L247" s="3" t="s">
        <v>24</v>
      </c>
      <c r="M247" s="3" t="s">
        <v>375</v>
      </c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2.75" x14ac:dyDescent="0.2">
      <c r="A248" s="4">
        <v>247</v>
      </c>
      <c r="B248" s="5" t="s">
        <v>308</v>
      </c>
      <c r="C248" s="4"/>
      <c r="D248" s="4"/>
      <c r="E248" s="4"/>
      <c r="F248" s="4"/>
      <c r="G248" s="4" t="s">
        <v>1</v>
      </c>
      <c r="H248" s="4" t="s">
        <v>18</v>
      </c>
      <c r="I248" s="4"/>
      <c r="J248" s="3" t="s">
        <v>20</v>
      </c>
      <c r="K248" s="3"/>
      <c r="L248" s="3" t="s">
        <v>37</v>
      </c>
      <c r="M248" s="3" t="s">
        <v>375</v>
      </c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2.75" x14ac:dyDescent="0.2">
      <c r="A249" s="4">
        <v>248</v>
      </c>
      <c r="B249" s="5" t="s">
        <v>309</v>
      </c>
      <c r="C249" s="4"/>
      <c r="D249" s="4"/>
      <c r="E249" s="4"/>
      <c r="F249" s="4"/>
      <c r="G249" s="4" t="s">
        <v>33</v>
      </c>
      <c r="H249" s="4" t="s">
        <v>18</v>
      </c>
      <c r="I249" s="4" t="s">
        <v>19</v>
      </c>
      <c r="J249" s="3" t="s">
        <v>23</v>
      </c>
      <c r="K249" s="3"/>
      <c r="L249" s="3" t="s">
        <v>33</v>
      </c>
      <c r="M249" s="3" t="s">
        <v>376</v>
      </c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2.75" x14ac:dyDescent="0.2">
      <c r="A250" s="4">
        <v>249</v>
      </c>
      <c r="B250" s="5" t="s">
        <v>310</v>
      </c>
      <c r="C250" s="4"/>
      <c r="D250" s="4"/>
      <c r="E250" s="4"/>
      <c r="F250" s="4"/>
      <c r="G250" s="4" t="s">
        <v>12</v>
      </c>
      <c r="H250" s="4" t="s">
        <v>18</v>
      </c>
      <c r="I250" s="4" t="s">
        <v>14</v>
      </c>
      <c r="J250" s="3" t="s">
        <v>20</v>
      </c>
      <c r="K250" s="3"/>
      <c r="L250" s="3" t="s">
        <v>16</v>
      </c>
      <c r="M250" s="3" t="s">
        <v>375</v>
      </c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2.75" x14ac:dyDescent="0.2">
      <c r="A251" s="4">
        <v>250</v>
      </c>
      <c r="B251" s="5" t="s">
        <v>311</v>
      </c>
      <c r="C251" s="4"/>
      <c r="D251" s="4"/>
      <c r="E251" s="4"/>
      <c r="F251" s="4"/>
      <c r="G251" s="4" t="s">
        <v>17</v>
      </c>
      <c r="H251" s="4" t="s">
        <v>13</v>
      </c>
      <c r="I251" s="4" t="s">
        <v>19</v>
      </c>
      <c r="J251" s="3" t="s">
        <v>29</v>
      </c>
      <c r="K251" s="3" t="s">
        <v>35</v>
      </c>
      <c r="L251" s="3" t="s">
        <v>24</v>
      </c>
      <c r="M251" s="3" t="s">
        <v>376</v>
      </c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2.75" x14ac:dyDescent="0.2">
      <c r="A252" s="4">
        <v>251</v>
      </c>
      <c r="B252" s="5" t="s">
        <v>312</v>
      </c>
      <c r="C252" s="4"/>
      <c r="D252" s="4"/>
      <c r="E252" s="4"/>
      <c r="F252" s="4"/>
      <c r="G252" s="4" t="s">
        <v>17</v>
      </c>
      <c r="H252" s="4" t="s">
        <v>13</v>
      </c>
      <c r="I252" s="4" t="s">
        <v>19</v>
      </c>
      <c r="J252" s="3" t="s">
        <v>29</v>
      </c>
      <c r="K252" s="3" t="s">
        <v>38</v>
      </c>
      <c r="L252" s="3" t="s">
        <v>27</v>
      </c>
      <c r="M252" s="3" t="s">
        <v>376</v>
      </c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2.75" x14ac:dyDescent="0.2">
      <c r="A253" s="4">
        <v>252</v>
      </c>
      <c r="B253" s="5" t="s">
        <v>313</v>
      </c>
      <c r="C253" s="4"/>
      <c r="D253" s="4"/>
      <c r="E253" s="4"/>
      <c r="F253" s="4"/>
      <c r="G253" s="4" t="s">
        <v>12</v>
      </c>
      <c r="H253" s="4" t="s">
        <v>13</v>
      </c>
      <c r="I253" s="4" t="s">
        <v>14</v>
      </c>
      <c r="J253" s="3" t="s">
        <v>29</v>
      </c>
      <c r="K253" s="3" t="s">
        <v>30</v>
      </c>
      <c r="L253" s="3" t="s">
        <v>16</v>
      </c>
      <c r="M253" s="3" t="s">
        <v>376</v>
      </c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2.75" x14ac:dyDescent="0.2">
      <c r="A254" s="4">
        <v>253</v>
      </c>
      <c r="B254" s="5" t="s">
        <v>314</v>
      </c>
      <c r="C254" s="4"/>
      <c r="D254" s="4"/>
      <c r="E254" s="4"/>
      <c r="F254" s="4"/>
      <c r="G254" s="4" t="s">
        <v>31</v>
      </c>
      <c r="H254" s="4" t="s">
        <v>13</v>
      </c>
      <c r="I254" s="4" t="s">
        <v>14</v>
      </c>
      <c r="J254" s="3" t="s">
        <v>29</v>
      </c>
      <c r="K254" s="3" t="s">
        <v>30</v>
      </c>
      <c r="L254" s="3" t="s">
        <v>32</v>
      </c>
      <c r="M254" s="3" t="s">
        <v>376</v>
      </c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2.75" x14ac:dyDescent="0.2">
      <c r="A255" s="4">
        <v>254</v>
      </c>
      <c r="B255" s="5" t="s">
        <v>315</v>
      </c>
      <c r="C255" s="4"/>
      <c r="D255" s="4"/>
      <c r="E255" s="4"/>
      <c r="F255" s="4"/>
      <c r="G255" s="4" t="s">
        <v>1</v>
      </c>
      <c r="H255" s="4" t="s">
        <v>13</v>
      </c>
      <c r="I255" s="4"/>
      <c r="J255" s="3" t="s">
        <v>29</v>
      </c>
      <c r="K255" s="3" t="s">
        <v>30</v>
      </c>
      <c r="L255" s="3" t="s">
        <v>37</v>
      </c>
      <c r="M255" s="3" t="s">
        <v>376</v>
      </c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2.75" x14ac:dyDescent="0.2">
      <c r="A256" s="4">
        <v>255</v>
      </c>
      <c r="B256" s="5" t="s">
        <v>316</v>
      </c>
      <c r="C256" s="4"/>
      <c r="D256" s="4"/>
      <c r="E256" s="4"/>
      <c r="F256" s="4"/>
      <c r="G256" s="4" t="s">
        <v>33</v>
      </c>
      <c r="H256" s="4" t="s">
        <v>13</v>
      </c>
      <c r="I256" s="4" t="s">
        <v>14</v>
      </c>
      <c r="J256" s="3" t="s">
        <v>29</v>
      </c>
      <c r="K256" s="3" t="s">
        <v>30</v>
      </c>
      <c r="L256" s="3" t="s">
        <v>33</v>
      </c>
      <c r="M256" s="3" t="s">
        <v>376</v>
      </c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2.75" x14ac:dyDescent="0.2">
      <c r="A257" s="4">
        <v>256</v>
      </c>
      <c r="B257" s="5" t="s">
        <v>317</v>
      </c>
      <c r="C257" s="4"/>
      <c r="D257" s="4"/>
      <c r="E257" s="4"/>
      <c r="F257" s="4"/>
      <c r="G257" s="4" t="s">
        <v>17</v>
      </c>
      <c r="H257" s="4" t="s">
        <v>13</v>
      </c>
      <c r="I257" s="4" t="s">
        <v>19</v>
      </c>
      <c r="J257" s="3" t="s">
        <v>29</v>
      </c>
      <c r="K257" s="3" t="s">
        <v>15</v>
      </c>
      <c r="L257" s="3" t="s">
        <v>24</v>
      </c>
      <c r="M257" s="3" t="s">
        <v>375</v>
      </c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2.75" x14ac:dyDescent="0.2">
      <c r="A258" s="4">
        <v>257</v>
      </c>
      <c r="B258" s="5" t="s">
        <v>318</v>
      </c>
      <c r="C258" s="4"/>
      <c r="D258" s="4"/>
      <c r="E258" s="4"/>
      <c r="F258" s="4"/>
      <c r="G258" s="4" t="s">
        <v>1</v>
      </c>
      <c r="H258" s="4" t="s">
        <v>18</v>
      </c>
      <c r="I258" s="4"/>
      <c r="J258" s="3" t="s">
        <v>20</v>
      </c>
      <c r="K258" s="3"/>
      <c r="L258" s="3" t="s">
        <v>37</v>
      </c>
      <c r="M258" s="3" t="s">
        <v>375</v>
      </c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2.75" x14ac:dyDescent="0.2">
      <c r="A259" s="4">
        <v>258</v>
      </c>
      <c r="B259" s="5" t="s">
        <v>319</v>
      </c>
      <c r="C259" s="4"/>
      <c r="D259" s="4"/>
      <c r="E259" s="4"/>
      <c r="F259" s="4"/>
      <c r="G259" s="4" t="s">
        <v>1</v>
      </c>
      <c r="H259" s="4" t="s">
        <v>18</v>
      </c>
      <c r="I259" s="4"/>
      <c r="J259" s="3" t="s">
        <v>20</v>
      </c>
      <c r="K259" s="3"/>
      <c r="L259" s="3" t="s">
        <v>37</v>
      </c>
      <c r="M259" s="3" t="s">
        <v>375</v>
      </c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2.75" x14ac:dyDescent="0.2">
      <c r="A260" s="4">
        <v>259</v>
      </c>
      <c r="B260" s="5" t="s">
        <v>320</v>
      </c>
      <c r="C260" s="4"/>
      <c r="D260" s="4"/>
      <c r="E260" s="4"/>
      <c r="F260" s="4"/>
      <c r="G260" s="4" t="s">
        <v>17</v>
      </c>
      <c r="H260" s="4" t="s">
        <v>18</v>
      </c>
      <c r="I260" s="4" t="s">
        <v>19</v>
      </c>
      <c r="J260" s="3" t="s">
        <v>34</v>
      </c>
      <c r="K260" s="3"/>
      <c r="L260" s="3" t="s">
        <v>22</v>
      </c>
      <c r="M260" s="3" t="s">
        <v>375</v>
      </c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2.75" x14ac:dyDescent="0.2">
      <c r="A261" s="4">
        <v>260</v>
      </c>
      <c r="B261" s="5" t="s">
        <v>321</v>
      </c>
      <c r="C261" s="4"/>
      <c r="D261" s="4"/>
      <c r="E261" s="4"/>
      <c r="F261" s="4"/>
      <c r="G261" s="4" t="s">
        <v>17</v>
      </c>
      <c r="H261" s="4" t="s">
        <v>18</v>
      </c>
      <c r="I261" s="4" t="s">
        <v>19</v>
      </c>
      <c r="J261" s="3" t="s">
        <v>23</v>
      </c>
      <c r="K261" s="3"/>
      <c r="L261" s="3" t="s">
        <v>24</v>
      </c>
      <c r="M261" s="3" t="s">
        <v>376</v>
      </c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2.75" x14ac:dyDescent="0.2">
      <c r="A262" s="4">
        <v>261</v>
      </c>
      <c r="B262" s="5" t="s">
        <v>322</v>
      </c>
      <c r="C262" s="4"/>
      <c r="D262" s="4"/>
      <c r="E262" s="4"/>
      <c r="F262" s="4"/>
      <c r="G262" s="4" t="s">
        <v>31</v>
      </c>
      <c r="H262" s="4" t="s">
        <v>0</v>
      </c>
      <c r="I262" s="4" t="s">
        <v>14</v>
      </c>
      <c r="J262" s="3"/>
      <c r="K262" s="3"/>
      <c r="L262" s="3" t="s">
        <v>32</v>
      </c>
      <c r="M262" s="3" t="s">
        <v>375</v>
      </c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2.75" x14ac:dyDescent="0.2">
      <c r="A263" s="4">
        <v>262</v>
      </c>
      <c r="B263" s="5" t="s">
        <v>323</v>
      </c>
      <c r="C263" s="4"/>
      <c r="D263" s="4"/>
      <c r="E263" s="4"/>
      <c r="F263" s="4"/>
      <c r="G263" s="4" t="s">
        <v>31</v>
      </c>
      <c r="H263" s="4" t="s">
        <v>18</v>
      </c>
      <c r="I263" s="4" t="s">
        <v>14</v>
      </c>
      <c r="J263" s="3" t="s">
        <v>20</v>
      </c>
      <c r="K263" s="3"/>
      <c r="L263" s="3" t="s">
        <v>32</v>
      </c>
      <c r="M263" s="3" t="s">
        <v>375</v>
      </c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2.75" x14ac:dyDescent="0.2">
      <c r="A264" s="4">
        <v>263</v>
      </c>
      <c r="B264" s="5" t="s">
        <v>324</v>
      </c>
      <c r="C264" s="4"/>
      <c r="D264" s="4"/>
      <c r="E264" s="4"/>
      <c r="F264" s="4"/>
      <c r="G264" s="4" t="s">
        <v>17</v>
      </c>
      <c r="H264" s="4" t="s">
        <v>13</v>
      </c>
      <c r="I264" s="4" t="s">
        <v>19</v>
      </c>
      <c r="J264" s="3" t="s">
        <v>29</v>
      </c>
      <c r="K264" s="3" t="s">
        <v>45</v>
      </c>
      <c r="L264" s="3" t="s">
        <v>24</v>
      </c>
      <c r="M264" s="3" t="s">
        <v>375</v>
      </c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2.75" x14ac:dyDescent="0.2">
      <c r="A265" s="4">
        <v>264</v>
      </c>
      <c r="B265" s="5" t="s">
        <v>325</v>
      </c>
      <c r="C265" s="4"/>
      <c r="D265" s="4"/>
      <c r="E265" s="4"/>
      <c r="F265" s="4"/>
      <c r="G265" s="4" t="s">
        <v>33</v>
      </c>
      <c r="H265" s="4" t="s">
        <v>13</v>
      </c>
      <c r="I265" s="4" t="s">
        <v>19</v>
      </c>
      <c r="J265" s="3" t="s">
        <v>29</v>
      </c>
      <c r="K265" s="3" t="s">
        <v>30</v>
      </c>
      <c r="L265" s="3" t="s">
        <v>33</v>
      </c>
      <c r="M265" s="3" t="s">
        <v>375</v>
      </c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2.75" x14ac:dyDescent="0.2">
      <c r="A266" s="4">
        <v>265</v>
      </c>
      <c r="B266" s="5" t="s">
        <v>326</v>
      </c>
      <c r="C266" s="4"/>
      <c r="D266" s="4"/>
      <c r="E266" s="4"/>
      <c r="F266" s="4"/>
      <c r="G266" s="4" t="s">
        <v>17</v>
      </c>
      <c r="H266" s="4" t="s">
        <v>18</v>
      </c>
      <c r="I266" s="4" t="s">
        <v>19</v>
      </c>
      <c r="J266" s="3" t="s">
        <v>23</v>
      </c>
      <c r="K266" s="3"/>
      <c r="L266" s="3" t="s">
        <v>24</v>
      </c>
      <c r="M266" s="3" t="s">
        <v>376</v>
      </c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2.75" x14ac:dyDescent="0.2">
      <c r="A267" s="4">
        <v>266</v>
      </c>
      <c r="B267" s="5" t="s">
        <v>327</v>
      </c>
      <c r="C267" s="4"/>
      <c r="D267" s="4"/>
      <c r="E267" s="4"/>
      <c r="F267" s="4"/>
      <c r="G267" s="4" t="s">
        <v>33</v>
      </c>
      <c r="H267" s="4" t="s">
        <v>18</v>
      </c>
      <c r="I267" s="4" t="s">
        <v>19</v>
      </c>
      <c r="J267" s="3" t="s">
        <v>34</v>
      </c>
      <c r="K267" s="3"/>
      <c r="L267" s="3" t="s">
        <v>33</v>
      </c>
      <c r="M267" s="3" t="s">
        <v>375</v>
      </c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2.75" x14ac:dyDescent="0.2">
      <c r="A268" s="4">
        <v>267</v>
      </c>
      <c r="B268" s="5" t="s">
        <v>328</v>
      </c>
      <c r="C268" s="4"/>
      <c r="D268" s="4"/>
      <c r="E268" s="4"/>
      <c r="F268" s="4"/>
      <c r="G268" s="4" t="s">
        <v>31</v>
      </c>
      <c r="H268" s="4" t="s">
        <v>18</v>
      </c>
      <c r="I268" s="4" t="s">
        <v>14</v>
      </c>
      <c r="J268" s="3" t="s">
        <v>20</v>
      </c>
      <c r="K268" s="3"/>
      <c r="L268" s="3" t="s">
        <v>32</v>
      </c>
      <c r="M268" s="3" t="s">
        <v>375</v>
      </c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2.75" x14ac:dyDescent="0.2">
      <c r="A269" s="4">
        <v>268</v>
      </c>
      <c r="B269" s="5" t="s">
        <v>329</v>
      </c>
      <c r="C269" s="4"/>
      <c r="D269" s="4"/>
      <c r="E269" s="4"/>
      <c r="F269" s="4"/>
      <c r="G269" s="4" t="s">
        <v>31</v>
      </c>
      <c r="H269" s="4" t="s">
        <v>18</v>
      </c>
      <c r="I269" s="4" t="s">
        <v>14</v>
      </c>
      <c r="J269" s="3" t="s">
        <v>20</v>
      </c>
      <c r="K269" s="3"/>
      <c r="L269" s="3" t="s">
        <v>32</v>
      </c>
      <c r="M269" s="3" t="s">
        <v>375</v>
      </c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2.75" x14ac:dyDescent="0.2">
      <c r="A270" s="4">
        <v>269</v>
      </c>
      <c r="B270" s="5" t="s">
        <v>330</v>
      </c>
      <c r="C270" s="4"/>
      <c r="D270" s="4"/>
      <c r="E270" s="4"/>
      <c r="F270" s="4"/>
      <c r="G270" s="4" t="s">
        <v>33</v>
      </c>
      <c r="H270" s="4" t="s">
        <v>18</v>
      </c>
      <c r="I270" s="4" t="s">
        <v>19</v>
      </c>
      <c r="J270" s="3" t="s">
        <v>20</v>
      </c>
      <c r="K270" s="3"/>
      <c r="L270" s="3" t="s">
        <v>33</v>
      </c>
      <c r="M270" s="3" t="s">
        <v>375</v>
      </c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2.75" x14ac:dyDescent="0.2">
      <c r="A271" s="4">
        <v>270</v>
      </c>
      <c r="B271" s="5" t="s">
        <v>331</v>
      </c>
      <c r="C271" s="4"/>
      <c r="D271" s="4"/>
      <c r="E271" s="4"/>
      <c r="F271" s="4"/>
      <c r="G271" s="4" t="s">
        <v>12</v>
      </c>
      <c r="H271" s="4" t="s">
        <v>18</v>
      </c>
      <c r="I271" s="4" t="s">
        <v>14</v>
      </c>
      <c r="J271" s="3" t="s">
        <v>20</v>
      </c>
      <c r="K271" s="3"/>
      <c r="L271" s="3" t="s">
        <v>16</v>
      </c>
      <c r="M271" s="3" t="s">
        <v>375</v>
      </c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2.75" x14ac:dyDescent="0.2">
      <c r="A272" s="4">
        <v>271</v>
      </c>
      <c r="B272" s="5" t="s">
        <v>332</v>
      </c>
      <c r="C272" s="4"/>
      <c r="D272" s="4"/>
      <c r="E272" s="4"/>
      <c r="F272" s="4"/>
      <c r="G272" s="4" t="s">
        <v>12</v>
      </c>
      <c r="H272" s="4" t="s">
        <v>18</v>
      </c>
      <c r="I272" s="4" t="s">
        <v>14</v>
      </c>
      <c r="J272" s="3" t="s">
        <v>34</v>
      </c>
      <c r="K272" s="3"/>
      <c r="L272" s="3" t="s">
        <v>16</v>
      </c>
      <c r="M272" s="3" t="s">
        <v>375</v>
      </c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2.75" x14ac:dyDescent="0.2">
      <c r="A273" s="4">
        <v>272</v>
      </c>
      <c r="B273" s="5" t="s">
        <v>333</v>
      </c>
      <c r="C273" s="4"/>
      <c r="D273" s="4"/>
      <c r="E273" s="4"/>
      <c r="F273" s="4"/>
      <c r="G273" s="4" t="s">
        <v>31</v>
      </c>
      <c r="H273" s="4" t="s">
        <v>18</v>
      </c>
      <c r="I273" s="4" t="s">
        <v>14</v>
      </c>
      <c r="J273" s="3" t="s">
        <v>34</v>
      </c>
      <c r="K273" s="3"/>
      <c r="L273" s="3" t="s">
        <v>32</v>
      </c>
      <c r="M273" s="3" t="s">
        <v>375</v>
      </c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2.75" x14ac:dyDescent="0.2">
      <c r="A274" s="4">
        <v>273</v>
      </c>
      <c r="B274" s="5" t="s">
        <v>334</v>
      </c>
      <c r="C274" s="4"/>
      <c r="D274" s="4"/>
      <c r="E274" s="4"/>
      <c r="F274" s="4"/>
      <c r="G274" s="4" t="s">
        <v>12</v>
      </c>
      <c r="H274" s="4" t="s">
        <v>18</v>
      </c>
      <c r="I274" s="4" t="s">
        <v>14</v>
      </c>
      <c r="J274" s="3" t="s">
        <v>20</v>
      </c>
      <c r="K274" s="3"/>
      <c r="L274" s="3" t="s">
        <v>16</v>
      </c>
      <c r="M274" s="3" t="s">
        <v>375</v>
      </c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2.75" x14ac:dyDescent="0.2">
      <c r="A275" s="4">
        <v>274</v>
      </c>
      <c r="B275" s="5" t="s">
        <v>335</v>
      </c>
      <c r="C275" s="4"/>
      <c r="D275" s="4"/>
      <c r="E275" s="4"/>
      <c r="F275" s="4"/>
      <c r="G275" s="4" t="s">
        <v>1</v>
      </c>
      <c r="H275" s="4" t="s">
        <v>18</v>
      </c>
      <c r="I275" s="4"/>
      <c r="J275" s="3" t="s">
        <v>20</v>
      </c>
      <c r="K275" s="3"/>
      <c r="L275" s="3" t="s">
        <v>37</v>
      </c>
      <c r="M275" s="3" t="s">
        <v>375</v>
      </c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2.75" x14ac:dyDescent="0.2">
      <c r="A276" s="4">
        <v>275</v>
      </c>
      <c r="B276" s="5" t="s">
        <v>336</v>
      </c>
      <c r="C276" s="4"/>
      <c r="D276" s="4"/>
      <c r="E276" s="4"/>
      <c r="F276" s="4"/>
      <c r="G276" s="4" t="s">
        <v>17</v>
      </c>
      <c r="H276" s="4" t="s">
        <v>13</v>
      </c>
      <c r="I276" s="4" t="s">
        <v>19</v>
      </c>
      <c r="J276" s="3" t="s">
        <v>29</v>
      </c>
      <c r="K276" s="3" t="s">
        <v>38</v>
      </c>
      <c r="L276" s="3" t="s">
        <v>27</v>
      </c>
      <c r="M276" s="3" t="s">
        <v>376</v>
      </c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2.75" x14ac:dyDescent="0.2">
      <c r="A277" s="4">
        <v>276</v>
      </c>
      <c r="B277" s="5" t="s">
        <v>337</v>
      </c>
      <c r="C277" s="4"/>
      <c r="D277" s="4"/>
      <c r="E277" s="4"/>
      <c r="F277" s="4"/>
      <c r="G277" s="4" t="s">
        <v>1</v>
      </c>
      <c r="H277" s="4" t="s">
        <v>18</v>
      </c>
      <c r="I277" s="4"/>
      <c r="J277" s="3" t="s">
        <v>20</v>
      </c>
      <c r="K277" s="3"/>
      <c r="L277" s="3" t="s">
        <v>37</v>
      </c>
      <c r="M277" s="3" t="s">
        <v>375</v>
      </c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2.75" x14ac:dyDescent="0.2">
      <c r="A278" s="4">
        <v>277</v>
      </c>
      <c r="B278" s="5" t="s">
        <v>338</v>
      </c>
      <c r="C278" s="4"/>
      <c r="D278" s="4"/>
      <c r="E278" s="4"/>
      <c r="F278" s="4"/>
      <c r="G278" s="4" t="s">
        <v>33</v>
      </c>
      <c r="H278" s="4" t="s">
        <v>18</v>
      </c>
      <c r="I278" s="4" t="s">
        <v>14</v>
      </c>
      <c r="J278" s="3" t="s">
        <v>34</v>
      </c>
      <c r="K278" s="3"/>
      <c r="L278" s="3" t="s">
        <v>33</v>
      </c>
      <c r="M278" s="3" t="s">
        <v>375</v>
      </c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2.75" x14ac:dyDescent="0.2">
      <c r="A279" s="4">
        <v>278</v>
      </c>
      <c r="B279" s="5" t="s">
        <v>339</v>
      </c>
      <c r="C279" s="4"/>
      <c r="D279" s="4"/>
      <c r="E279" s="4"/>
      <c r="F279" s="4"/>
      <c r="G279" s="4" t="s">
        <v>1</v>
      </c>
      <c r="H279" s="4" t="s">
        <v>18</v>
      </c>
      <c r="I279" s="4"/>
      <c r="J279" s="3" t="s">
        <v>20</v>
      </c>
      <c r="K279" s="3"/>
      <c r="L279" s="3" t="s">
        <v>37</v>
      </c>
      <c r="M279" s="3" t="s">
        <v>375</v>
      </c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2.75" x14ac:dyDescent="0.2">
      <c r="A280" s="4">
        <v>279</v>
      </c>
      <c r="B280" s="5" t="s">
        <v>340</v>
      </c>
      <c r="C280" s="4"/>
      <c r="D280" s="4"/>
      <c r="E280" s="4"/>
      <c r="F280" s="4"/>
      <c r="G280" s="4" t="s">
        <v>12</v>
      </c>
      <c r="H280" s="4" t="s">
        <v>18</v>
      </c>
      <c r="I280" s="4" t="s">
        <v>14</v>
      </c>
      <c r="J280" s="3" t="s">
        <v>20</v>
      </c>
      <c r="K280" s="3"/>
      <c r="L280" s="3" t="s">
        <v>16</v>
      </c>
      <c r="M280" s="3" t="s">
        <v>375</v>
      </c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2.75" x14ac:dyDescent="0.2">
      <c r="A281" s="4">
        <v>280</v>
      </c>
      <c r="B281" s="5" t="s">
        <v>341</v>
      </c>
      <c r="C281" s="4"/>
      <c r="D281" s="4"/>
      <c r="E281" s="4"/>
      <c r="F281" s="4"/>
      <c r="G281" s="4" t="s">
        <v>1</v>
      </c>
      <c r="H281" s="4" t="s">
        <v>18</v>
      </c>
      <c r="I281" s="4"/>
      <c r="J281" s="3" t="s">
        <v>20</v>
      </c>
      <c r="K281" s="3"/>
      <c r="L281" s="3" t="s">
        <v>37</v>
      </c>
      <c r="M281" s="3" t="s">
        <v>375</v>
      </c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2.75" x14ac:dyDescent="0.2">
      <c r="A282" s="4">
        <v>281</v>
      </c>
      <c r="B282" s="5" t="s">
        <v>342</v>
      </c>
      <c r="C282" s="4"/>
      <c r="D282" s="4"/>
      <c r="E282" s="4"/>
      <c r="F282" s="4"/>
      <c r="G282" s="4" t="s">
        <v>33</v>
      </c>
      <c r="H282" s="4" t="s">
        <v>18</v>
      </c>
      <c r="I282" s="4" t="s">
        <v>14</v>
      </c>
      <c r="J282" s="3" t="s">
        <v>20</v>
      </c>
      <c r="K282" s="3"/>
      <c r="L282" s="3" t="s">
        <v>33</v>
      </c>
      <c r="M282" s="3" t="s">
        <v>375</v>
      </c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2.75" x14ac:dyDescent="0.2">
      <c r="A283" s="4">
        <v>282</v>
      </c>
      <c r="B283" s="5" t="s">
        <v>343</v>
      </c>
      <c r="C283" s="4"/>
      <c r="D283" s="4"/>
      <c r="E283" s="4"/>
      <c r="F283" s="4"/>
      <c r="G283" s="4" t="s">
        <v>12</v>
      </c>
      <c r="H283" s="4" t="s">
        <v>18</v>
      </c>
      <c r="I283" s="4" t="s">
        <v>14</v>
      </c>
      <c r="J283" s="3" t="s">
        <v>20</v>
      </c>
      <c r="K283" s="3"/>
      <c r="L283" s="3" t="s">
        <v>16</v>
      </c>
      <c r="M283" s="3" t="s">
        <v>375</v>
      </c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2.75" x14ac:dyDescent="0.2">
      <c r="A284" s="4">
        <v>283</v>
      </c>
      <c r="B284" s="5" t="s">
        <v>344</v>
      </c>
      <c r="C284" s="4"/>
      <c r="D284" s="4"/>
      <c r="E284" s="4"/>
      <c r="F284" s="4"/>
      <c r="G284" s="4" t="s">
        <v>12</v>
      </c>
      <c r="H284" s="4" t="s">
        <v>18</v>
      </c>
      <c r="I284" s="4" t="s">
        <v>14</v>
      </c>
      <c r="J284" s="3" t="s">
        <v>20</v>
      </c>
      <c r="K284" s="3"/>
      <c r="L284" s="3" t="s">
        <v>16</v>
      </c>
      <c r="M284" s="3" t="s">
        <v>375</v>
      </c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2.75" x14ac:dyDescent="0.2">
      <c r="A285" s="4">
        <v>284</v>
      </c>
      <c r="B285" s="5" t="s">
        <v>345</v>
      </c>
      <c r="C285" s="4"/>
      <c r="D285" s="4"/>
      <c r="E285" s="4"/>
      <c r="F285" s="4"/>
      <c r="G285" s="4" t="s">
        <v>33</v>
      </c>
      <c r="H285" s="4" t="s">
        <v>18</v>
      </c>
      <c r="I285" s="4" t="s">
        <v>14</v>
      </c>
      <c r="J285" s="3" t="s">
        <v>20</v>
      </c>
      <c r="K285" s="3"/>
      <c r="L285" s="3" t="s">
        <v>33</v>
      </c>
      <c r="M285" s="3" t="s">
        <v>375</v>
      </c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2.75" x14ac:dyDescent="0.2">
      <c r="A286" s="4">
        <v>285</v>
      </c>
      <c r="B286" s="5" t="s">
        <v>346</v>
      </c>
      <c r="C286" s="4"/>
      <c r="D286" s="4"/>
      <c r="E286" s="4"/>
      <c r="F286" s="4"/>
      <c r="G286" s="4" t="s">
        <v>1</v>
      </c>
      <c r="H286" s="4" t="s">
        <v>18</v>
      </c>
      <c r="I286" s="4"/>
      <c r="J286" s="3" t="s">
        <v>20</v>
      </c>
      <c r="K286" s="3"/>
      <c r="L286" s="3" t="s">
        <v>37</v>
      </c>
      <c r="M286" s="3" t="s">
        <v>375</v>
      </c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2.75" x14ac:dyDescent="0.2">
      <c r="A287" s="4">
        <v>286</v>
      </c>
      <c r="B287" s="5" t="s">
        <v>347</v>
      </c>
      <c r="C287" s="4"/>
      <c r="D287" s="4"/>
      <c r="E287" s="4"/>
      <c r="F287" s="4"/>
      <c r="G287" s="4" t="s">
        <v>17</v>
      </c>
      <c r="H287" s="4" t="s">
        <v>18</v>
      </c>
      <c r="I287" s="4" t="s">
        <v>19</v>
      </c>
      <c r="J287" s="3" t="s">
        <v>23</v>
      </c>
      <c r="K287" s="3"/>
      <c r="L287" s="3" t="s">
        <v>27</v>
      </c>
      <c r="M287" s="3" t="s">
        <v>376</v>
      </c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2.75" x14ac:dyDescent="0.2">
      <c r="A288" s="4">
        <v>287</v>
      </c>
      <c r="B288" s="5" t="s">
        <v>348</v>
      </c>
      <c r="C288" s="4"/>
      <c r="D288" s="4"/>
      <c r="E288" s="4"/>
      <c r="F288" s="4"/>
      <c r="G288" s="4" t="s">
        <v>17</v>
      </c>
      <c r="H288" s="4" t="s">
        <v>18</v>
      </c>
      <c r="I288" s="4" t="s">
        <v>26</v>
      </c>
      <c r="J288" s="3" t="s">
        <v>34</v>
      </c>
      <c r="K288" s="3"/>
      <c r="L288" s="3" t="s">
        <v>22</v>
      </c>
      <c r="M288" s="3" t="s">
        <v>375</v>
      </c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2.75" x14ac:dyDescent="0.2">
      <c r="A289" s="4">
        <v>288</v>
      </c>
      <c r="B289" s="5" t="s">
        <v>349</v>
      </c>
      <c r="C289" s="4"/>
      <c r="D289" s="4"/>
      <c r="E289" s="4"/>
      <c r="F289" s="4"/>
      <c r="G289" s="4" t="s">
        <v>17</v>
      </c>
      <c r="H289" s="4" t="s">
        <v>18</v>
      </c>
      <c r="I289" s="4" t="s">
        <v>26</v>
      </c>
      <c r="J289" s="3" t="s">
        <v>34</v>
      </c>
      <c r="K289" s="3"/>
      <c r="L289" s="3" t="s">
        <v>22</v>
      </c>
      <c r="M289" s="3" t="s">
        <v>375</v>
      </c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2.75" x14ac:dyDescent="0.2">
      <c r="A290" s="4">
        <v>289</v>
      </c>
      <c r="B290" s="5" t="s">
        <v>350</v>
      </c>
      <c r="C290" s="4"/>
      <c r="D290" s="4"/>
      <c r="E290" s="4"/>
      <c r="F290" s="4"/>
      <c r="G290" s="4" t="s">
        <v>33</v>
      </c>
      <c r="H290" s="4" t="s">
        <v>18</v>
      </c>
      <c r="I290" s="4" t="s">
        <v>14</v>
      </c>
      <c r="J290" s="3" t="s">
        <v>20</v>
      </c>
      <c r="K290" s="3"/>
      <c r="L290" s="3" t="s">
        <v>33</v>
      </c>
      <c r="M290" s="3" t="s">
        <v>375</v>
      </c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2.75" x14ac:dyDescent="0.2">
      <c r="A291" s="4">
        <v>290</v>
      </c>
      <c r="B291" s="5" t="s">
        <v>351</v>
      </c>
      <c r="C291" s="4"/>
      <c r="D291" s="4"/>
      <c r="E291" s="4"/>
      <c r="F291" s="4"/>
      <c r="G291" s="4" t="s">
        <v>12</v>
      </c>
      <c r="H291" s="4" t="s">
        <v>18</v>
      </c>
      <c r="I291" s="4" t="s">
        <v>14</v>
      </c>
      <c r="J291" s="3" t="s">
        <v>20</v>
      </c>
      <c r="K291" s="3"/>
      <c r="L291" s="3" t="s">
        <v>16</v>
      </c>
      <c r="M291" s="3" t="s">
        <v>375</v>
      </c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2.75" x14ac:dyDescent="0.2">
      <c r="A292" s="4">
        <v>291</v>
      </c>
      <c r="B292" s="5" t="s">
        <v>352</v>
      </c>
      <c r="C292" s="4"/>
      <c r="D292" s="4"/>
      <c r="E292" s="4"/>
      <c r="F292" s="4"/>
      <c r="G292" s="4" t="s">
        <v>33</v>
      </c>
      <c r="H292" s="4" t="s">
        <v>18</v>
      </c>
      <c r="I292" s="4" t="s">
        <v>14</v>
      </c>
      <c r="J292" s="3" t="s">
        <v>20</v>
      </c>
      <c r="K292" s="3"/>
      <c r="L292" s="3" t="s">
        <v>33</v>
      </c>
      <c r="M292" s="3" t="s">
        <v>375</v>
      </c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2.75" x14ac:dyDescent="0.2">
      <c r="A293" s="4">
        <v>292</v>
      </c>
      <c r="B293" s="5" t="s">
        <v>353</v>
      </c>
      <c r="C293" s="4"/>
      <c r="D293" s="4"/>
      <c r="E293" s="4"/>
      <c r="F293" s="4"/>
      <c r="G293" s="4" t="s">
        <v>1</v>
      </c>
      <c r="H293" s="4" t="s">
        <v>18</v>
      </c>
      <c r="I293" s="4"/>
      <c r="J293" s="3" t="s">
        <v>34</v>
      </c>
      <c r="K293" s="3"/>
      <c r="L293" s="3" t="s">
        <v>37</v>
      </c>
      <c r="M293" s="3" t="s">
        <v>375</v>
      </c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2.75" x14ac:dyDescent="0.2">
      <c r="A294" s="4">
        <v>293</v>
      </c>
      <c r="B294" s="5" t="s">
        <v>354</v>
      </c>
      <c r="C294" s="4"/>
      <c r="D294" s="4"/>
      <c r="E294" s="4"/>
      <c r="F294" s="4"/>
      <c r="G294" s="4" t="s">
        <v>33</v>
      </c>
      <c r="H294" s="4" t="s">
        <v>18</v>
      </c>
      <c r="I294" s="4" t="s">
        <v>19</v>
      </c>
      <c r="J294" s="3" t="s">
        <v>34</v>
      </c>
      <c r="K294" s="3"/>
      <c r="L294" s="3" t="s">
        <v>33</v>
      </c>
      <c r="M294" s="3" t="s">
        <v>375</v>
      </c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2.75" x14ac:dyDescent="0.2">
      <c r="A295" s="4">
        <v>294</v>
      </c>
      <c r="B295" s="5" t="s">
        <v>355</v>
      </c>
      <c r="C295" s="4"/>
      <c r="D295" s="4"/>
      <c r="E295" s="4"/>
      <c r="F295" s="4"/>
      <c r="G295" s="4" t="s">
        <v>12</v>
      </c>
      <c r="H295" s="4" t="s">
        <v>18</v>
      </c>
      <c r="I295" s="4" t="s">
        <v>14</v>
      </c>
      <c r="J295" s="3" t="s">
        <v>34</v>
      </c>
      <c r="K295" s="3"/>
      <c r="L295" s="3" t="s">
        <v>16</v>
      </c>
      <c r="M295" s="3" t="s">
        <v>375</v>
      </c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2.75" x14ac:dyDescent="0.2">
      <c r="A296" s="4">
        <v>295</v>
      </c>
      <c r="B296" s="5" t="s">
        <v>356</v>
      </c>
      <c r="C296" s="4"/>
      <c r="D296" s="4"/>
      <c r="E296" s="4"/>
      <c r="F296" s="4"/>
      <c r="G296" s="4" t="s">
        <v>33</v>
      </c>
      <c r="H296" s="4" t="s">
        <v>18</v>
      </c>
      <c r="I296" s="4" t="s">
        <v>14</v>
      </c>
      <c r="J296" s="3" t="s">
        <v>20</v>
      </c>
      <c r="K296" s="3"/>
      <c r="L296" s="3" t="s">
        <v>33</v>
      </c>
      <c r="M296" s="3" t="s">
        <v>375</v>
      </c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2.75" x14ac:dyDescent="0.2">
      <c r="A297" s="4">
        <v>296</v>
      </c>
      <c r="B297" s="5" t="s">
        <v>357</v>
      </c>
      <c r="C297" s="4"/>
      <c r="D297" s="4"/>
      <c r="E297" s="4"/>
      <c r="F297" s="4"/>
      <c r="G297" s="4" t="s">
        <v>33</v>
      </c>
      <c r="H297" s="4" t="s">
        <v>13</v>
      </c>
      <c r="I297" s="4" t="s">
        <v>14</v>
      </c>
      <c r="J297" s="3" t="s">
        <v>29</v>
      </c>
      <c r="K297" s="3" t="s">
        <v>30</v>
      </c>
      <c r="L297" s="3" t="s">
        <v>33</v>
      </c>
      <c r="M297" s="3" t="s">
        <v>375</v>
      </c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2.75" x14ac:dyDescent="0.2">
      <c r="A298" s="4">
        <v>297</v>
      </c>
      <c r="B298" s="5" t="s">
        <v>358</v>
      </c>
      <c r="C298" s="4"/>
      <c r="D298" s="4"/>
      <c r="E298" s="4"/>
      <c r="F298" s="4"/>
      <c r="G298" s="4" t="s">
        <v>33</v>
      </c>
      <c r="H298" s="4" t="s">
        <v>13</v>
      </c>
      <c r="I298" s="4" t="s">
        <v>14</v>
      </c>
      <c r="J298" s="3" t="s">
        <v>29</v>
      </c>
      <c r="K298" s="3" t="s">
        <v>30</v>
      </c>
      <c r="L298" s="3" t="s">
        <v>33</v>
      </c>
      <c r="M298" s="3" t="s">
        <v>375</v>
      </c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2.75" x14ac:dyDescent="0.2">
      <c r="A299" s="4">
        <v>298</v>
      </c>
      <c r="B299" s="5" t="s">
        <v>359</v>
      </c>
      <c r="C299" s="4"/>
      <c r="D299" s="4"/>
      <c r="E299" s="4"/>
      <c r="F299" s="4"/>
      <c r="G299" s="4" t="s">
        <v>17</v>
      </c>
      <c r="H299" s="4" t="s">
        <v>13</v>
      </c>
      <c r="I299" s="4" t="s">
        <v>19</v>
      </c>
      <c r="J299" s="3"/>
      <c r="K299" s="3" t="s">
        <v>38</v>
      </c>
      <c r="L299" s="3" t="s">
        <v>24</v>
      </c>
      <c r="M299" s="3" t="s">
        <v>376</v>
      </c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2.75" x14ac:dyDescent="0.2">
      <c r="A300" s="4">
        <v>299</v>
      </c>
      <c r="B300" s="5" t="s">
        <v>360</v>
      </c>
      <c r="C300" s="4"/>
      <c r="D300" s="4"/>
      <c r="E300" s="4"/>
      <c r="F300" s="4"/>
      <c r="G300" s="4" t="s">
        <v>33</v>
      </c>
      <c r="H300" s="4" t="s">
        <v>18</v>
      </c>
      <c r="I300" s="4" t="s">
        <v>14</v>
      </c>
      <c r="J300" s="3" t="s">
        <v>34</v>
      </c>
      <c r="K300" s="3"/>
      <c r="L300" s="3" t="s">
        <v>33</v>
      </c>
      <c r="M300" s="3" t="s">
        <v>375</v>
      </c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2.75" x14ac:dyDescent="0.2">
      <c r="A301" s="4">
        <v>300</v>
      </c>
      <c r="B301" s="5" t="s">
        <v>361</v>
      </c>
      <c r="C301" s="4"/>
      <c r="D301" s="4"/>
      <c r="E301" s="4"/>
      <c r="F301" s="4"/>
      <c r="G301" s="4" t="s">
        <v>12</v>
      </c>
      <c r="H301" s="4" t="s">
        <v>18</v>
      </c>
      <c r="I301" s="4" t="s">
        <v>14</v>
      </c>
      <c r="J301" s="3" t="s">
        <v>20</v>
      </c>
      <c r="K301" s="3"/>
      <c r="L301" s="3" t="s">
        <v>16</v>
      </c>
      <c r="M301" s="3" t="s">
        <v>375</v>
      </c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2.75" x14ac:dyDescent="0.2">
      <c r="A302" s="4">
        <v>301</v>
      </c>
      <c r="B302" s="5" t="s">
        <v>362</v>
      </c>
      <c r="C302" s="4"/>
      <c r="D302" s="4"/>
      <c r="E302" s="4"/>
      <c r="F302" s="4"/>
      <c r="G302" s="4" t="s">
        <v>33</v>
      </c>
      <c r="H302" s="4" t="s">
        <v>18</v>
      </c>
      <c r="I302" s="4" t="s">
        <v>14</v>
      </c>
      <c r="J302" s="3" t="s">
        <v>20</v>
      </c>
      <c r="K302" s="3"/>
      <c r="L302" s="3" t="s">
        <v>33</v>
      </c>
      <c r="M302" s="3" t="s">
        <v>375</v>
      </c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2.75" x14ac:dyDescent="0.2">
      <c r="A303" s="4">
        <v>302</v>
      </c>
      <c r="B303" s="5" t="s">
        <v>363</v>
      </c>
      <c r="C303" s="4"/>
      <c r="D303" s="4"/>
      <c r="E303" s="4"/>
      <c r="F303" s="4"/>
      <c r="G303" s="4" t="s">
        <v>33</v>
      </c>
      <c r="H303" s="4" t="s">
        <v>18</v>
      </c>
      <c r="I303" s="4" t="s">
        <v>14</v>
      </c>
      <c r="J303" s="3" t="s">
        <v>39</v>
      </c>
      <c r="K303" s="3"/>
      <c r="L303" s="3" t="s">
        <v>33</v>
      </c>
      <c r="M303" s="3" t="s">
        <v>375</v>
      </c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2.75" x14ac:dyDescent="0.2">
      <c r="A304" s="4">
        <v>303</v>
      </c>
      <c r="B304" s="5" t="s">
        <v>364</v>
      </c>
      <c r="C304" s="4"/>
      <c r="D304" s="4"/>
      <c r="E304" s="4"/>
      <c r="F304" s="4"/>
      <c r="G304" s="4" t="s">
        <v>33</v>
      </c>
      <c r="H304" s="4" t="s">
        <v>18</v>
      </c>
      <c r="I304" s="4" t="s">
        <v>14</v>
      </c>
      <c r="J304" s="3" t="s">
        <v>39</v>
      </c>
      <c r="K304" s="3"/>
      <c r="L304" s="3" t="s">
        <v>33</v>
      </c>
      <c r="M304" s="3" t="s">
        <v>375</v>
      </c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2.75" x14ac:dyDescent="0.2">
      <c r="A305" s="4">
        <v>304</v>
      </c>
      <c r="B305" s="5" t="s">
        <v>365</v>
      </c>
      <c r="C305" s="4"/>
      <c r="D305" s="4"/>
      <c r="E305" s="4"/>
      <c r="F305" s="4"/>
      <c r="G305" s="4" t="s">
        <v>17</v>
      </c>
      <c r="H305" s="4" t="s">
        <v>18</v>
      </c>
      <c r="I305" s="4" t="s">
        <v>19</v>
      </c>
      <c r="J305" s="3" t="s">
        <v>20</v>
      </c>
      <c r="K305" s="3"/>
      <c r="L305" s="3" t="s">
        <v>22</v>
      </c>
      <c r="M305" s="3" t="s">
        <v>375</v>
      </c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2.75" x14ac:dyDescent="0.2">
      <c r="A306" s="4">
        <v>305</v>
      </c>
      <c r="B306" s="5" t="s">
        <v>366</v>
      </c>
      <c r="C306" s="4"/>
      <c r="D306" s="4"/>
      <c r="E306" s="4"/>
      <c r="F306" s="4"/>
      <c r="G306" s="4" t="s">
        <v>12</v>
      </c>
      <c r="H306" s="4" t="s">
        <v>18</v>
      </c>
      <c r="I306" s="4" t="s">
        <v>14</v>
      </c>
      <c r="J306" s="3" t="s">
        <v>20</v>
      </c>
      <c r="K306" s="3"/>
      <c r="L306" s="3" t="s">
        <v>16</v>
      </c>
      <c r="M306" s="3" t="s">
        <v>375</v>
      </c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2.75" x14ac:dyDescent="0.2">
      <c r="A307" s="4">
        <v>306</v>
      </c>
      <c r="B307" s="5" t="s">
        <v>367</v>
      </c>
      <c r="C307" s="4"/>
      <c r="D307" s="4"/>
      <c r="E307" s="4"/>
      <c r="F307" s="4"/>
      <c r="G307" s="4" t="s">
        <v>1</v>
      </c>
      <c r="H307" s="4" t="s">
        <v>18</v>
      </c>
      <c r="I307" s="4" t="s">
        <v>19</v>
      </c>
      <c r="J307" s="3" t="s">
        <v>20</v>
      </c>
      <c r="K307" s="3"/>
      <c r="L307" s="3" t="s">
        <v>37</v>
      </c>
      <c r="M307" s="3" t="s">
        <v>375</v>
      </c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2.75" x14ac:dyDescent="0.2">
      <c r="A308" s="4">
        <v>307</v>
      </c>
      <c r="B308" s="5" t="s">
        <v>368</v>
      </c>
      <c r="C308" s="4"/>
      <c r="D308" s="4"/>
      <c r="E308" s="4"/>
      <c r="F308" s="4"/>
      <c r="G308" s="4" t="s">
        <v>1</v>
      </c>
      <c r="H308" s="4" t="s">
        <v>18</v>
      </c>
      <c r="I308" s="4" t="s">
        <v>14</v>
      </c>
      <c r="J308" s="3" t="s">
        <v>20</v>
      </c>
      <c r="K308" s="3"/>
      <c r="L308" s="3" t="s">
        <v>37</v>
      </c>
      <c r="M308" s="3" t="s">
        <v>375</v>
      </c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2.75" x14ac:dyDescent="0.2">
      <c r="A309" s="4">
        <v>308</v>
      </c>
      <c r="B309" s="5" t="s">
        <v>369</v>
      </c>
      <c r="C309" s="4"/>
      <c r="D309" s="4"/>
      <c r="E309" s="4"/>
      <c r="F309" s="4"/>
      <c r="G309" s="4" t="s">
        <v>31</v>
      </c>
      <c r="H309" s="4" t="s">
        <v>18</v>
      </c>
      <c r="I309" s="4" t="s">
        <v>14</v>
      </c>
      <c r="J309" s="3" t="s">
        <v>20</v>
      </c>
      <c r="K309" s="3"/>
      <c r="L309" s="3" t="s">
        <v>32</v>
      </c>
      <c r="M309" s="3" t="s">
        <v>375</v>
      </c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2.75" x14ac:dyDescent="0.2">
      <c r="A310" s="4">
        <v>309</v>
      </c>
      <c r="B310" s="5" t="s">
        <v>370</v>
      </c>
      <c r="C310" s="4"/>
      <c r="D310" s="4"/>
      <c r="E310" s="4"/>
      <c r="F310" s="4"/>
      <c r="G310" s="4" t="s">
        <v>31</v>
      </c>
      <c r="H310" s="4" t="s">
        <v>18</v>
      </c>
      <c r="I310" s="4" t="s">
        <v>14</v>
      </c>
      <c r="J310" s="3" t="s">
        <v>20</v>
      </c>
      <c r="K310" s="3"/>
      <c r="L310" s="3" t="s">
        <v>32</v>
      </c>
      <c r="M310" s="3" t="s">
        <v>375</v>
      </c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2.75" x14ac:dyDescent="0.2">
      <c r="A311" s="4">
        <v>310</v>
      </c>
      <c r="B311" s="5" t="s">
        <v>371</v>
      </c>
      <c r="C311" s="4"/>
      <c r="D311" s="4"/>
      <c r="E311" s="4"/>
      <c r="F311" s="4"/>
      <c r="G311" s="4" t="s">
        <v>31</v>
      </c>
      <c r="H311" s="4" t="s">
        <v>18</v>
      </c>
      <c r="I311" s="4" t="s">
        <v>14</v>
      </c>
      <c r="J311" s="3" t="s">
        <v>20</v>
      </c>
      <c r="K311" s="3"/>
      <c r="L311" s="3" t="s">
        <v>32</v>
      </c>
      <c r="M311" s="3" t="s">
        <v>375</v>
      </c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2.75" x14ac:dyDescent="0.2">
      <c r="A312" s="4">
        <v>311</v>
      </c>
      <c r="B312" s="5" t="s">
        <v>372</v>
      </c>
      <c r="C312" s="4"/>
      <c r="D312" s="4"/>
      <c r="E312" s="4"/>
      <c r="F312" s="4"/>
      <c r="G312" s="4" t="s">
        <v>1</v>
      </c>
      <c r="H312" s="4" t="s">
        <v>13</v>
      </c>
      <c r="I312" s="4" t="s">
        <v>19</v>
      </c>
      <c r="J312" s="3" t="s">
        <v>29</v>
      </c>
      <c r="K312" s="3" t="s">
        <v>15</v>
      </c>
      <c r="L312" s="3" t="s">
        <v>37</v>
      </c>
      <c r="M312" s="3" t="s">
        <v>375</v>
      </c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2.75" x14ac:dyDescent="0.2">
      <c r="A313" s="4">
        <v>312</v>
      </c>
      <c r="B313" s="5" t="s">
        <v>373</v>
      </c>
      <c r="C313" s="4"/>
      <c r="D313" s="4"/>
      <c r="E313" s="4"/>
      <c r="F313" s="4"/>
      <c r="G313" s="4" t="s">
        <v>33</v>
      </c>
      <c r="H313" s="4" t="s">
        <v>13</v>
      </c>
      <c r="I313" s="4" t="s">
        <v>14</v>
      </c>
      <c r="J313" s="3" t="s">
        <v>29</v>
      </c>
      <c r="K313" s="3" t="s">
        <v>40</v>
      </c>
      <c r="L313" s="3" t="s">
        <v>33</v>
      </c>
      <c r="M313" s="3" t="s">
        <v>375</v>
      </c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2.75" x14ac:dyDescent="0.2">
      <c r="A314" s="4">
        <v>313</v>
      </c>
      <c r="B314" s="5" t="s">
        <v>378</v>
      </c>
      <c r="C314" s="4"/>
      <c r="D314" s="4"/>
      <c r="E314" s="4"/>
      <c r="F314" s="4"/>
      <c r="G314" s="4" t="s">
        <v>17</v>
      </c>
      <c r="H314" s="4" t="s">
        <v>18</v>
      </c>
      <c r="I314" s="4" t="s">
        <v>19</v>
      </c>
      <c r="J314" s="3" t="s">
        <v>20</v>
      </c>
      <c r="K314" s="3"/>
      <c r="L314" s="3" t="s">
        <v>22</v>
      </c>
      <c r="M314" s="3" t="s">
        <v>375</v>
      </c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2.75" x14ac:dyDescent="0.2">
      <c r="A315" s="4">
        <v>314</v>
      </c>
      <c r="B315" s="5" t="s">
        <v>379</v>
      </c>
      <c r="C315" s="4"/>
      <c r="D315" s="4"/>
      <c r="E315" s="4"/>
      <c r="F315" s="4"/>
      <c r="G315" s="4" t="s">
        <v>31</v>
      </c>
      <c r="H315" s="4" t="s">
        <v>18</v>
      </c>
      <c r="I315" s="4" t="s">
        <v>14</v>
      </c>
      <c r="J315" s="3" t="s">
        <v>20</v>
      </c>
      <c r="K315" s="3"/>
      <c r="L315" s="3" t="s">
        <v>32</v>
      </c>
      <c r="M315" s="3" t="s">
        <v>375</v>
      </c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2.75" x14ac:dyDescent="0.2">
      <c r="A316" s="4">
        <v>315</v>
      </c>
      <c r="B316" s="5" t="s">
        <v>380</v>
      </c>
      <c r="C316" s="4"/>
      <c r="D316" s="4"/>
      <c r="E316" s="4"/>
      <c r="F316" s="4"/>
      <c r="G316" s="4" t="s">
        <v>17</v>
      </c>
      <c r="H316" s="4" t="s">
        <v>18</v>
      </c>
      <c r="I316" s="4" t="s">
        <v>19</v>
      </c>
      <c r="J316" s="3" t="s">
        <v>20</v>
      </c>
      <c r="K316" s="3"/>
      <c r="L316" s="3" t="s">
        <v>24</v>
      </c>
      <c r="M316" s="3" t="s">
        <v>375</v>
      </c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2.75" x14ac:dyDescent="0.2">
      <c r="A317" s="4">
        <v>316</v>
      </c>
      <c r="B317" s="5" t="s">
        <v>381</v>
      </c>
      <c r="C317" s="4"/>
      <c r="D317" s="4"/>
      <c r="E317" s="4"/>
      <c r="F317" s="4"/>
      <c r="G317" s="4" t="s">
        <v>1</v>
      </c>
      <c r="H317" s="4" t="s">
        <v>18</v>
      </c>
      <c r="I317" s="4"/>
      <c r="J317" s="3" t="s">
        <v>20</v>
      </c>
      <c r="K317" s="3"/>
      <c r="L317" s="3" t="s">
        <v>37</v>
      </c>
      <c r="M317" s="3" t="s">
        <v>375</v>
      </c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2.75" x14ac:dyDescent="0.2">
      <c r="A318" s="4">
        <v>317</v>
      </c>
      <c r="B318" s="5" t="s">
        <v>382</v>
      </c>
      <c r="C318" s="4"/>
      <c r="D318" s="4"/>
      <c r="E318" s="4"/>
      <c r="F318" s="4"/>
      <c r="G318" s="4" t="s">
        <v>33</v>
      </c>
      <c r="H318" s="4" t="s">
        <v>18</v>
      </c>
      <c r="I318" s="4" t="s">
        <v>14</v>
      </c>
      <c r="J318" s="3" t="s">
        <v>20</v>
      </c>
      <c r="K318" s="3"/>
      <c r="L318" s="3" t="s">
        <v>33</v>
      </c>
      <c r="M318" s="3" t="s">
        <v>375</v>
      </c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2.75" x14ac:dyDescent="0.2">
      <c r="A319" s="4">
        <v>318</v>
      </c>
      <c r="B319" s="5" t="s">
        <v>383</v>
      </c>
      <c r="C319" s="4"/>
      <c r="D319" s="4"/>
      <c r="E319" s="4"/>
      <c r="F319" s="4"/>
      <c r="G319" s="4" t="s">
        <v>12</v>
      </c>
      <c r="H319" s="4" t="s">
        <v>18</v>
      </c>
      <c r="I319" s="4" t="s">
        <v>14</v>
      </c>
      <c r="J319" s="3" t="s">
        <v>20</v>
      </c>
      <c r="K319" s="3"/>
      <c r="L319" s="3" t="s">
        <v>16</v>
      </c>
      <c r="M319" s="3" t="s">
        <v>375</v>
      </c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2.75" x14ac:dyDescent="0.2">
      <c r="A320" s="4">
        <v>319</v>
      </c>
      <c r="B320" s="5" t="s">
        <v>384</v>
      </c>
      <c r="C320" s="4"/>
      <c r="D320" s="4"/>
      <c r="E320" s="4"/>
      <c r="F320" s="4"/>
      <c r="G320" s="4" t="s">
        <v>33</v>
      </c>
      <c r="H320" s="4" t="s">
        <v>18</v>
      </c>
      <c r="I320" s="4" t="s">
        <v>14</v>
      </c>
      <c r="J320" s="3" t="s">
        <v>20</v>
      </c>
      <c r="K320" s="3"/>
      <c r="L320" s="3" t="s">
        <v>33</v>
      </c>
      <c r="M320" s="3" t="s">
        <v>375</v>
      </c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2.75" x14ac:dyDescent="0.2">
      <c r="A321" s="4">
        <v>320</v>
      </c>
      <c r="B321" s="5" t="s">
        <v>385</v>
      </c>
      <c r="C321" s="4"/>
      <c r="D321" s="4"/>
      <c r="E321" s="4"/>
      <c r="F321" s="4"/>
      <c r="G321" s="4" t="s">
        <v>1</v>
      </c>
      <c r="H321" s="4" t="s">
        <v>18</v>
      </c>
      <c r="I321" s="4"/>
      <c r="J321" s="3" t="s">
        <v>20</v>
      </c>
      <c r="K321" s="3"/>
      <c r="L321" s="3" t="s">
        <v>37</v>
      </c>
      <c r="M321" s="3" t="s">
        <v>375</v>
      </c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2.75" x14ac:dyDescent="0.2">
      <c r="A322" s="4">
        <v>321</v>
      </c>
      <c r="B322" s="5" t="s">
        <v>386</v>
      </c>
      <c r="C322" s="4"/>
      <c r="D322" s="4"/>
      <c r="E322" s="4"/>
      <c r="F322" s="4"/>
      <c r="G322" s="4" t="s">
        <v>17</v>
      </c>
      <c r="H322" s="4" t="s">
        <v>18</v>
      </c>
      <c r="I322" s="4" t="s">
        <v>19</v>
      </c>
      <c r="J322" s="3" t="s">
        <v>20</v>
      </c>
      <c r="K322" s="3"/>
      <c r="L322" s="3" t="s">
        <v>24</v>
      </c>
      <c r="M322" s="3" t="s">
        <v>375</v>
      </c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2.75" x14ac:dyDescent="0.2">
      <c r="A323" s="4">
        <v>322</v>
      </c>
      <c r="B323" s="5" t="s">
        <v>387</v>
      </c>
      <c r="C323" s="4"/>
      <c r="D323" s="4"/>
      <c r="E323" s="4"/>
      <c r="F323" s="4"/>
      <c r="G323" s="4" t="s">
        <v>17</v>
      </c>
      <c r="H323" s="4" t="s">
        <v>13</v>
      </c>
      <c r="I323" s="4" t="s">
        <v>19</v>
      </c>
      <c r="J323" s="3"/>
      <c r="K323" s="3" t="s">
        <v>41</v>
      </c>
      <c r="L323" s="3" t="s">
        <v>24</v>
      </c>
      <c r="M323" s="3" t="s">
        <v>376</v>
      </c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2.75" x14ac:dyDescent="0.2">
      <c r="A324" s="4">
        <v>323</v>
      </c>
      <c r="B324" s="5" t="s">
        <v>388</v>
      </c>
      <c r="C324" s="4"/>
      <c r="D324" s="4"/>
      <c r="E324" s="4"/>
      <c r="F324" s="4"/>
      <c r="G324" s="4" t="s">
        <v>33</v>
      </c>
      <c r="H324" s="4" t="s">
        <v>13</v>
      </c>
      <c r="I324" s="4" t="s">
        <v>14</v>
      </c>
      <c r="J324" s="3" t="s">
        <v>29</v>
      </c>
      <c r="K324" s="3" t="s">
        <v>36</v>
      </c>
      <c r="L324" s="3" t="s">
        <v>33</v>
      </c>
      <c r="M324" s="3" t="s">
        <v>375</v>
      </c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2.75" x14ac:dyDescent="0.2">
      <c r="A325" s="4">
        <v>326</v>
      </c>
      <c r="B325" s="5" t="s">
        <v>389</v>
      </c>
      <c r="C325" s="4"/>
      <c r="D325" s="4"/>
      <c r="E325" s="4"/>
      <c r="F325" s="4"/>
      <c r="G325" s="4" t="s">
        <v>17</v>
      </c>
      <c r="H325" s="4" t="s">
        <v>13</v>
      </c>
      <c r="I325" s="4" t="s">
        <v>19</v>
      </c>
      <c r="J325" s="3" t="s">
        <v>29</v>
      </c>
      <c r="K325" s="3" t="s">
        <v>30</v>
      </c>
      <c r="L325" s="3" t="s">
        <v>22</v>
      </c>
      <c r="M325" s="3" t="s">
        <v>375</v>
      </c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2.75" x14ac:dyDescent="0.2">
      <c r="A326" s="4">
        <v>327</v>
      </c>
      <c r="B326" s="5" t="s">
        <v>390</v>
      </c>
      <c r="C326" s="4"/>
      <c r="D326" s="4"/>
      <c r="E326" s="4"/>
      <c r="F326" s="4"/>
      <c r="G326" s="4" t="s">
        <v>17</v>
      </c>
      <c r="H326" s="4" t="s">
        <v>13</v>
      </c>
      <c r="I326" s="4" t="s">
        <v>19</v>
      </c>
      <c r="J326" s="3" t="s">
        <v>29</v>
      </c>
      <c r="K326" s="3" t="s">
        <v>30</v>
      </c>
      <c r="L326" s="3" t="s">
        <v>22</v>
      </c>
      <c r="M326" s="3" t="s">
        <v>375</v>
      </c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2.75" x14ac:dyDescent="0.2">
      <c r="A327" s="4">
        <v>328</v>
      </c>
      <c r="B327" s="5" t="s">
        <v>391</v>
      </c>
      <c r="C327" s="4"/>
      <c r="D327" s="4"/>
      <c r="E327" s="4"/>
      <c r="F327" s="4"/>
      <c r="G327" s="4" t="s">
        <v>33</v>
      </c>
      <c r="H327" s="4" t="s">
        <v>13</v>
      </c>
      <c r="I327" s="4" t="s">
        <v>19</v>
      </c>
      <c r="J327" s="3" t="s">
        <v>29</v>
      </c>
      <c r="K327" s="3" t="s">
        <v>30</v>
      </c>
      <c r="L327" s="3" t="s">
        <v>33</v>
      </c>
      <c r="M327" s="3" t="s">
        <v>375</v>
      </c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2.75" x14ac:dyDescent="0.2">
      <c r="A328" s="4">
        <v>329</v>
      </c>
      <c r="B328" s="5" t="s">
        <v>392</v>
      </c>
      <c r="C328" s="4"/>
      <c r="D328" s="4"/>
      <c r="E328" s="4"/>
      <c r="F328" s="4"/>
      <c r="G328" s="4" t="s">
        <v>17</v>
      </c>
      <c r="H328" s="4" t="s">
        <v>13</v>
      </c>
      <c r="I328" s="4" t="s">
        <v>19</v>
      </c>
      <c r="J328" s="3" t="s">
        <v>29</v>
      </c>
      <c r="K328" s="3" t="s">
        <v>15</v>
      </c>
      <c r="L328" s="3" t="s">
        <v>22</v>
      </c>
      <c r="M328" s="3" t="s">
        <v>375</v>
      </c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2.75" x14ac:dyDescent="0.2">
      <c r="A329" s="4">
        <v>330</v>
      </c>
      <c r="B329" s="5" t="s">
        <v>393</v>
      </c>
      <c r="C329" s="4"/>
      <c r="D329" s="4"/>
      <c r="E329" s="4"/>
      <c r="F329" s="4"/>
      <c r="G329" s="4" t="s">
        <v>17</v>
      </c>
      <c r="H329" s="4" t="s">
        <v>13</v>
      </c>
      <c r="I329" s="4" t="s">
        <v>19</v>
      </c>
      <c r="J329" s="3" t="s">
        <v>29</v>
      </c>
      <c r="K329" s="3" t="s">
        <v>30</v>
      </c>
      <c r="L329" s="3" t="s">
        <v>22</v>
      </c>
      <c r="M329" s="3" t="s">
        <v>375</v>
      </c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2.75" x14ac:dyDescent="0.2">
      <c r="A330" s="4">
        <v>331</v>
      </c>
      <c r="B330" s="5" t="s">
        <v>394</v>
      </c>
      <c r="C330" s="4"/>
      <c r="D330" s="4"/>
      <c r="E330" s="4"/>
      <c r="F330" s="4"/>
      <c r="G330" s="4" t="s">
        <v>17</v>
      </c>
      <c r="H330" s="4" t="s">
        <v>13</v>
      </c>
      <c r="I330" s="4" t="s">
        <v>19</v>
      </c>
      <c r="J330" s="3" t="s">
        <v>29</v>
      </c>
      <c r="K330" s="3" t="s">
        <v>15</v>
      </c>
      <c r="L330" s="3" t="s">
        <v>22</v>
      </c>
      <c r="M330" s="3" t="s">
        <v>375</v>
      </c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2.75" x14ac:dyDescent="0.2">
      <c r="A331" s="4">
        <v>332</v>
      </c>
      <c r="B331" s="5" t="s">
        <v>395</v>
      </c>
      <c r="C331" s="4"/>
      <c r="D331" s="4"/>
      <c r="E331" s="4"/>
      <c r="F331" s="4"/>
      <c r="G331" s="4" t="s">
        <v>33</v>
      </c>
      <c r="H331" s="4" t="s">
        <v>0</v>
      </c>
      <c r="I331" s="4" t="s">
        <v>19</v>
      </c>
      <c r="J331" s="3"/>
      <c r="K331" s="3"/>
      <c r="L331" s="3" t="s">
        <v>33</v>
      </c>
      <c r="M331" s="3" t="s">
        <v>375</v>
      </c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2.75" x14ac:dyDescent="0.2">
      <c r="A332" s="4">
        <v>333</v>
      </c>
      <c r="B332" s="5" t="s">
        <v>396</v>
      </c>
      <c r="C332" s="4"/>
      <c r="D332" s="4"/>
      <c r="E332" s="4"/>
      <c r="F332" s="4"/>
      <c r="G332" s="4" t="s">
        <v>17</v>
      </c>
      <c r="H332" s="4" t="s">
        <v>13</v>
      </c>
      <c r="I332" s="4" t="s">
        <v>19</v>
      </c>
      <c r="J332" s="3" t="s">
        <v>29</v>
      </c>
      <c r="K332" s="3" t="s">
        <v>30</v>
      </c>
      <c r="L332" s="3" t="s">
        <v>24</v>
      </c>
      <c r="M332" s="3" t="s">
        <v>375</v>
      </c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2.75" x14ac:dyDescent="0.2">
      <c r="A333" s="4">
        <v>334</v>
      </c>
      <c r="B333" s="5" t="s">
        <v>397</v>
      </c>
      <c r="C333" s="4"/>
      <c r="D333" s="4"/>
      <c r="E333" s="4"/>
      <c r="F333" s="4"/>
      <c r="G333" s="4" t="s">
        <v>1</v>
      </c>
      <c r="H333" s="4" t="s">
        <v>13</v>
      </c>
      <c r="I333" s="4" t="s">
        <v>19</v>
      </c>
      <c r="J333" s="3" t="s">
        <v>29</v>
      </c>
      <c r="K333" s="3" t="s">
        <v>30</v>
      </c>
      <c r="L333" s="3" t="s">
        <v>37</v>
      </c>
      <c r="M333" s="3" t="s">
        <v>375</v>
      </c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2.75" x14ac:dyDescent="0.2">
      <c r="A334" s="4">
        <v>335</v>
      </c>
      <c r="B334" s="5" t="s">
        <v>398</v>
      </c>
      <c r="C334" s="4"/>
      <c r="D334" s="4"/>
      <c r="E334" s="4"/>
      <c r="F334" s="4"/>
      <c r="G334" s="4" t="s">
        <v>17</v>
      </c>
      <c r="H334" s="4" t="s">
        <v>18</v>
      </c>
      <c r="I334" s="4" t="s">
        <v>19</v>
      </c>
      <c r="J334" s="3" t="s">
        <v>23</v>
      </c>
      <c r="K334" s="3"/>
      <c r="L334" s="3" t="s">
        <v>25</v>
      </c>
      <c r="M334" s="3" t="s">
        <v>376</v>
      </c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2.75" x14ac:dyDescent="0.2">
      <c r="A335" s="4">
        <v>336</v>
      </c>
      <c r="B335" s="5" t="s">
        <v>399</v>
      </c>
      <c r="C335" s="4"/>
      <c r="D335" s="4"/>
      <c r="E335" s="4"/>
      <c r="F335" s="4"/>
      <c r="G335" s="4" t="s">
        <v>17</v>
      </c>
      <c r="H335" s="4" t="s">
        <v>13</v>
      </c>
      <c r="I335" s="4" t="s">
        <v>19</v>
      </c>
      <c r="J335" s="3" t="s">
        <v>29</v>
      </c>
      <c r="K335" s="3" t="s">
        <v>49</v>
      </c>
      <c r="L335" s="3" t="s">
        <v>27</v>
      </c>
      <c r="M335" s="3" t="s">
        <v>376</v>
      </c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2.75" x14ac:dyDescent="0.2">
      <c r="A336" s="4">
        <v>337</v>
      </c>
      <c r="B336" s="5" t="s">
        <v>400</v>
      </c>
      <c r="C336" s="4"/>
      <c r="D336" s="4"/>
      <c r="E336" s="4"/>
      <c r="F336" s="4"/>
      <c r="G336" s="4" t="s">
        <v>17</v>
      </c>
      <c r="H336" s="4" t="s">
        <v>13</v>
      </c>
      <c r="I336" s="4" t="s">
        <v>19</v>
      </c>
      <c r="J336" s="3" t="s">
        <v>29</v>
      </c>
      <c r="K336" s="3" t="s">
        <v>30</v>
      </c>
      <c r="L336" s="3" t="s">
        <v>24</v>
      </c>
      <c r="M336" s="3" t="s">
        <v>375</v>
      </c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2.75" x14ac:dyDescent="0.2">
      <c r="A337" s="4">
        <v>338</v>
      </c>
      <c r="B337" s="5" t="s">
        <v>401</v>
      </c>
      <c r="C337" s="4"/>
      <c r="D337" s="4"/>
      <c r="E337" s="4"/>
      <c r="F337" s="4"/>
      <c r="G337" s="4" t="s">
        <v>1</v>
      </c>
      <c r="H337" s="4" t="s">
        <v>13</v>
      </c>
      <c r="I337" s="4" t="s">
        <v>19</v>
      </c>
      <c r="J337" s="3" t="s">
        <v>29</v>
      </c>
      <c r="K337" s="3" t="s">
        <v>30</v>
      </c>
      <c r="L337" s="3" t="s">
        <v>37</v>
      </c>
      <c r="M337" s="3" t="s">
        <v>375</v>
      </c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2.75" x14ac:dyDescent="0.2">
      <c r="A338" s="4">
        <v>339</v>
      </c>
      <c r="B338" s="5" t="s">
        <v>402</v>
      </c>
      <c r="C338" s="4"/>
      <c r="D338" s="4"/>
      <c r="E338" s="4"/>
      <c r="F338" s="4"/>
      <c r="G338" s="4" t="s">
        <v>17</v>
      </c>
      <c r="H338" s="4" t="s">
        <v>13</v>
      </c>
      <c r="I338" s="4" t="s">
        <v>19</v>
      </c>
      <c r="J338" s="3" t="s">
        <v>29</v>
      </c>
      <c r="K338" s="3" t="s">
        <v>30</v>
      </c>
      <c r="L338" s="3" t="s">
        <v>22</v>
      </c>
      <c r="M338" s="3" t="s">
        <v>375</v>
      </c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2.75" x14ac:dyDescent="0.2">
      <c r="A339" s="4">
        <v>340</v>
      </c>
      <c r="B339" s="5" t="s">
        <v>403</v>
      </c>
      <c r="C339" s="4"/>
      <c r="D339" s="4"/>
      <c r="E339" s="4"/>
      <c r="F339" s="4"/>
      <c r="G339" s="4" t="s">
        <v>17</v>
      </c>
      <c r="H339" s="4" t="s">
        <v>13</v>
      </c>
      <c r="I339" s="4" t="s">
        <v>19</v>
      </c>
      <c r="J339" s="3" t="s">
        <v>29</v>
      </c>
      <c r="K339" s="3" t="s">
        <v>404</v>
      </c>
      <c r="L339" s="3" t="s">
        <v>22</v>
      </c>
      <c r="M339" s="3" t="s">
        <v>375</v>
      </c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2.75" x14ac:dyDescent="0.2">
      <c r="A340" s="4">
        <v>341</v>
      </c>
      <c r="B340" s="5" t="s">
        <v>405</v>
      </c>
      <c r="C340" s="4"/>
      <c r="D340" s="4"/>
      <c r="E340" s="4"/>
      <c r="F340" s="4"/>
      <c r="G340" s="4" t="s">
        <v>17</v>
      </c>
      <c r="H340" s="4" t="s">
        <v>18</v>
      </c>
      <c r="I340" s="4" t="s">
        <v>19</v>
      </c>
      <c r="J340" s="3" t="s">
        <v>34</v>
      </c>
      <c r="K340" s="3"/>
      <c r="L340" s="3" t="s">
        <v>22</v>
      </c>
      <c r="M340" s="3" t="s">
        <v>375</v>
      </c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2.75" x14ac:dyDescent="0.2">
      <c r="A341" s="4">
        <v>342</v>
      </c>
      <c r="B341" s="5" t="s">
        <v>406</v>
      </c>
      <c r="C341" s="4"/>
      <c r="D341" s="4"/>
      <c r="E341" s="4"/>
      <c r="F341" s="4"/>
      <c r="G341" s="4" t="s">
        <v>17</v>
      </c>
      <c r="H341" s="4" t="s">
        <v>13</v>
      </c>
      <c r="I341" s="4" t="s">
        <v>19</v>
      </c>
      <c r="J341" s="3" t="s">
        <v>29</v>
      </c>
      <c r="K341" s="3" t="s">
        <v>404</v>
      </c>
      <c r="L341" s="3" t="s">
        <v>24</v>
      </c>
      <c r="M341" s="3" t="s">
        <v>375</v>
      </c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2.75" x14ac:dyDescent="0.2">
      <c r="A342" s="4">
        <v>343</v>
      </c>
      <c r="B342" s="5" t="s">
        <v>407</v>
      </c>
      <c r="C342" s="4"/>
      <c r="D342" s="4"/>
      <c r="E342" s="4"/>
      <c r="F342" s="4"/>
      <c r="G342" s="4" t="s">
        <v>33</v>
      </c>
      <c r="H342" s="4" t="s">
        <v>13</v>
      </c>
      <c r="I342" s="4" t="s">
        <v>19</v>
      </c>
      <c r="J342" s="3" t="s">
        <v>29</v>
      </c>
      <c r="K342" s="3" t="s">
        <v>28</v>
      </c>
      <c r="L342" s="3" t="s">
        <v>33</v>
      </c>
      <c r="M342" s="3" t="s">
        <v>375</v>
      </c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2.75" x14ac:dyDescent="0.2">
      <c r="A343" s="4">
        <v>344</v>
      </c>
      <c r="B343" s="5" t="s">
        <v>408</v>
      </c>
      <c r="C343" s="4"/>
      <c r="D343" s="4"/>
      <c r="E343" s="4"/>
      <c r="F343" s="4"/>
      <c r="G343" s="4" t="s">
        <v>17</v>
      </c>
      <c r="H343" s="4" t="s">
        <v>13</v>
      </c>
      <c r="I343" s="4" t="s">
        <v>19</v>
      </c>
      <c r="J343" s="3" t="s">
        <v>29</v>
      </c>
      <c r="K343" s="3" t="s">
        <v>30</v>
      </c>
      <c r="L343" s="3" t="s">
        <v>24</v>
      </c>
      <c r="M343" s="3" t="s">
        <v>375</v>
      </c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2.75" x14ac:dyDescent="0.2">
      <c r="A344" s="4">
        <v>345</v>
      </c>
      <c r="B344" s="5" t="s">
        <v>409</v>
      </c>
      <c r="C344" s="4"/>
      <c r="D344" s="4"/>
      <c r="E344" s="4"/>
      <c r="F344" s="4"/>
      <c r="G344" s="4" t="s">
        <v>33</v>
      </c>
      <c r="H344" s="4" t="s">
        <v>13</v>
      </c>
      <c r="I344" s="4" t="s">
        <v>19</v>
      </c>
      <c r="J344" s="3" t="s">
        <v>29</v>
      </c>
      <c r="K344" s="3" t="s">
        <v>30</v>
      </c>
      <c r="L344" s="3" t="s">
        <v>33</v>
      </c>
      <c r="M344" s="3" t="s">
        <v>376</v>
      </c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2.75" x14ac:dyDescent="0.2">
      <c r="A345" s="4">
        <v>346</v>
      </c>
      <c r="B345" s="5" t="s">
        <v>410</v>
      </c>
      <c r="C345" s="4"/>
      <c r="D345" s="4"/>
      <c r="E345" s="4"/>
      <c r="F345" s="4"/>
      <c r="G345" s="4" t="s">
        <v>17</v>
      </c>
      <c r="H345" s="4" t="s">
        <v>18</v>
      </c>
      <c r="I345" s="4" t="s">
        <v>19</v>
      </c>
      <c r="J345" s="3" t="s">
        <v>23</v>
      </c>
      <c r="K345" s="3"/>
      <c r="L345" s="3" t="s">
        <v>27</v>
      </c>
      <c r="M345" s="3" t="s">
        <v>376</v>
      </c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2.75" x14ac:dyDescent="0.2">
      <c r="A346" s="4">
        <v>347</v>
      </c>
      <c r="B346" s="5" t="s">
        <v>411</v>
      </c>
      <c r="C346" s="4"/>
      <c r="D346" s="4"/>
      <c r="E346" s="4"/>
      <c r="F346" s="4"/>
      <c r="G346" s="4" t="s">
        <v>17</v>
      </c>
      <c r="H346" s="4" t="s">
        <v>18</v>
      </c>
      <c r="I346" s="4" t="s">
        <v>19</v>
      </c>
      <c r="J346" s="3" t="s">
        <v>34</v>
      </c>
      <c r="K346" s="3"/>
      <c r="L346" s="3" t="s">
        <v>22</v>
      </c>
      <c r="M346" s="3" t="s">
        <v>375</v>
      </c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2.75" x14ac:dyDescent="0.2">
      <c r="A347" s="4">
        <v>348</v>
      </c>
      <c r="B347" s="5" t="s">
        <v>412</v>
      </c>
      <c r="C347" s="4"/>
      <c r="D347" s="4"/>
      <c r="E347" s="4"/>
      <c r="F347" s="4"/>
      <c r="G347" s="4" t="s">
        <v>17</v>
      </c>
      <c r="H347" s="4" t="s">
        <v>13</v>
      </c>
      <c r="I347" s="4" t="s">
        <v>19</v>
      </c>
      <c r="J347" s="3" t="s">
        <v>29</v>
      </c>
      <c r="K347" s="3" t="s">
        <v>30</v>
      </c>
      <c r="L347" s="3" t="s">
        <v>22</v>
      </c>
      <c r="M347" s="3" t="s">
        <v>375</v>
      </c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2.75" x14ac:dyDescent="0.2">
      <c r="A348" s="4">
        <v>349</v>
      </c>
      <c r="B348" s="5" t="s">
        <v>413</v>
      </c>
      <c r="C348" s="4"/>
      <c r="D348" s="4"/>
      <c r="E348" s="4"/>
      <c r="F348" s="4"/>
      <c r="G348" s="4" t="s">
        <v>17</v>
      </c>
      <c r="H348" s="4" t="s">
        <v>13</v>
      </c>
      <c r="I348" s="4" t="s">
        <v>19</v>
      </c>
      <c r="J348" s="3" t="s">
        <v>29</v>
      </c>
      <c r="K348" s="3" t="s">
        <v>30</v>
      </c>
      <c r="L348" s="3" t="s">
        <v>27</v>
      </c>
      <c r="M348" s="3" t="s">
        <v>376</v>
      </c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2.75" x14ac:dyDescent="0.2">
      <c r="A349" s="4">
        <v>350</v>
      </c>
      <c r="B349" s="5" t="s">
        <v>414</v>
      </c>
      <c r="C349" s="4"/>
      <c r="D349" s="4"/>
      <c r="E349" s="4"/>
      <c r="F349" s="4"/>
      <c r="G349" s="4" t="s">
        <v>17</v>
      </c>
      <c r="H349" s="4" t="s">
        <v>13</v>
      </c>
      <c r="I349" s="4" t="s">
        <v>19</v>
      </c>
      <c r="J349" s="3" t="s">
        <v>29</v>
      </c>
      <c r="K349" s="3" t="s">
        <v>38</v>
      </c>
      <c r="L349" s="3" t="s">
        <v>24</v>
      </c>
      <c r="M349" s="3" t="s">
        <v>375</v>
      </c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2.75" x14ac:dyDescent="0.2">
      <c r="A350" s="4">
        <v>351</v>
      </c>
      <c r="B350" s="5" t="s">
        <v>415</v>
      </c>
      <c r="C350" s="4"/>
      <c r="D350" s="4"/>
      <c r="E350" s="4"/>
      <c r="F350" s="4"/>
      <c r="G350" s="4" t="s">
        <v>17</v>
      </c>
      <c r="H350" s="4" t="s">
        <v>13</v>
      </c>
      <c r="I350" s="4" t="s">
        <v>19</v>
      </c>
      <c r="J350" s="3" t="s">
        <v>29</v>
      </c>
      <c r="K350" s="3" t="s">
        <v>15</v>
      </c>
      <c r="L350" s="3" t="s">
        <v>24</v>
      </c>
      <c r="M350" s="3" t="s">
        <v>376</v>
      </c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2.75" x14ac:dyDescent="0.2">
      <c r="A351" s="4">
        <v>352</v>
      </c>
      <c r="B351" s="5" t="s">
        <v>416</v>
      </c>
      <c r="C351" s="4"/>
      <c r="D351" s="4"/>
      <c r="E351" s="4"/>
      <c r="F351" s="4"/>
      <c r="G351" s="4" t="s">
        <v>17</v>
      </c>
      <c r="H351" s="4" t="s">
        <v>13</v>
      </c>
      <c r="I351" s="4" t="s">
        <v>19</v>
      </c>
      <c r="J351" s="3" t="s">
        <v>29</v>
      </c>
      <c r="K351" s="3" t="s">
        <v>15</v>
      </c>
      <c r="L351" s="3" t="s">
        <v>27</v>
      </c>
      <c r="M351" s="3" t="s">
        <v>376</v>
      </c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2.75" x14ac:dyDescent="0.2">
      <c r="A352" s="4">
        <v>353</v>
      </c>
      <c r="B352" s="5" t="s">
        <v>417</v>
      </c>
      <c r="C352" s="4"/>
      <c r="D352" s="4"/>
      <c r="E352" s="4"/>
      <c r="F352" s="4"/>
      <c r="G352" s="4" t="s">
        <v>17</v>
      </c>
      <c r="H352" s="4" t="s">
        <v>18</v>
      </c>
      <c r="I352" s="4" t="s">
        <v>19</v>
      </c>
      <c r="J352" s="3" t="s">
        <v>34</v>
      </c>
      <c r="K352" s="3"/>
      <c r="L352" s="3" t="s">
        <v>24</v>
      </c>
      <c r="M352" s="3" t="s">
        <v>375</v>
      </c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2.75" x14ac:dyDescent="0.2">
      <c r="A353" s="4">
        <v>354</v>
      </c>
      <c r="B353" s="5" t="s">
        <v>418</v>
      </c>
      <c r="C353" s="4"/>
      <c r="D353" s="4"/>
      <c r="E353" s="4"/>
      <c r="F353" s="4"/>
      <c r="G353" s="4" t="s">
        <v>1</v>
      </c>
      <c r="H353" s="4" t="s">
        <v>18</v>
      </c>
      <c r="I353" s="4" t="s">
        <v>19</v>
      </c>
      <c r="J353" s="3" t="s">
        <v>34</v>
      </c>
      <c r="K353" s="3"/>
      <c r="L353" s="3" t="s">
        <v>37</v>
      </c>
      <c r="M353" s="3" t="s">
        <v>375</v>
      </c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2.75" x14ac:dyDescent="0.2">
      <c r="A354" s="4">
        <v>355</v>
      </c>
      <c r="B354" s="5" t="s">
        <v>419</v>
      </c>
      <c r="C354" s="4"/>
      <c r="D354" s="4"/>
      <c r="E354" s="4"/>
      <c r="F354" s="4"/>
      <c r="G354" s="4" t="s">
        <v>17</v>
      </c>
      <c r="H354" s="4" t="s">
        <v>13</v>
      </c>
      <c r="I354" s="4" t="s">
        <v>19</v>
      </c>
      <c r="J354" s="3" t="s">
        <v>29</v>
      </c>
      <c r="K354" s="3" t="s">
        <v>45</v>
      </c>
      <c r="L354" s="3" t="s">
        <v>22</v>
      </c>
      <c r="M354" s="3" t="s">
        <v>375</v>
      </c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2.75" x14ac:dyDescent="0.2">
      <c r="A355" s="4">
        <v>356</v>
      </c>
      <c r="B355" s="5" t="s">
        <v>420</v>
      </c>
      <c r="C355" s="4"/>
      <c r="D355" s="4"/>
      <c r="E355" s="4"/>
      <c r="F355" s="4"/>
      <c r="G355" s="4" t="s">
        <v>17</v>
      </c>
      <c r="H355" s="4" t="s">
        <v>13</v>
      </c>
      <c r="I355" s="4" t="s">
        <v>19</v>
      </c>
      <c r="J355" s="3" t="s">
        <v>29</v>
      </c>
      <c r="K355" s="3" t="s">
        <v>46</v>
      </c>
      <c r="L355" s="3" t="s">
        <v>24</v>
      </c>
      <c r="M355" s="3" t="s">
        <v>375</v>
      </c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2.75" x14ac:dyDescent="0.2">
      <c r="A356" s="4">
        <v>357</v>
      </c>
      <c r="B356" s="5" t="s">
        <v>421</v>
      </c>
      <c r="C356" s="4"/>
      <c r="D356" s="4"/>
      <c r="E356" s="4"/>
      <c r="F356" s="4"/>
      <c r="G356" s="4" t="s">
        <v>33</v>
      </c>
      <c r="H356" s="4" t="s">
        <v>13</v>
      </c>
      <c r="I356" s="4" t="s">
        <v>19</v>
      </c>
      <c r="J356" s="3" t="s">
        <v>29</v>
      </c>
      <c r="K356" s="3" t="s">
        <v>46</v>
      </c>
      <c r="L356" s="3" t="s">
        <v>33</v>
      </c>
      <c r="M356" s="3" t="s">
        <v>375</v>
      </c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2.75" x14ac:dyDescent="0.2">
      <c r="A357" s="4">
        <v>358</v>
      </c>
      <c r="B357" s="5" t="s">
        <v>422</v>
      </c>
      <c r="C357" s="4"/>
      <c r="D357" s="4"/>
      <c r="E357" s="4"/>
      <c r="F357" s="4"/>
      <c r="G357" s="4" t="s">
        <v>17</v>
      </c>
      <c r="H357" s="4" t="s">
        <v>13</v>
      </c>
      <c r="I357" s="4" t="s">
        <v>19</v>
      </c>
      <c r="J357" s="3" t="s">
        <v>29</v>
      </c>
      <c r="K357" s="3" t="s">
        <v>43</v>
      </c>
      <c r="L357" s="3" t="s">
        <v>24</v>
      </c>
      <c r="M357" s="3" t="s">
        <v>375</v>
      </c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2.75" x14ac:dyDescent="0.2">
      <c r="A358" s="4">
        <v>359</v>
      </c>
      <c r="B358" s="5" t="s">
        <v>423</v>
      </c>
      <c r="C358" s="4"/>
      <c r="D358" s="4"/>
      <c r="E358" s="4"/>
      <c r="F358" s="4"/>
      <c r="G358" s="4" t="s">
        <v>17</v>
      </c>
      <c r="H358" s="4" t="s">
        <v>0</v>
      </c>
      <c r="I358" s="4" t="s">
        <v>19</v>
      </c>
      <c r="J358" s="3"/>
      <c r="K358" s="3"/>
      <c r="L358" s="3" t="s">
        <v>24</v>
      </c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2.75" x14ac:dyDescent="0.2">
      <c r="A359" s="4">
        <v>360</v>
      </c>
      <c r="B359" s="5" t="s">
        <v>424</v>
      </c>
      <c r="C359" s="4"/>
      <c r="D359" s="4"/>
      <c r="E359" s="4"/>
      <c r="F359" s="4"/>
      <c r="G359" s="4" t="s">
        <v>17</v>
      </c>
      <c r="H359" s="4" t="s">
        <v>13</v>
      </c>
      <c r="I359" s="4" t="s">
        <v>19</v>
      </c>
      <c r="J359" s="3" t="s">
        <v>29</v>
      </c>
      <c r="K359" s="3" t="s">
        <v>51</v>
      </c>
      <c r="L359" s="3" t="s">
        <v>27</v>
      </c>
      <c r="M359" s="3" t="s">
        <v>376</v>
      </c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2.75" x14ac:dyDescent="0.2">
      <c r="A360" s="4">
        <v>361</v>
      </c>
      <c r="B360" s="5" t="s">
        <v>425</v>
      </c>
      <c r="C360" s="4"/>
      <c r="D360" s="4"/>
      <c r="E360" s="4"/>
      <c r="F360" s="4"/>
      <c r="G360" s="4" t="s">
        <v>17</v>
      </c>
      <c r="H360" s="4" t="s">
        <v>13</v>
      </c>
      <c r="I360" s="4" t="s">
        <v>19</v>
      </c>
      <c r="J360" s="3" t="s">
        <v>29</v>
      </c>
      <c r="K360" s="3" t="s">
        <v>15</v>
      </c>
      <c r="L360" s="3" t="s">
        <v>27</v>
      </c>
      <c r="M360" s="3" t="s">
        <v>376</v>
      </c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2.75" x14ac:dyDescent="0.2">
      <c r="A361" s="4">
        <v>362</v>
      </c>
      <c r="B361" s="5" t="s">
        <v>426</v>
      </c>
      <c r="C361" s="4"/>
      <c r="D361" s="4"/>
      <c r="E361" s="4"/>
      <c r="F361" s="4"/>
      <c r="G361" s="4" t="s">
        <v>17</v>
      </c>
      <c r="H361" s="4" t="s">
        <v>0</v>
      </c>
      <c r="I361" s="4" t="s">
        <v>19</v>
      </c>
      <c r="J361" s="3"/>
      <c r="K361" s="3"/>
      <c r="L361" s="3" t="s">
        <v>27</v>
      </c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2.75" x14ac:dyDescent="0.2">
      <c r="A362" s="4">
        <v>363</v>
      </c>
      <c r="B362" s="5" t="s">
        <v>427</v>
      </c>
      <c r="C362" s="4"/>
      <c r="D362" s="4"/>
      <c r="E362" s="4"/>
      <c r="F362" s="4"/>
      <c r="G362" s="4" t="s">
        <v>33</v>
      </c>
      <c r="H362" s="4" t="s">
        <v>13</v>
      </c>
      <c r="I362" s="4" t="s">
        <v>19</v>
      </c>
      <c r="J362" s="3" t="s">
        <v>29</v>
      </c>
      <c r="K362" s="3" t="s">
        <v>30</v>
      </c>
      <c r="L362" s="3" t="s">
        <v>33</v>
      </c>
      <c r="M362" s="3" t="s">
        <v>375</v>
      </c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2.75" x14ac:dyDescent="0.2">
      <c r="A363" s="4">
        <v>364</v>
      </c>
      <c r="B363" s="5" t="s">
        <v>428</v>
      </c>
      <c r="C363" s="4"/>
      <c r="D363" s="4"/>
      <c r="E363" s="4"/>
      <c r="F363" s="4"/>
      <c r="G363" s="4" t="s">
        <v>17</v>
      </c>
      <c r="H363" s="4" t="s">
        <v>13</v>
      </c>
      <c r="I363" s="4" t="s">
        <v>19</v>
      </c>
      <c r="J363" s="3" t="s">
        <v>29</v>
      </c>
      <c r="K363" s="3" t="s">
        <v>15</v>
      </c>
      <c r="L363" s="3" t="s">
        <v>22</v>
      </c>
      <c r="M363" s="3" t="s">
        <v>375</v>
      </c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2.75" x14ac:dyDescent="0.2">
      <c r="A364" s="4">
        <v>365</v>
      </c>
      <c r="B364" s="5" t="s">
        <v>429</v>
      </c>
      <c r="C364" s="4"/>
      <c r="D364" s="4"/>
      <c r="E364" s="4"/>
      <c r="F364" s="4"/>
      <c r="G364" s="4" t="s">
        <v>17</v>
      </c>
      <c r="H364" s="4" t="s">
        <v>13</v>
      </c>
      <c r="I364" s="4" t="s">
        <v>19</v>
      </c>
      <c r="J364" s="3" t="s">
        <v>29</v>
      </c>
      <c r="K364" s="3" t="s">
        <v>15</v>
      </c>
      <c r="L364" s="3" t="s">
        <v>24</v>
      </c>
      <c r="M364" s="3" t="s">
        <v>375</v>
      </c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2.75" x14ac:dyDescent="0.2">
      <c r="A365" s="4">
        <v>366</v>
      </c>
      <c r="B365" s="5" t="s">
        <v>430</v>
      </c>
      <c r="C365" s="4"/>
      <c r="D365" s="4"/>
      <c r="E365" s="4"/>
      <c r="F365" s="4"/>
      <c r="G365" s="4" t="s">
        <v>17</v>
      </c>
      <c r="H365" s="4" t="s">
        <v>13</v>
      </c>
      <c r="I365" s="4" t="s">
        <v>19</v>
      </c>
      <c r="J365" s="3" t="s">
        <v>29</v>
      </c>
      <c r="K365" s="3" t="s">
        <v>28</v>
      </c>
      <c r="L365" s="3" t="s">
        <v>22</v>
      </c>
      <c r="M365" s="3" t="s">
        <v>375</v>
      </c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2.75" x14ac:dyDescent="0.2">
      <c r="A366" s="4">
        <v>367</v>
      </c>
      <c r="B366" s="5" t="s">
        <v>431</v>
      </c>
      <c r="C366" s="4"/>
      <c r="D366" s="4"/>
      <c r="E366" s="4"/>
      <c r="F366" s="4"/>
      <c r="G366" s="4" t="s">
        <v>17</v>
      </c>
      <c r="H366" s="4" t="s">
        <v>18</v>
      </c>
      <c r="I366" s="4" t="s">
        <v>19</v>
      </c>
      <c r="J366" s="3" t="s">
        <v>50</v>
      </c>
      <c r="K366" s="3"/>
      <c r="L366" s="3" t="s">
        <v>22</v>
      </c>
      <c r="M366" s="3" t="s">
        <v>375</v>
      </c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2.75" x14ac:dyDescent="0.2">
      <c r="A367" s="4">
        <v>368</v>
      </c>
      <c r="B367" s="5" t="s">
        <v>432</v>
      </c>
      <c r="C367" s="4"/>
      <c r="D367" s="4"/>
      <c r="E367" s="4"/>
      <c r="F367" s="4"/>
      <c r="G367" s="4" t="s">
        <v>17</v>
      </c>
      <c r="H367" s="4" t="s">
        <v>13</v>
      </c>
      <c r="I367" s="4" t="s">
        <v>19</v>
      </c>
      <c r="J367" s="3" t="s">
        <v>29</v>
      </c>
      <c r="K367" s="3" t="s">
        <v>41</v>
      </c>
      <c r="L367" s="3" t="s">
        <v>24</v>
      </c>
      <c r="M367" s="3" t="s">
        <v>375</v>
      </c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2.75" x14ac:dyDescent="0.2">
      <c r="A368" s="4">
        <v>369</v>
      </c>
      <c r="B368" s="5" t="s">
        <v>433</v>
      </c>
      <c r="C368" s="4"/>
      <c r="D368" s="4"/>
      <c r="E368" s="4"/>
      <c r="F368" s="4"/>
      <c r="G368" s="4" t="s">
        <v>17</v>
      </c>
      <c r="H368" s="4" t="s">
        <v>13</v>
      </c>
      <c r="I368" s="4" t="s">
        <v>19</v>
      </c>
      <c r="J368" s="3" t="s">
        <v>29</v>
      </c>
      <c r="K368" s="3" t="s">
        <v>40</v>
      </c>
      <c r="L368" s="3" t="s">
        <v>24</v>
      </c>
      <c r="M368" s="3" t="s">
        <v>375</v>
      </c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2.75" x14ac:dyDescent="0.2">
      <c r="A369" s="4">
        <v>370</v>
      </c>
      <c r="B369" s="5" t="s">
        <v>434</v>
      </c>
      <c r="C369" s="4"/>
      <c r="D369" s="4"/>
      <c r="E369" s="4"/>
      <c r="F369" s="4"/>
      <c r="G369" s="4" t="s">
        <v>1</v>
      </c>
      <c r="H369" s="4" t="s">
        <v>13</v>
      </c>
      <c r="I369" s="4"/>
      <c r="J369" s="3" t="s">
        <v>29</v>
      </c>
      <c r="K369" s="3" t="s">
        <v>30</v>
      </c>
      <c r="L369" s="3" t="s">
        <v>37</v>
      </c>
      <c r="M369" s="3" t="s">
        <v>376</v>
      </c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2.75" x14ac:dyDescent="0.2">
      <c r="A370" s="4">
        <v>371</v>
      </c>
      <c r="B370" s="5" t="s">
        <v>435</v>
      </c>
      <c r="C370" s="4"/>
      <c r="D370" s="4"/>
      <c r="E370" s="4"/>
      <c r="F370" s="4"/>
      <c r="G370" s="4" t="s">
        <v>1</v>
      </c>
      <c r="H370" s="4" t="s">
        <v>13</v>
      </c>
      <c r="I370" s="4"/>
      <c r="J370" s="3" t="s">
        <v>29</v>
      </c>
      <c r="K370" s="3" t="s">
        <v>30</v>
      </c>
      <c r="L370" s="3" t="s">
        <v>37</v>
      </c>
      <c r="M370" s="3" t="s">
        <v>375</v>
      </c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2.75" x14ac:dyDescent="0.2">
      <c r="A371" s="4">
        <v>372</v>
      </c>
      <c r="B371" s="5" t="s">
        <v>436</v>
      </c>
      <c r="C371" s="4"/>
      <c r="D371" s="4"/>
      <c r="E371" s="4"/>
      <c r="F371" s="4"/>
      <c r="G371" s="4" t="s">
        <v>1</v>
      </c>
      <c r="H371" s="4" t="s">
        <v>18</v>
      </c>
      <c r="I371" s="4"/>
      <c r="J371" s="3" t="s">
        <v>20</v>
      </c>
      <c r="K371" s="3"/>
      <c r="L371" s="3" t="s">
        <v>37</v>
      </c>
      <c r="M371" s="3" t="s">
        <v>375</v>
      </c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2.75" x14ac:dyDescent="0.2">
      <c r="A372" s="4">
        <v>373</v>
      </c>
      <c r="B372" s="5" t="s">
        <v>437</v>
      </c>
      <c r="C372" s="4"/>
      <c r="D372" s="4"/>
      <c r="E372" s="4"/>
      <c r="F372" s="4"/>
      <c r="G372" s="4" t="s">
        <v>1</v>
      </c>
      <c r="H372" s="4" t="s">
        <v>18</v>
      </c>
      <c r="I372" s="4"/>
      <c r="J372" s="3" t="s">
        <v>20</v>
      </c>
      <c r="K372" s="3"/>
      <c r="L372" s="3" t="s">
        <v>37</v>
      </c>
      <c r="M372" s="3" t="s">
        <v>375</v>
      </c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2.75" x14ac:dyDescent="0.2">
      <c r="A373" s="4">
        <v>374</v>
      </c>
      <c r="B373" s="5" t="s">
        <v>438</v>
      </c>
      <c r="C373" s="4"/>
      <c r="D373" s="4"/>
      <c r="E373" s="4"/>
      <c r="F373" s="4"/>
      <c r="G373" s="4" t="s">
        <v>1</v>
      </c>
      <c r="H373" s="4" t="s">
        <v>18</v>
      </c>
      <c r="I373" s="4"/>
      <c r="J373" s="3" t="s">
        <v>20</v>
      </c>
      <c r="K373" s="3"/>
      <c r="L373" s="3" t="s">
        <v>37</v>
      </c>
      <c r="M373" s="3" t="s">
        <v>375</v>
      </c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2.75" x14ac:dyDescent="0.2">
      <c r="A374" s="4">
        <v>375</v>
      </c>
      <c r="B374" s="5" t="s">
        <v>439</v>
      </c>
      <c r="C374" s="4"/>
      <c r="D374" s="4"/>
      <c r="E374" s="4"/>
      <c r="F374" s="4"/>
      <c r="G374" s="4" t="s">
        <v>17</v>
      </c>
      <c r="H374" s="4" t="s">
        <v>13</v>
      </c>
      <c r="I374" s="4" t="s">
        <v>19</v>
      </c>
      <c r="J374" s="3" t="s">
        <v>29</v>
      </c>
      <c r="K374" s="3" t="s">
        <v>30</v>
      </c>
      <c r="L374" s="3" t="s">
        <v>22</v>
      </c>
      <c r="M374" s="3" t="s">
        <v>375</v>
      </c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2.75" x14ac:dyDescent="0.2">
      <c r="A375" s="4">
        <v>376</v>
      </c>
      <c r="B375" s="5" t="s">
        <v>440</v>
      </c>
      <c r="C375" s="4"/>
      <c r="D375" s="4"/>
      <c r="E375" s="4"/>
      <c r="F375" s="4"/>
      <c r="G375" s="4" t="s">
        <v>33</v>
      </c>
      <c r="H375" s="4" t="s">
        <v>13</v>
      </c>
      <c r="I375" s="4" t="s">
        <v>19</v>
      </c>
      <c r="J375" s="3" t="s">
        <v>29</v>
      </c>
      <c r="K375" s="3" t="s">
        <v>15</v>
      </c>
      <c r="L375" s="3" t="s">
        <v>33</v>
      </c>
      <c r="M375" s="3" t="s">
        <v>375</v>
      </c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2.75" x14ac:dyDescent="0.2">
      <c r="A376" s="4">
        <v>377</v>
      </c>
      <c r="B376" s="5" t="s">
        <v>441</v>
      </c>
      <c r="C376" s="4"/>
      <c r="D376" s="4"/>
      <c r="E376" s="4"/>
      <c r="F376" s="4"/>
      <c r="G376" s="4" t="s">
        <v>33</v>
      </c>
      <c r="H376" s="4" t="s">
        <v>13</v>
      </c>
      <c r="I376" s="4" t="s">
        <v>19</v>
      </c>
      <c r="J376" s="3" t="s">
        <v>29</v>
      </c>
      <c r="K376" s="3" t="s">
        <v>30</v>
      </c>
      <c r="L376" s="3" t="s">
        <v>33</v>
      </c>
      <c r="M376" s="3" t="s">
        <v>375</v>
      </c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2.75" x14ac:dyDescent="0.2">
      <c r="A377" s="4">
        <v>378</v>
      </c>
      <c r="B377" s="5" t="s">
        <v>442</v>
      </c>
      <c r="C377" s="4"/>
      <c r="D377" s="4"/>
      <c r="E377" s="4"/>
      <c r="F377" s="4"/>
      <c r="G377" s="4" t="s">
        <v>1</v>
      </c>
      <c r="H377" s="4" t="s">
        <v>18</v>
      </c>
      <c r="I377" s="4" t="s">
        <v>19</v>
      </c>
      <c r="J377" s="3" t="s">
        <v>20</v>
      </c>
      <c r="K377" s="3"/>
      <c r="L377" s="3" t="s">
        <v>37</v>
      </c>
      <c r="M377" s="3" t="s">
        <v>375</v>
      </c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2.75" x14ac:dyDescent="0.2">
      <c r="A378" s="4">
        <v>379</v>
      </c>
      <c r="B378" s="5" t="s">
        <v>443</v>
      </c>
      <c r="C378" s="4"/>
      <c r="D378" s="4"/>
      <c r="E378" s="4"/>
      <c r="F378" s="4"/>
      <c r="G378" s="4" t="s">
        <v>17</v>
      </c>
      <c r="H378" s="4" t="s">
        <v>13</v>
      </c>
      <c r="I378" s="4" t="s">
        <v>19</v>
      </c>
      <c r="J378" s="3" t="s">
        <v>29</v>
      </c>
      <c r="K378" s="3" t="s">
        <v>36</v>
      </c>
      <c r="L378" s="3" t="s">
        <v>24</v>
      </c>
      <c r="M378" s="3" t="s">
        <v>376</v>
      </c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2.75" x14ac:dyDescent="0.2">
      <c r="A379" s="4">
        <v>380</v>
      </c>
      <c r="B379" s="5" t="s">
        <v>444</v>
      </c>
      <c r="C379" s="4"/>
      <c r="D379" s="4"/>
      <c r="E379" s="4"/>
      <c r="F379" s="4"/>
      <c r="G379" s="4" t="s">
        <v>17</v>
      </c>
      <c r="H379" s="4" t="s">
        <v>18</v>
      </c>
      <c r="I379" s="4" t="s">
        <v>19</v>
      </c>
      <c r="J379" s="3" t="s">
        <v>34</v>
      </c>
      <c r="K379" s="3"/>
      <c r="L379" s="3" t="s">
        <v>22</v>
      </c>
      <c r="M379" s="3" t="s">
        <v>375</v>
      </c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2.75" x14ac:dyDescent="0.2">
      <c r="A380" s="4">
        <v>381</v>
      </c>
      <c r="B380" s="5" t="s">
        <v>445</v>
      </c>
      <c r="C380" s="4"/>
      <c r="D380" s="4"/>
      <c r="E380" s="4"/>
      <c r="F380" s="4"/>
      <c r="G380" s="4" t="s">
        <v>17</v>
      </c>
      <c r="H380" s="4" t="s">
        <v>13</v>
      </c>
      <c r="I380" s="4" t="s">
        <v>19</v>
      </c>
      <c r="J380" s="3" t="s">
        <v>29</v>
      </c>
      <c r="K380" s="3" t="s">
        <v>30</v>
      </c>
      <c r="L380" s="3" t="s">
        <v>24</v>
      </c>
      <c r="M380" s="3" t="s">
        <v>375</v>
      </c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2.75" x14ac:dyDescent="0.2">
      <c r="A381" s="4">
        <v>382</v>
      </c>
      <c r="B381" s="5" t="s">
        <v>446</v>
      </c>
      <c r="C381" s="4"/>
      <c r="D381" s="4"/>
      <c r="E381" s="4"/>
      <c r="F381" s="4"/>
      <c r="G381" s="4" t="s">
        <v>17</v>
      </c>
      <c r="H381" s="4" t="s">
        <v>0</v>
      </c>
      <c r="I381" s="4" t="s">
        <v>19</v>
      </c>
      <c r="J381" s="3"/>
      <c r="K381" s="3"/>
      <c r="L381" s="3" t="s">
        <v>24</v>
      </c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2.75" x14ac:dyDescent="0.2">
      <c r="A382" s="4">
        <v>383</v>
      </c>
      <c r="B382" s="5" t="s">
        <v>447</v>
      </c>
      <c r="C382" s="4"/>
      <c r="D382" s="4"/>
      <c r="E382" s="4"/>
      <c r="F382" s="4"/>
      <c r="G382" s="4" t="s">
        <v>17</v>
      </c>
      <c r="H382" s="4" t="s">
        <v>13</v>
      </c>
      <c r="I382" s="4" t="s">
        <v>19</v>
      </c>
      <c r="J382" s="3" t="s">
        <v>29</v>
      </c>
      <c r="K382" s="3" t="s">
        <v>30</v>
      </c>
      <c r="L382" s="3" t="s">
        <v>27</v>
      </c>
      <c r="M382" s="3" t="s">
        <v>376</v>
      </c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2.75" x14ac:dyDescent="0.2">
      <c r="A383" s="4">
        <v>384</v>
      </c>
      <c r="B383" s="5" t="s">
        <v>448</v>
      </c>
      <c r="C383" s="4"/>
      <c r="D383" s="4"/>
      <c r="E383" s="4"/>
      <c r="F383" s="4"/>
      <c r="G383" s="4" t="s">
        <v>33</v>
      </c>
      <c r="H383" s="4" t="s">
        <v>13</v>
      </c>
      <c r="I383" s="4" t="s">
        <v>19</v>
      </c>
      <c r="J383" s="3" t="s">
        <v>29</v>
      </c>
      <c r="K383" s="3" t="s">
        <v>46</v>
      </c>
      <c r="L383" s="3" t="s">
        <v>33</v>
      </c>
      <c r="M383" s="3" t="s">
        <v>375</v>
      </c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2.75" x14ac:dyDescent="0.2">
      <c r="A384" s="4">
        <v>385</v>
      </c>
      <c r="B384" s="5" t="s">
        <v>449</v>
      </c>
      <c r="C384" s="4"/>
      <c r="D384" s="4"/>
      <c r="E384" s="4"/>
      <c r="F384" s="4"/>
      <c r="G384" s="4" t="s">
        <v>17</v>
      </c>
      <c r="H384" s="4" t="s">
        <v>13</v>
      </c>
      <c r="I384" s="4" t="s">
        <v>19</v>
      </c>
      <c r="J384" s="3" t="s">
        <v>29</v>
      </c>
      <c r="K384" s="3" t="s">
        <v>30</v>
      </c>
      <c r="L384" s="3" t="s">
        <v>22</v>
      </c>
      <c r="M384" s="3" t="s">
        <v>375</v>
      </c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2.75" x14ac:dyDescent="0.2">
      <c r="A385" s="4">
        <v>386</v>
      </c>
      <c r="B385" s="5" t="s">
        <v>450</v>
      </c>
      <c r="C385" s="4"/>
      <c r="D385" s="4"/>
      <c r="E385" s="4"/>
      <c r="F385" s="4"/>
      <c r="G385" s="4" t="s">
        <v>1</v>
      </c>
      <c r="H385" s="4" t="s">
        <v>18</v>
      </c>
      <c r="I385" s="4" t="s">
        <v>19</v>
      </c>
      <c r="J385" s="3" t="s">
        <v>23</v>
      </c>
      <c r="K385" s="3"/>
      <c r="L385" s="3" t="s">
        <v>37</v>
      </c>
      <c r="M385" s="3" t="s">
        <v>376</v>
      </c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2.75" x14ac:dyDescent="0.2">
      <c r="A386" s="4">
        <v>387</v>
      </c>
      <c r="B386" s="5" t="s">
        <v>451</v>
      </c>
      <c r="C386" s="4"/>
      <c r="D386" s="4"/>
      <c r="E386" s="4"/>
      <c r="F386" s="4"/>
      <c r="G386" s="4" t="s">
        <v>1</v>
      </c>
      <c r="H386" s="4" t="s">
        <v>18</v>
      </c>
      <c r="I386" s="4" t="s">
        <v>19</v>
      </c>
      <c r="J386" s="3" t="s">
        <v>20</v>
      </c>
      <c r="K386" s="3"/>
      <c r="L386" s="3" t="s">
        <v>37</v>
      </c>
      <c r="M386" s="3" t="s">
        <v>375</v>
      </c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2.75" x14ac:dyDescent="0.2">
      <c r="A387" s="4">
        <v>388</v>
      </c>
      <c r="B387" s="5" t="s">
        <v>452</v>
      </c>
      <c r="C387" s="4"/>
      <c r="D387" s="4"/>
      <c r="E387" s="4"/>
      <c r="F387" s="4"/>
      <c r="G387" s="4" t="s">
        <v>17</v>
      </c>
      <c r="H387" s="4" t="s">
        <v>18</v>
      </c>
      <c r="I387" s="4" t="s">
        <v>19</v>
      </c>
      <c r="J387" s="3" t="s">
        <v>23</v>
      </c>
      <c r="K387" s="3"/>
      <c r="L387" s="3" t="s">
        <v>27</v>
      </c>
      <c r="M387" s="3" t="s">
        <v>376</v>
      </c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2.75" x14ac:dyDescent="0.2">
      <c r="A388" s="4">
        <v>389</v>
      </c>
      <c r="B388" s="5" t="s">
        <v>453</v>
      </c>
      <c r="C388" s="4"/>
      <c r="D388" s="4"/>
      <c r="E388" s="4"/>
      <c r="F388" s="4"/>
      <c r="G388" s="4" t="s">
        <v>17</v>
      </c>
      <c r="H388" s="4" t="s">
        <v>18</v>
      </c>
      <c r="I388" s="4" t="s">
        <v>19</v>
      </c>
      <c r="J388" s="3" t="s">
        <v>20</v>
      </c>
      <c r="K388" s="3"/>
      <c r="L388" s="3" t="s">
        <v>22</v>
      </c>
      <c r="M388" s="3" t="s">
        <v>375</v>
      </c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2.75" x14ac:dyDescent="0.2">
      <c r="A389" s="4">
        <v>390</v>
      </c>
      <c r="B389" s="5" t="s">
        <v>454</v>
      </c>
      <c r="C389" s="4"/>
      <c r="D389" s="4"/>
      <c r="E389" s="4"/>
      <c r="F389" s="4"/>
      <c r="G389" s="4" t="s">
        <v>1</v>
      </c>
      <c r="H389" s="4" t="s">
        <v>18</v>
      </c>
      <c r="I389" s="4" t="s">
        <v>19</v>
      </c>
      <c r="J389" s="3" t="s">
        <v>20</v>
      </c>
      <c r="K389" s="3"/>
      <c r="L389" s="3" t="s">
        <v>37</v>
      </c>
      <c r="M389" s="3" t="s">
        <v>375</v>
      </c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2.75" x14ac:dyDescent="0.2">
      <c r="A390" s="4">
        <v>391</v>
      </c>
      <c r="B390" s="5" t="s">
        <v>455</v>
      </c>
      <c r="C390" s="4"/>
      <c r="D390" s="4"/>
      <c r="E390" s="4"/>
      <c r="F390" s="4"/>
      <c r="G390" s="4" t="s">
        <v>17</v>
      </c>
      <c r="H390" s="4" t="s">
        <v>18</v>
      </c>
      <c r="I390" s="4" t="s">
        <v>19</v>
      </c>
      <c r="J390" s="3" t="s">
        <v>20</v>
      </c>
      <c r="K390" s="3"/>
      <c r="L390" s="3" t="s">
        <v>24</v>
      </c>
      <c r="M390" s="3" t="s">
        <v>375</v>
      </c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2.75" x14ac:dyDescent="0.2">
      <c r="A391" s="4">
        <v>392</v>
      </c>
      <c r="B391" s="5" t="s">
        <v>456</v>
      </c>
      <c r="C391" s="4"/>
      <c r="D391" s="4"/>
      <c r="E391" s="4"/>
      <c r="F391" s="4"/>
      <c r="G391" s="4" t="s">
        <v>17</v>
      </c>
      <c r="H391" s="4" t="s">
        <v>18</v>
      </c>
      <c r="I391" s="4" t="s">
        <v>19</v>
      </c>
      <c r="J391" s="3" t="s">
        <v>20</v>
      </c>
      <c r="K391" s="3"/>
      <c r="L391" s="3" t="s">
        <v>24</v>
      </c>
      <c r="M391" s="3" t="s">
        <v>375</v>
      </c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2.75" x14ac:dyDescent="0.2">
      <c r="A392" s="4">
        <v>393</v>
      </c>
      <c r="B392" s="5" t="s">
        <v>457</v>
      </c>
      <c r="C392" s="4"/>
      <c r="D392" s="4"/>
      <c r="E392" s="4"/>
      <c r="F392" s="4"/>
      <c r="G392" s="4" t="s">
        <v>17</v>
      </c>
      <c r="H392" s="4" t="s">
        <v>13</v>
      </c>
      <c r="I392" s="4" t="s">
        <v>19</v>
      </c>
      <c r="J392" s="3" t="s">
        <v>29</v>
      </c>
      <c r="K392" s="3" t="s">
        <v>30</v>
      </c>
      <c r="L392" s="3" t="s">
        <v>22</v>
      </c>
      <c r="M392" s="3" t="s">
        <v>375</v>
      </c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2.75" x14ac:dyDescent="0.2">
      <c r="A393" s="4">
        <v>394</v>
      </c>
      <c r="B393" s="5" t="s">
        <v>458</v>
      </c>
      <c r="C393" s="4"/>
      <c r="D393" s="4"/>
      <c r="E393" s="4"/>
      <c r="F393" s="4"/>
      <c r="G393" s="4" t="s">
        <v>17</v>
      </c>
      <c r="H393" s="4" t="s">
        <v>18</v>
      </c>
      <c r="I393" s="4" t="s">
        <v>19</v>
      </c>
      <c r="J393" s="3" t="s">
        <v>34</v>
      </c>
      <c r="K393" s="3"/>
      <c r="L393" s="3" t="s">
        <v>22</v>
      </c>
      <c r="M393" s="3" t="s">
        <v>375</v>
      </c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2.75" x14ac:dyDescent="0.2">
      <c r="A394" s="4">
        <v>395</v>
      </c>
      <c r="B394" s="5" t="s">
        <v>459</v>
      </c>
      <c r="C394" s="4"/>
      <c r="D394" s="4"/>
      <c r="E394" s="4"/>
      <c r="F394" s="4"/>
      <c r="G394" s="4" t="s">
        <v>17</v>
      </c>
      <c r="H394" s="4" t="s">
        <v>18</v>
      </c>
      <c r="I394" s="4" t="s">
        <v>19</v>
      </c>
      <c r="J394" s="3" t="s">
        <v>23</v>
      </c>
      <c r="K394" s="3"/>
      <c r="L394" s="3" t="s">
        <v>27</v>
      </c>
      <c r="M394" s="3" t="s">
        <v>376</v>
      </c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2.75" x14ac:dyDescent="0.2">
      <c r="A395" s="4">
        <v>396</v>
      </c>
      <c r="B395" s="5" t="s">
        <v>460</v>
      </c>
      <c r="C395" s="4"/>
      <c r="D395" s="4"/>
      <c r="E395" s="4"/>
      <c r="F395" s="4"/>
      <c r="G395" s="4" t="s">
        <v>17</v>
      </c>
      <c r="H395" s="4" t="s">
        <v>13</v>
      </c>
      <c r="I395" s="4" t="s">
        <v>19</v>
      </c>
      <c r="J395" s="3" t="s">
        <v>29</v>
      </c>
      <c r="K395" s="3" t="s">
        <v>30</v>
      </c>
      <c r="L395" s="3" t="s">
        <v>27</v>
      </c>
      <c r="M395" s="3" t="s">
        <v>376</v>
      </c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2.75" x14ac:dyDescent="0.2">
      <c r="A396" s="4">
        <v>397</v>
      </c>
      <c r="B396" s="5" t="s">
        <v>461</v>
      </c>
      <c r="C396" s="4"/>
      <c r="D396" s="4"/>
      <c r="E396" s="4"/>
      <c r="F396" s="4"/>
      <c r="G396" s="4" t="s">
        <v>17</v>
      </c>
      <c r="H396" s="4" t="s">
        <v>18</v>
      </c>
      <c r="I396" s="4" t="s">
        <v>19</v>
      </c>
      <c r="J396" s="3" t="s">
        <v>20</v>
      </c>
      <c r="K396" s="3"/>
      <c r="L396" s="3" t="s">
        <v>24</v>
      </c>
      <c r="M396" s="3" t="s">
        <v>375</v>
      </c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2.75" x14ac:dyDescent="0.2">
      <c r="A397" s="4">
        <v>398</v>
      </c>
      <c r="B397" s="5" t="s">
        <v>462</v>
      </c>
      <c r="C397" s="4"/>
      <c r="D397" s="4"/>
      <c r="E397" s="4"/>
      <c r="F397" s="4"/>
      <c r="G397" s="4" t="s">
        <v>33</v>
      </c>
      <c r="H397" s="4" t="s">
        <v>18</v>
      </c>
      <c r="I397" s="4" t="s">
        <v>19</v>
      </c>
      <c r="J397" s="3" t="s">
        <v>20</v>
      </c>
      <c r="K397" s="3"/>
      <c r="L397" s="3" t="s">
        <v>33</v>
      </c>
      <c r="M397" s="3" t="s">
        <v>375</v>
      </c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2.75" x14ac:dyDescent="0.2">
      <c r="A398" s="4">
        <v>399</v>
      </c>
      <c r="B398" s="5" t="s">
        <v>463</v>
      </c>
      <c r="C398" s="4"/>
      <c r="D398" s="4"/>
      <c r="E398" s="4"/>
      <c r="F398" s="4"/>
      <c r="G398" s="4" t="s">
        <v>17</v>
      </c>
      <c r="H398" s="4" t="s">
        <v>13</v>
      </c>
      <c r="I398" s="4" t="s">
        <v>19</v>
      </c>
      <c r="J398" s="3" t="s">
        <v>29</v>
      </c>
      <c r="K398" s="3" t="s">
        <v>43</v>
      </c>
      <c r="L398" s="3" t="s">
        <v>27</v>
      </c>
      <c r="M398" s="3" t="s">
        <v>376</v>
      </c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2.75" x14ac:dyDescent="0.2">
      <c r="A399" s="4">
        <v>400</v>
      </c>
      <c r="B399" s="5" t="s">
        <v>464</v>
      </c>
      <c r="C399" s="4"/>
      <c r="D399" s="4"/>
      <c r="E399" s="4"/>
      <c r="F399" s="4"/>
      <c r="G399" s="4" t="s">
        <v>17</v>
      </c>
      <c r="H399" s="4" t="s">
        <v>13</v>
      </c>
      <c r="I399" s="4" t="s">
        <v>19</v>
      </c>
      <c r="J399" s="3" t="s">
        <v>29</v>
      </c>
      <c r="K399" s="3" t="s">
        <v>15</v>
      </c>
      <c r="L399" s="3" t="s">
        <v>24</v>
      </c>
      <c r="M399" s="3" t="s">
        <v>375</v>
      </c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2.75" x14ac:dyDescent="0.2">
      <c r="A400" s="4">
        <v>401</v>
      </c>
      <c r="B400" s="5" t="s">
        <v>465</v>
      </c>
      <c r="C400" s="4"/>
      <c r="D400" s="4"/>
      <c r="E400" s="4"/>
      <c r="F400" s="4"/>
      <c r="G400" s="4" t="s">
        <v>33</v>
      </c>
      <c r="H400" s="4" t="s">
        <v>13</v>
      </c>
      <c r="I400" s="4" t="s">
        <v>19</v>
      </c>
      <c r="J400" s="3" t="s">
        <v>29</v>
      </c>
      <c r="K400" s="3" t="s">
        <v>43</v>
      </c>
      <c r="L400" s="3" t="s">
        <v>33</v>
      </c>
      <c r="M400" s="3" t="s">
        <v>375</v>
      </c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2.75" x14ac:dyDescent="0.2">
      <c r="A401" s="4">
        <v>402</v>
      </c>
      <c r="B401" s="5" t="s">
        <v>466</v>
      </c>
      <c r="C401" s="4"/>
      <c r="D401" s="4"/>
      <c r="E401" s="4"/>
      <c r="F401" s="4"/>
      <c r="G401" s="4" t="s">
        <v>17</v>
      </c>
      <c r="H401" s="4" t="s">
        <v>13</v>
      </c>
      <c r="I401" s="4" t="s">
        <v>19</v>
      </c>
      <c r="J401" s="3" t="s">
        <v>29</v>
      </c>
      <c r="K401" s="3" t="s">
        <v>30</v>
      </c>
      <c r="L401" s="3" t="s">
        <v>24</v>
      </c>
      <c r="M401" s="3" t="s">
        <v>376</v>
      </c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2.75" x14ac:dyDescent="0.2">
      <c r="A402" s="4">
        <v>403</v>
      </c>
      <c r="B402" s="5" t="s">
        <v>467</v>
      </c>
      <c r="C402" s="4"/>
      <c r="D402" s="4"/>
      <c r="E402" s="4"/>
      <c r="F402" s="4"/>
      <c r="G402" s="4" t="s">
        <v>17</v>
      </c>
      <c r="H402" s="4" t="s">
        <v>13</v>
      </c>
      <c r="I402" s="4" t="s">
        <v>19</v>
      </c>
      <c r="J402" s="3" t="s">
        <v>29</v>
      </c>
      <c r="K402" s="3" t="s">
        <v>468</v>
      </c>
      <c r="L402" s="3" t="s">
        <v>24</v>
      </c>
      <c r="M402" s="3" t="s">
        <v>375</v>
      </c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2.75" x14ac:dyDescent="0.2">
      <c r="A403" s="4">
        <v>404</v>
      </c>
      <c r="B403" s="5" t="s">
        <v>469</v>
      </c>
      <c r="C403" s="4"/>
      <c r="D403" s="4"/>
      <c r="E403" s="4"/>
      <c r="F403" s="4"/>
      <c r="G403" s="4" t="s">
        <v>17</v>
      </c>
      <c r="H403" s="4" t="s">
        <v>18</v>
      </c>
      <c r="I403" s="4" t="s">
        <v>19</v>
      </c>
      <c r="J403" s="3" t="s">
        <v>20</v>
      </c>
      <c r="K403" s="3"/>
      <c r="L403" s="3" t="s">
        <v>22</v>
      </c>
      <c r="M403" s="3" t="s">
        <v>375</v>
      </c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2.75" x14ac:dyDescent="0.2">
      <c r="A404" s="4">
        <v>405</v>
      </c>
      <c r="B404" s="5" t="s">
        <v>470</v>
      </c>
      <c r="C404" s="4"/>
      <c r="D404" s="4"/>
      <c r="E404" s="4"/>
      <c r="F404" s="4"/>
      <c r="G404" s="4" t="s">
        <v>17</v>
      </c>
      <c r="H404" s="4" t="s">
        <v>13</v>
      </c>
      <c r="I404" s="4" t="s">
        <v>19</v>
      </c>
      <c r="J404" s="3" t="s">
        <v>29</v>
      </c>
      <c r="K404" s="3" t="s">
        <v>38</v>
      </c>
      <c r="L404" s="3" t="s">
        <v>24</v>
      </c>
      <c r="M404" s="3" t="s">
        <v>375</v>
      </c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2.75" x14ac:dyDescent="0.2">
      <c r="A405" s="4" t="s">
        <v>21</v>
      </c>
      <c r="B405" s="5" t="s">
        <v>21</v>
      </c>
      <c r="C405" s="4"/>
      <c r="D405" s="4"/>
      <c r="E405" s="4"/>
      <c r="F405" s="4"/>
      <c r="G405" s="4" t="s">
        <v>21</v>
      </c>
      <c r="H405" s="4" t="s">
        <v>21</v>
      </c>
      <c r="I405" s="4"/>
      <c r="J405" s="3" t="s">
        <v>21</v>
      </c>
      <c r="K405" s="3" t="s">
        <v>21</v>
      </c>
      <c r="L405" s="3" t="s">
        <v>21</v>
      </c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2.75" x14ac:dyDescent="0.2">
      <c r="A406" s="4" t="s">
        <v>21</v>
      </c>
      <c r="B406" s="5" t="s">
        <v>21</v>
      </c>
      <c r="C406" s="4"/>
      <c r="D406" s="4"/>
      <c r="E406" s="4"/>
      <c r="F406" s="4"/>
      <c r="G406" s="4" t="s">
        <v>21</v>
      </c>
      <c r="H406" s="4" t="s">
        <v>21</v>
      </c>
      <c r="I406" s="4"/>
      <c r="J406" s="3" t="s">
        <v>21</v>
      </c>
      <c r="K406" s="3" t="s">
        <v>21</v>
      </c>
      <c r="L406" s="3" t="s">
        <v>21</v>
      </c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2.75" x14ac:dyDescent="0.2">
      <c r="A407" s="4" t="s">
        <v>21</v>
      </c>
      <c r="B407" s="5" t="s">
        <v>21</v>
      </c>
      <c r="C407" s="4"/>
      <c r="D407" s="4"/>
      <c r="E407" s="4"/>
      <c r="F407" s="4"/>
      <c r="G407" s="4" t="s">
        <v>21</v>
      </c>
      <c r="H407" s="4" t="s">
        <v>21</v>
      </c>
      <c r="I407" s="4"/>
      <c r="J407" s="3" t="s">
        <v>21</v>
      </c>
      <c r="K407" s="3" t="s">
        <v>21</v>
      </c>
      <c r="L407" s="3" t="s">
        <v>21</v>
      </c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2.75" x14ac:dyDescent="0.2">
      <c r="A408" s="4" t="s">
        <v>21</v>
      </c>
      <c r="B408" s="5" t="s">
        <v>21</v>
      </c>
      <c r="C408" s="4"/>
      <c r="D408" s="4"/>
      <c r="E408" s="4"/>
      <c r="F408" s="4"/>
      <c r="G408" s="4" t="s">
        <v>21</v>
      </c>
      <c r="H408" s="4" t="s">
        <v>21</v>
      </c>
      <c r="I408" s="4"/>
      <c r="J408" s="3" t="s">
        <v>21</v>
      </c>
      <c r="K408" s="3" t="s">
        <v>21</v>
      </c>
      <c r="L408" s="3" t="s">
        <v>21</v>
      </c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2.75" x14ac:dyDescent="0.2">
      <c r="A409" s="4" t="s">
        <v>21</v>
      </c>
      <c r="B409" s="5" t="s">
        <v>21</v>
      </c>
      <c r="C409" s="4"/>
      <c r="D409" s="4"/>
      <c r="E409" s="4"/>
      <c r="F409" s="4"/>
      <c r="G409" s="4" t="s">
        <v>21</v>
      </c>
      <c r="H409" s="4" t="s">
        <v>21</v>
      </c>
      <c r="I409" s="4"/>
      <c r="J409" s="3" t="s">
        <v>21</v>
      </c>
      <c r="K409" s="3" t="s">
        <v>21</v>
      </c>
      <c r="L409" s="3" t="s">
        <v>21</v>
      </c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2.75" x14ac:dyDescent="0.2">
      <c r="A410" s="4" t="s">
        <v>21</v>
      </c>
      <c r="B410" s="5" t="s">
        <v>21</v>
      </c>
      <c r="C410" s="4"/>
      <c r="D410" s="4"/>
      <c r="E410" s="4"/>
      <c r="F410" s="4"/>
      <c r="G410" s="4" t="s">
        <v>21</v>
      </c>
      <c r="H410" s="4" t="s">
        <v>21</v>
      </c>
      <c r="I410" s="4"/>
      <c r="J410" s="3" t="s">
        <v>21</v>
      </c>
      <c r="K410" s="3" t="s">
        <v>21</v>
      </c>
      <c r="L410" s="3" t="s">
        <v>21</v>
      </c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2.75" x14ac:dyDescent="0.2">
      <c r="A411" s="4" t="s">
        <v>21</v>
      </c>
      <c r="B411" s="5" t="s">
        <v>21</v>
      </c>
      <c r="C411" s="4"/>
      <c r="D411" s="4"/>
      <c r="E411" s="4"/>
      <c r="F411" s="4"/>
      <c r="G411" s="4" t="s">
        <v>21</v>
      </c>
      <c r="H411" s="4" t="s">
        <v>21</v>
      </c>
      <c r="I411" s="4"/>
      <c r="J411" s="3" t="s">
        <v>21</v>
      </c>
      <c r="K411" s="3" t="s">
        <v>21</v>
      </c>
      <c r="L411" s="3" t="s">
        <v>21</v>
      </c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2.75" x14ac:dyDescent="0.2">
      <c r="A412" s="4" t="s">
        <v>21</v>
      </c>
      <c r="B412" s="5" t="s">
        <v>21</v>
      </c>
      <c r="C412" s="4"/>
      <c r="D412" s="4"/>
      <c r="E412" s="4"/>
      <c r="F412" s="4"/>
      <c r="G412" s="4" t="s">
        <v>21</v>
      </c>
      <c r="H412" s="4" t="s">
        <v>21</v>
      </c>
      <c r="I412" s="4"/>
      <c r="J412" s="3" t="s">
        <v>21</v>
      </c>
      <c r="K412" s="3" t="s">
        <v>21</v>
      </c>
      <c r="L412" s="3" t="s">
        <v>21</v>
      </c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2.75" x14ac:dyDescent="0.2">
      <c r="A413" s="4" t="s">
        <v>21</v>
      </c>
      <c r="B413" s="5" t="s">
        <v>21</v>
      </c>
      <c r="C413" s="4"/>
      <c r="D413" s="4"/>
      <c r="E413" s="4"/>
      <c r="F413" s="4"/>
      <c r="G413" s="4" t="s">
        <v>21</v>
      </c>
      <c r="H413" s="4" t="s">
        <v>21</v>
      </c>
      <c r="I413" s="4"/>
      <c r="J413" s="3" t="s">
        <v>21</v>
      </c>
      <c r="K413" s="3" t="s">
        <v>21</v>
      </c>
      <c r="L413" s="3" t="s">
        <v>21</v>
      </c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2.75" x14ac:dyDescent="0.2">
      <c r="A414" s="4" t="s">
        <v>21</v>
      </c>
      <c r="B414" s="5" t="s">
        <v>21</v>
      </c>
      <c r="C414" s="4"/>
      <c r="D414" s="4"/>
      <c r="E414" s="4"/>
      <c r="F414" s="4"/>
      <c r="G414" s="4" t="s">
        <v>21</v>
      </c>
      <c r="H414" s="4" t="s">
        <v>21</v>
      </c>
      <c r="I414" s="4"/>
      <c r="J414" s="3" t="s">
        <v>21</v>
      </c>
      <c r="K414" s="3" t="s">
        <v>21</v>
      </c>
      <c r="L414" s="3" t="s">
        <v>21</v>
      </c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2.75" x14ac:dyDescent="0.2">
      <c r="A415" s="4" t="s">
        <v>21</v>
      </c>
      <c r="B415" s="5" t="s">
        <v>21</v>
      </c>
      <c r="C415" s="4"/>
      <c r="D415" s="4"/>
      <c r="E415" s="4"/>
      <c r="F415" s="4"/>
      <c r="G415" s="4" t="s">
        <v>21</v>
      </c>
      <c r="H415" s="4" t="s">
        <v>21</v>
      </c>
      <c r="I415" s="4"/>
      <c r="J415" s="3" t="s">
        <v>21</v>
      </c>
      <c r="K415" s="3" t="s">
        <v>21</v>
      </c>
      <c r="L415" s="3" t="s">
        <v>21</v>
      </c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2.75" x14ac:dyDescent="0.2">
      <c r="A416" s="4" t="s">
        <v>21</v>
      </c>
      <c r="B416" s="5" t="s">
        <v>21</v>
      </c>
      <c r="C416" s="4"/>
      <c r="D416" s="4"/>
      <c r="E416" s="4"/>
      <c r="F416" s="4"/>
      <c r="G416" s="4" t="s">
        <v>21</v>
      </c>
      <c r="H416" s="4" t="s">
        <v>21</v>
      </c>
      <c r="I416" s="4"/>
      <c r="J416" s="3" t="s">
        <v>21</v>
      </c>
      <c r="K416" s="3" t="s">
        <v>21</v>
      </c>
      <c r="L416" s="3" t="s">
        <v>21</v>
      </c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2.75" x14ac:dyDescent="0.2">
      <c r="A417" s="4" t="s">
        <v>21</v>
      </c>
      <c r="B417" s="5" t="s">
        <v>21</v>
      </c>
      <c r="C417" s="4"/>
      <c r="D417" s="4"/>
      <c r="E417" s="4"/>
      <c r="F417" s="4"/>
      <c r="G417" s="4" t="s">
        <v>21</v>
      </c>
      <c r="H417" s="4" t="s">
        <v>21</v>
      </c>
      <c r="I417" s="4"/>
      <c r="J417" s="3" t="s">
        <v>21</v>
      </c>
      <c r="K417" s="3" t="s">
        <v>21</v>
      </c>
      <c r="L417" s="3" t="s">
        <v>21</v>
      </c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2.75" x14ac:dyDescent="0.2">
      <c r="A418" s="4" t="s">
        <v>21</v>
      </c>
      <c r="B418" s="5" t="s">
        <v>21</v>
      </c>
      <c r="C418" s="4"/>
      <c r="D418" s="4"/>
      <c r="E418" s="4"/>
      <c r="F418" s="4"/>
      <c r="G418" s="4" t="s">
        <v>21</v>
      </c>
      <c r="H418" s="4" t="s">
        <v>21</v>
      </c>
      <c r="I418" s="4"/>
      <c r="J418" s="3" t="s">
        <v>21</v>
      </c>
      <c r="K418" s="3" t="s">
        <v>21</v>
      </c>
      <c r="L418" s="3" t="s">
        <v>21</v>
      </c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2.75" x14ac:dyDescent="0.2">
      <c r="A419" s="4" t="s">
        <v>21</v>
      </c>
      <c r="B419" s="5" t="s">
        <v>21</v>
      </c>
      <c r="C419" s="4"/>
      <c r="D419" s="4"/>
      <c r="E419" s="4"/>
      <c r="F419" s="4"/>
      <c r="G419" s="4" t="s">
        <v>21</v>
      </c>
      <c r="H419" s="4" t="s">
        <v>21</v>
      </c>
      <c r="I419" s="4"/>
      <c r="J419" s="3" t="s">
        <v>21</v>
      </c>
      <c r="K419" s="3" t="s">
        <v>21</v>
      </c>
      <c r="L419" s="3" t="s">
        <v>21</v>
      </c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2.75" x14ac:dyDescent="0.2">
      <c r="A420" s="4" t="s">
        <v>21</v>
      </c>
      <c r="B420" s="5" t="s">
        <v>21</v>
      </c>
      <c r="C420" s="4"/>
      <c r="D420" s="4"/>
      <c r="E420" s="4"/>
      <c r="F420" s="4"/>
      <c r="G420" s="4" t="s">
        <v>21</v>
      </c>
      <c r="H420" s="4" t="s">
        <v>21</v>
      </c>
      <c r="I420" s="4"/>
      <c r="J420" s="3" t="s">
        <v>21</v>
      </c>
      <c r="K420" s="3" t="s">
        <v>21</v>
      </c>
      <c r="L420" s="3" t="s">
        <v>21</v>
      </c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2.75" x14ac:dyDescent="0.2">
      <c r="A421" s="4" t="s">
        <v>21</v>
      </c>
      <c r="B421" s="5" t="s">
        <v>21</v>
      </c>
      <c r="C421" s="4"/>
      <c r="D421" s="4"/>
      <c r="E421" s="4"/>
      <c r="F421" s="4"/>
      <c r="G421" s="4" t="s">
        <v>21</v>
      </c>
      <c r="H421" s="4" t="s">
        <v>21</v>
      </c>
      <c r="I421" s="4"/>
      <c r="J421" s="3" t="s">
        <v>21</v>
      </c>
      <c r="K421" s="3" t="s">
        <v>21</v>
      </c>
      <c r="L421" s="3" t="s">
        <v>21</v>
      </c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2.75" x14ac:dyDescent="0.2">
      <c r="A422" s="4" t="s">
        <v>21</v>
      </c>
      <c r="B422" s="5" t="s">
        <v>21</v>
      </c>
      <c r="C422" s="4"/>
      <c r="D422" s="4"/>
      <c r="E422" s="4"/>
      <c r="F422" s="4"/>
      <c r="G422" s="4" t="s">
        <v>21</v>
      </c>
      <c r="H422" s="4" t="s">
        <v>21</v>
      </c>
      <c r="I422" s="4"/>
      <c r="J422" s="3" t="s">
        <v>21</v>
      </c>
      <c r="K422" s="3" t="s">
        <v>21</v>
      </c>
      <c r="L422" s="3" t="s">
        <v>21</v>
      </c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2.75" x14ac:dyDescent="0.2">
      <c r="A423" s="4" t="s">
        <v>21</v>
      </c>
      <c r="B423" s="5" t="s">
        <v>21</v>
      </c>
      <c r="C423" s="4"/>
      <c r="D423" s="4"/>
      <c r="E423" s="4"/>
      <c r="F423" s="4"/>
      <c r="G423" s="4" t="s">
        <v>21</v>
      </c>
      <c r="H423" s="4" t="s">
        <v>21</v>
      </c>
      <c r="I423" s="4"/>
      <c r="J423" s="3" t="s">
        <v>21</v>
      </c>
      <c r="K423" s="3" t="s">
        <v>21</v>
      </c>
      <c r="L423" s="3" t="s">
        <v>21</v>
      </c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2.75" x14ac:dyDescent="0.2">
      <c r="A424" s="4" t="s">
        <v>21</v>
      </c>
      <c r="B424" s="5" t="s">
        <v>21</v>
      </c>
      <c r="C424" s="4"/>
      <c r="D424" s="4"/>
      <c r="E424" s="4"/>
      <c r="F424" s="4"/>
      <c r="G424" s="4" t="s">
        <v>21</v>
      </c>
      <c r="H424" s="4" t="s">
        <v>21</v>
      </c>
      <c r="I424" s="4"/>
      <c r="J424" s="3" t="s">
        <v>21</v>
      </c>
      <c r="K424" s="3" t="s">
        <v>21</v>
      </c>
      <c r="L424" s="3" t="s">
        <v>21</v>
      </c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2.75" x14ac:dyDescent="0.2">
      <c r="A425" s="4" t="s">
        <v>21</v>
      </c>
      <c r="B425" s="5" t="s">
        <v>21</v>
      </c>
      <c r="C425" s="4"/>
      <c r="D425" s="4"/>
      <c r="E425" s="4"/>
      <c r="F425" s="4"/>
      <c r="G425" s="4" t="s">
        <v>21</v>
      </c>
      <c r="H425" s="4" t="s">
        <v>21</v>
      </c>
      <c r="I425" s="4"/>
      <c r="J425" s="3" t="s">
        <v>21</v>
      </c>
      <c r="K425" s="3" t="s">
        <v>21</v>
      </c>
      <c r="L425" s="3" t="s">
        <v>21</v>
      </c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2.75" x14ac:dyDescent="0.2">
      <c r="A426" s="4" t="s">
        <v>21</v>
      </c>
      <c r="B426" s="5" t="s">
        <v>21</v>
      </c>
      <c r="C426" s="4"/>
      <c r="D426" s="4"/>
      <c r="E426" s="4"/>
      <c r="F426" s="4"/>
      <c r="G426" s="4" t="s">
        <v>21</v>
      </c>
      <c r="H426" s="4" t="s">
        <v>21</v>
      </c>
      <c r="I426" s="4"/>
      <c r="J426" s="3" t="s">
        <v>21</v>
      </c>
      <c r="K426" s="3" t="s">
        <v>21</v>
      </c>
      <c r="L426" s="3" t="s">
        <v>21</v>
      </c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2.75" x14ac:dyDescent="0.2">
      <c r="A427" s="4" t="s">
        <v>21</v>
      </c>
      <c r="B427" s="5" t="s">
        <v>21</v>
      </c>
      <c r="C427" s="4"/>
      <c r="D427" s="4"/>
      <c r="E427" s="4"/>
      <c r="F427" s="4"/>
      <c r="G427" s="4" t="s">
        <v>21</v>
      </c>
      <c r="H427" s="4" t="s">
        <v>21</v>
      </c>
      <c r="I427" s="4"/>
      <c r="J427" s="3" t="s">
        <v>21</v>
      </c>
      <c r="K427" s="3" t="s">
        <v>21</v>
      </c>
      <c r="L427" s="3" t="s">
        <v>21</v>
      </c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2.75" x14ac:dyDescent="0.2">
      <c r="A428" s="4" t="s">
        <v>21</v>
      </c>
      <c r="B428" s="5" t="s">
        <v>21</v>
      </c>
      <c r="C428" s="4"/>
      <c r="D428" s="4"/>
      <c r="E428" s="4"/>
      <c r="F428" s="4"/>
      <c r="G428" s="4" t="s">
        <v>21</v>
      </c>
      <c r="H428" s="4" t="s">
        <v>21</v>
      </c>
      <c r="I428" s="4"/>
      <c r="J428" s="3" t="s">
        <v>21</v>
      </c>
      <c r="K428" s="3" t="s">
        <v>21</v>
      </c>
      <c r="L428" s="3" t="s">
        <v>21</v>
      </c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2.75" x14ac:dyDescent="0.2">
      <c r="A429" s="4" t="s">
        <v>21</v>
      </c>
      <c r="B429" s="5" t="s">
        <v>21</v>
      </c>
      <c r="C429" s="4"/>
      <c r="D429" s="4"/>
      <c r="E429" s="4"/>
      <c r="F429" s="4"/>
      <c r="G429" s="4" t="s">
        <v>21</v>
      </c>
      <c r="H429" s="4" t="s">
        <v>21</v>
      </c>
      <c r="I429" s="4"/>
      <c r="J429" s="3" t="s">
        <v>21</v>
      </c>
      <c r="K429" s="3" t="s">
        <v>21</v>
      </c>
      <c r="L429" s="3" t="s">
        <v>21</v>
      </c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2.75" x14ac:dyDescent="0.2">
      <c r="A430" s="4" t="s">
        <v>21</v>
      </c>
      <c r="B430" s="5" t="s">
        <v>21</v>
      </c>
      <c r="C430" s="4"/>
      <c r="D430" s="4"/>
      <c r="E430" s="4"/>
      <c r="F430" s="4"/>
      <c r="G430" s="4" t="s">
        <v>21</v>
      </c>
      <c r="H430" s="4" t="s">
        <v>21</v>
      </c>
      <c r="I430" s="4"/>
      <c r="J430" s="3" t="s">
        <v>21</v>
      </c>
      <c r="K430" s="3" t="s">
        <v>21</v>
      </c>
      <c r="L430" s="3" t="s">
        <v>21</v>
      </c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2.75" x14ac:dyDescent="0.2">
      <c r="A431" s="4" t="s">
        <v>21</v>
      </c>
      <c r="B431" s="5" t="s">
        <v>21</v>
      </c>
      <c r="C431" s="4"/>
      <c r="D431" s="4"/>
      <c r="E431" s="4"/>
      <c r="F431" s="4"/>
      <c r="G431" s="4" t="s">
        <v>21</v>
      </c>
      <c r="H431" s="4" t="s">
        <v>21</v>
      </c>
      <c r="I431" s="4"/>
      <c r="J431" s="3" t="s">
        <v>21</v>
      </c>
      <c r="K431" s="3" t="s">
        <v>21</v>
      </c>
      <c r="L431" s="3" t="s">
        <v>21</v>
      </c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2.75" x14ac:dyDescent="0.2">
      <c r="A432" s="4" t="s">
        <v>21</v>
      </c>
      <c r="B432" s="5" t="s">
        <v>21</v>
      </c>
      <c r="C432" s="4"/>
      <c r="D432" s="4"/>
      <c r="E432" s="4"/>
      <c r="F432" s="4"/>
      <c r="G432" s="4" t="s">
        <v>21</v>
      </c>
      <c r="H432" s="4" t="s">
        <v>21</v>
      </c>
      <c r="I432" s="4"/>
      <c r="J432" s="3" t="s">
        <v>21</v>
      </c>
      <c r="K432" s="3" t="s">
        <v>21</v>
      </c>
      <c r="L432" s="3" t="s">
        <v>21</v>
      </c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2.75" x14ac:dyDescent="0.2">
      <c r="A433" s="4" t="s">
        <v>21</v>
      </c>
      <c r="B433" s="5" t="s">
        <v>21</v>
      </c>
      <c r="C433" s="4"/>
      <c r="D433" s="4"/>
      <c r="E433" s="4"/>
      <c r="F433" s="4"/>
      <c r="G433" s="4" t="s">
        <v>21</v>
      </c>
      <c r="H433" s="4" t="s">
        <v>21</v>
      </c>
      <c r="I433" s="4"/>
      <c r="J433" s="3" t="s">
        <v>21</v>
      </c>
      <c r="K433" s="3" t="s">
        <v>21</v>
      </c>
      <c r="L433" s="3" t="s">
        <v>21</v>
      </c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2.75" x14ac:dyDescent="0.2">
      <c r="A434" s="4" t="s">
        <v>21</v>
      </c>
      <c r="B434" s="5" t="s">
        <v>21</v>
      </c>
      <c r="C434" s="4"/>
      <c r="D434" s="4"/>
      <c r="E434" s="4"/>
      <c r="F434" s="4"/>
      <c r="G434" s="4" t="s">
        <v>21</v>
      </c>
      <c r="H434" s="4" t="s">
        <v>21</v>
      </c>
      <c r="I434" s="4"/>
      <c r="J434" s="3" t="s">
        <v>21</v>
      </c>
      <c r="K434" s="3" t="s">
        <v>21</v>
      </c>
      <c r="L434" s="3" t="s">
        <v>21</v>
      </c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2.75" x14ac:dyDescent="0.2">
      <c r="A435" s="4" t="s">
        <v>21</v>
      </c>
      <c r="B435" s="5" t="s">
        <v>21</v>
      </c>
      <c r="C435" s="4"/>
      <c r="D435" s="4"/>
      <c r="E435" s="4"/>
      <c r="F435" s="4"/>
      <c r="G435" s="4" t="s">
        <v>21</v>
      </c>
      <c r="H435" s="4" t="s">
        <v>21</v>
      </c>
      <c r="I435" s="4"/>
      <c r="J435" s="3" t="s">
        <v>21</v>
      </c>
      <c r="K435" s="3" t="s">
        <v>21</v>
      </c>
      <c r="L435" s="3" t="s">
        <v>21</v>
      </c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2.75" x14ac:dyDescent="0.2">
      <c r="A436" s="4" t="s">
        <v>21</v>
      </c>
      <c r="B436" s="5" t="s">
        <v>21</v>
      </c>
      <c r="C436" s="4"/>
      <c r="D436" s="4"/>
      <c r="E436" s="4"/>
      <c r="F436" s="4"/>
      <c r="G436" s="4" t="s">
        <v>21</v>
      </c>
      <c r="H436" s="4" t="s">
        <v>21</v>
      </c>
      <c r="I436" s="4"/>
      <c r="J436" s="3" t="s">
        <v>21</v>
      </c>
      <c r="K436" s="3" t="s">
        <v>21</v>
      </c>
      <c r="L436" s="3" t="s">
        <v>21</v>
      </c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2.75" x14ac:dyDescent="0.2">
      <c r="A437" s="4" t="s">
        <v>21</v>
      </c>
      <c r="B437" s="5" t="s">
        <v>21</v>
      </c>
      <c r="C437" s="4"/>
      <c r="D437" s="4"/>
      <c r="E437" s="4"/>
      <c r="F437" s="4"/>
      <c r="G437" s="4" t="s">
        <v>21</v>
      </c>
      <c r="H437" s="4" t="s">
        <v>21</v>
      </c>
      <c r="I437" s="4"/>
      <c r="J437" s="3" t="s">
        <v>21</v>
      </c>
      <c r="K437" s="3" t="s">
        <v>21</v>
      </c>
      <c r="L437" s="3" t="s">
        <v>21</v>
      </c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2.75" x14ac:dyDescent="0.2">
      <c r="A438" s="4" t="s">
        <v>21</v>
      </c>
      <c r="B438" s="5" t="s">
        <v>21</v>
      </c>
      <c r="C438" s="4"/>
      <c r="D438" s="4"/>
      <c r="E438" s="4"/>
      <c r="F438" s="4"/>
      <c r="G438" s="4" t="s">
        <v>21</v>
      </c>
      <c r="H438" s="4" t="s">
        <v>21</v>
      </c>
      <c r="I438" s="4"/>
      <c r="J438" s="3" t="s">
        <v>21</v>
      </c>
      <c r="K438" s="3" t="s">
        <v>21</v>
      </c>
      <c r="L438" s="3" t="s">
        <v>21</v>
      </c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2.75" x14ac:dyDescent="0.2">
      <c r="A439" s="4" t="s">
        <v>21</v>
      </c>
      <c r="B439" s="5" t="s">
        <v>21</v>
      </c>
      <c r="C439" s="4"/>
      <c r="D439" s="4"/>
      <c r="E439" s="4"/>
      <c r="F439" s="4"/>
      <c r="G439" s="4" t="s">
        <v>21</v>
      </c>
      <c r="H439" s="4" t="s">
        <v>21</v>
      </c>
      <c r="I439" s="4"/>
      <c r="J439" s="3" t="s">
        <v>21</v>
      </c>
      <c r="K439" s="3" t="s">
        <v>21</v>
      </c>
      <c r="L439" s="3" t="s">
        <v>21</v>
      </c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2.75" x14ac:dyDescent="0.2">
      <c r="A440" s="4" t="s">
        <v>21</v>
      </c>
      <c r="B440" s="5" t="s">
        <v>21</v>
      </c>
      <c r="C440" s="4"/>
      <c r="D440" s="4"/>
      <c r="E440" s="4"/>
      <c r="F440" s="4"/>
      <c r="G440" s="4" t="s">
        <v>21</v>
      </c>
      <c r="H440" s="4" t="s">
        <v>21</v>
      </c>
      <c r="I440" s="4"/>
      <c r="J440" s="3" t="s">
        <v>21</v>
      </c>
      <c r="K440" s="3" t="s">
        <v>21</v>
      </c>
      <c r="L440" s="3" t="s">
        <v>21</v>
      </c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2.75" x14ac:dyDescent="0.2">
      <c r="A441" s="4" t="s">
        <v>21</v>
      </c>
      <c r="B441" s="5" t="s">
        <v>21</v>
      </c>
      <c r="C441" s="4"/>
      <c r="D441" s="4"/>
      <c r="E441" s="4"/>
      <c r="F441" s="4"/>
      <c r="G441" s="4" t="s">
        <v>21</v>
      </c>
      <c r="H441" s="4" t="s">
        <v>21</v>
      </c>
      <c r="I441" s="4"/>
      <c r="J441" s="3" t="s">
        <v>21</v>
      </c>
      <c r="K441" s="3" t="s">
        <v>21</v>
      </c>
      <c r="L441" s="3" t="s">
        <v>21</v>
      </c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2.75" x14ac:dyDescent="0.2">
      <c r="A442" s="4" t="s">
        <v>21</v>
      </c>
      <c r="B442" s="5" t="s">
        <v>21</v>
      </c>
      <c r="C442" s="4"/>
      <c r="D442" s="4"/>
      <c r="E442" s="4"/>
      <c r="F442" s="4"/>
      <c r="G442" s="4" t="s">
        <v>21</v>
      </c>
      <c r="H442" s="4" t="s">
        <v>21</v>
      </c>
      <c r="I442" s="4"/>
      <c r="J442" s="3" t="s">
        <v>21</v>
      </c>
      <c r="K442" s="3" t="s">
        <v>21</v>
      </c>
      <c r="L442" s="3" t="s">
        <v>21</v>
      </c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2.75" x14ac:dyDescent="0.2">
      <c r="A443" s="4" t="s">
        <v>21</v>
      </c>
      <c r="B443" s="5" t="s">
        <v>21</v>
      </c>
      <c r="C443" s="4"/>
      <c r="D443" s="4"/>
      <c r="E443" s="4"/>
      <c r="F443" s="4"/>
      <c r="G443" s="4" t="s">
        <v>21</v>
      </c>
      <c r="H443" s="4" t="s">
        <v>21</v>
      </c>
      <c r="I443" s="4"/>
      <c r="J443" s="3" t="s">
        <v>21</v>
      </c>
      <c r="K443" s="3" t="s">
        <v>21</v>
      </c>
      <c r="L443" s="3" t="s">
        <v>21</v>
      </c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2.75" x14ac:dyDescent="0.2">
      <c r="A444" s="4" t="s">
        <v>21</v>
      </c>
      <c r="B444" s="5" t="s">
        <v>21</v>
      </c>
      <c r="C444" s="4"/>
      <c r="D444" s="4"/>
      <c r="E444" s="4"/>
      <c r="F444" s="4"/>
      <c r="G444" s="4" t="s">
        <v>21</v>
      </c>
      <c r="H444" s="4" t="s">
        <v>21</v>
      </c>
      <c r="I444" s="4"/>
      <c r="J444" s="3" t="s">
        <v>21</v>
      </c>
      <c r="K444" s="3" t="s">
        <v>21</v>
      </c>
      <c r="L444" s="3" t="s">
        <v>21</v>
      </c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2.75" x14ac:dyDescent="0.2">
      <c r="A445" s="4" t="s">
        <v>21</v>
      </c>
      <c r="B445" s="5" t="s">
        <v>21</v>
      </c>
      <c r="C445" s="4"/>
      <c r="D445" s="4"/>
      <c r="E445" s="4"/>
      <c r="F445" s="4"/>
      <c r="G445" s="4" t="s">
        <v>21</v>
      </c>
      <c r="H445" s="4" t="s">
        <v>21</v>
      </c>
      <c r="I445" s="4"/>
      <c r="J445" s="3" t="s">
        <v>21</v>
      </c>
      <c r="K445" s="3" t="s">
        <v>21</v>
      </c>
      <c r="L445" s="3" t="s">
        <v>21</v>
      </c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2.75" x14ac:dyDescent="0.2">
      <c r="A446" s="4" t="s">
        <v>21</v>
      </c>
      <c r="B446" s="5" t="s">
        <v>21</v>
      </c>
      <c r="C446" s="4"/>
      <c r="D446" s="4"/>
      <c r="E446" s="4"/>
      <c r="F446" s="4"/>
      <c r="G446" s="4" t="s">
        <v>21</v>
      </c>
      <c r="H446" s="4" t="s">
        <v>21</v>
      </c>
      <c r="I446" s="4"/>
      <c r="J446" s="3" t="s">
        <v>21</v>
      </c>
      <c r="K446" s="3" t="s">
        <v>21</v>
      </c>
      <c r="L446" s="3" t="s">
        <v>21</v>
      </c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2.75" x14ac:dyDescent="0.2">
      <c r="A447" s="4" t="s">
        <v>21</v>
      </c>
      <c r="B447" s="5" t="s">
        <v>21</v>
      </c>
      <c r="C447" s="4"/>
      <c r="D447" s="4"/>
      <c r="E447" s="4"/>
      <c r="F447" s="4"/>
      <c r="G447" s="4" t="s">
        <v>21</v>
      </c>
      <c r="H447" s="4" t="s">
        <v>21</v>
      </c>
      <c r="I447" s="4"/>
      <c r="J447" s="3" t="s">
        <v>21</v>
      </c>
      <c r="K447" s="3" t="s">
        <v>21</v>
      </c>
      <c r="L447" s="3" t="s">
        <v>21</v>
      </c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2.75" x14ac:dyDescent="0.2">
      <c r="A448" s="4" t="s">
        <v>21</v>
      </c>
      <c r="B448" s="5" t="s">
        <v>21</v>
      </c>
      <c r="C448" s="4"/>
      <c r="D448" s="4"/>
      <c r="E448" s="4"/>
      <c r="F448" s="4"/>
      <c r="G448" s="4" t="s">
        <v>21</v>
      </c>
      <c r="H448" s="4" t="s">
        <v>21</v>
      </c>
      <c r="I448" s="4"/>
      <c r="J448" s="3" t="s">
        <v>21</v>
      </c>
      <c r="K448" s="3" t="s">
        <v>21</v>
      </c>
      <c r="L448" s="3" t="s">
        <v>21</v>
      </c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2.75" x14ac:dyDescent="0.2">
      <c r="A449" s="4" t="s">
        <v>21</v>
      </c>
      <c r="B449" s="5" t="s">
        <v>21</v>
      </c>
      <c r="C449" s="4"/>
      <c r="D449" s="4"/>
      <c r="E449" s="4"/>
      <c r="F449" s="4"/>
      <c r="G449" s="4" t="s">
        <v>21</v>
      </c>
      <c r="H449" s="4" t="s">
        <v>21</v>
      </c>
      <c r="I449" s="4"/>
      <c r="J449" s="3" t="s">
        <v>21</v>
      </c>
      <c r="K449" s="3" t="s">
        <v>21</v>
      </c>
      <c r="L449" s="3" t="s">
        <v>21</v>
      </c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2.75" x14ac:dyDescent="0.2">
      <c r="A450" s="4" t="s">
        <v>21</v>
      </c>
      <c r="B450" s="5" t="s">
        <v>21</v>
      </c>
      <c r="C450" s="4"/>
      <c r="D450" s="4"/>
      <c r="E450" s="4"/>
      <c r="F450" s="4"/>
      <c r="G450" s="4" t="s">
        <v>21</v>
      </c>
      <c r="H450" s="4" t="s">
        <v>21</v>
      </c>
      <c r="I450" s="4"/>
      <c r="J450" s="3" t="s">
        <v>21</v>
      </c>
      <c r="K450" s="3" t="s">
        <v>21</v>
      </c>
      <c r="L450" s="3" t="s">
        <v>21</v>
      </c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2.75" x14ac:dyDescent="0.2">
      <c r="A451" s="4" t="s">
        <v>21</v>
      </c>
      <c r="B451" s="5" t="s">
        <v>21</v>
      </c>
      <c r="C451" s="4"/>
      <c r="D451" s="4"/>
      <c r="E451" s="4"/>
      <c r="F451" s="4"/>
      <c r="G451" s="4" t="s">
        <v>21</v>
      </c>
      <c r="H451" s="4" t="s">
        <v>21</v>
      </c>
      <c r="I451" s="4"/>
      <c r="J451" s="3" t="s">
        <v>21</v>
      </c>
      <c r="K451" s="3" t="s">
        <v>21</v>
      </c>
      <c r="L451" s="3" t="s">
        <v>21</v>
      </c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2.75" x14ac:dyDescent="0.2">
      <c r="A452" s="4" t="s">
        <v>21</v>
      </c>
      <c r="B452" s="5" t="s">
        <v>21</v>
      </c>
      <c r="C452" s="4"/>
      <c r="D452" s="4"/>
      <c r="E452" s="4"/>
      <c r="F452" s="4"/>
      <c r="G452" s="4" t="s">
        <v>21</v>
      </c>
      <c r="H452" s="4" t="s">
        <v>21</v>
      </c>
      <c r="I452" s="4"/>
      <c r="J452" s="3" t="s">
        <v>21</v>
      </c>
      <c r="K452" s="3" t="s">
        <v>21</v>
      </c>
      <c r="L452" s="3" t="s">
        <v>21</v>
      </c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2.75" x14ac:dyDescent="0.2">
      <c r="A453" s="4" t="s">
        <v>21</v>
      </c>
      <c r="B453" s="5" t="s">
        <v>21</v>
      </c>
      <c r="C453" s="4"/>
      <c r="D453" s="4"/>
      <c r="E453" s="4"/>
      <c r="F453" s="4"/>
      <c r="G453" s="4" t="s">
        <v>21</v>
      </c>
      <c r="H453" s="4" t="s">
        <v>21</v>
      </c>
      <c r="I453" s="4"/>
      <c r="J453" s="3" t="s">
        <v>21</v>
      </c>
      <c r="K453" s="3" t="s">
        <v>21</v>
      </c>
      <c r="L453" s="3" t="s">
        <v>21</v>
      </c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2.75" x14ac:dyDescent="0.2">
      <c r="A454" s="4" t="s">
        <v>21</v>
      </c>
      <c r="B454" s="5" t="s">
        <v>21</v>
      </c>
      <c r="C454" s="4"/>
      <c r="D454" s="4"/>
      <c r="E454" s="4"/>
      <c r="F454" s="4"/>
      <c r="G454" s="4" t="s">
        <v>21</v>
      </c>
      <c r="H454" s="4" t="s">
        <v>21</v>
      </c>
      <c r="I454" s="4"/>
      <c r="J454" s="3" t="s">
        <v>21</v>
      </c>
      <c r="K454" s="3" t="s">
        <v>21</v>
      </c>
      <c r="L454" s="3" t="s">
        <v>21</v>
      </c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2.75" x14ac:dyDescent="0.2">
      <c r="A455" s="4" t="s">
        <v>21</v>
      </c>
      <c r="B455" s="5" t="s">
        <v>21</v>
      </c>
      <c r="C455" s="4"/>
      <c r="D455" s="4"/>
      <c r="E455" s="4"/>
      <c r="F455" s="4"/>
      <c r="G455" s="4" t="s">
        <v>21</v>
      </c>
      <c r="H455" s="4" t="s">
        <v>21</v>
      </c>
      <c r="I455" s="4"/>
      <c r="J455" s="3" t="s">
        <v>21</v>
      </c>
      <c r="K455" s="3" t="s">
        <v>21</v>
      </c>
      <c r="L455" s="3" t="s">
        <v>21</v>
      </c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2.75" x14ac:dyDescent="0.2">
      <c r="A456" s="4" t="s">
        <v>21</v>
      </c>
      <c r="B456" s="5" t="s">
        <v>21</v>
      </c>
      <c r="C456" s="4"/>
      <c r="D456" s="4"/>
      <c r="E456" s="4"/>
      <c r="F456" s="4"/>
      <c r="G456" s="4" t="s">
        <v>21</v>
      </c>
      <c r="H456" s="4" t="s">
        <v>21</v>
      </c>
      <c r="I456" s="4"/>
      <c r="J456" s="3" t="s">
        <v>21</v>
      </c>
      <c r="K456" s="3" t="s">
        <v>21</v>
      </c>
      <c r="L456" s="3" t="s">
        <v>21</v>
      </c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2.75" x14ac:dyDescent="0.2">
      <c r="A457" s="4" t="s">
        <v>21</v>
      </c>
      <c r="B457" s="5" t="s">
        <v>21</v>
      </c>
      <c r="C457" s="4"/>
      <c r="D457" s="4"/>
      <c r="E457" s="4"/>
      <c r="F457" s="4"/>
      <c r="G457" s="4" t="s">
        <v>21</v>
      </c>
      <c r="H457" s="4" t="s">
        <v>21</v>
      </c>
      <c r="I457" s="4"/>
      <c r="J457" s="3" t="s">
        <v>21</v>
      </c>
      <c r="K457" s="3" t="s">
        <v>21</v>
      </c>
      <c r="L457" s="3" t="s">
        <v>21</v>
      </c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2.75" x14ac:dyDescent="0.2">
      <c r="A458" s="4" t="s">
        <v>21</v>
      </c>
      <c r="B458" s="5" t="s">
        <v>21</v>
      </c>
      <c r="C458" s="4"/>
      <c r="D458" s="4"/>
      <c r="E458" s="4"/>
      <c r="F458" s="4"/>
      <c r="G458" s="4" t="s">
        <v>21</v>
      </c>
      <c r="H458" s="4" t="s">
        <v>21</v>
      </c>
      <c r="I458" s="4"/>
      <c r="J458" s="3" t="s">
        <v>21</v>
      </c>
      <c r="K458" s="3" t="s">
        <v>21</v>
      </c>
      <c r="L458" s="3" t="s">
        <v>21</v>
      </c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2.75" x14ac:dyDescent="0.2">
      <c r="A459" s="4" t="s">
        <v>21</v>
      </c>
      <c r="B459" s="5" t="s">
        <v>21</v>
      </c>
      <c r="C459" s="4"/>
      <c r="D459" s="4"/>
      <c r="E459" s="4"/>
      <c r="F459" s="4"/>
      <c r="G459" s="4" t="s">
        <v>21</v>
      </c>
      <c r="H459" s="4" t="s">
        <v>21</v>
      </c>
      <c r="I459" s="4"/>
      <c r="J459" s="3" t="s">
        <v>21</v>
      </c>
      <c r="K459" s="3" t="s">
        <v>21</v>
      </c>
      <c r="L459" s="3" t="s">
        <v>21</v>
      </c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2.75" x14ac:dyDescent="0.2">
      <c r="A460" s="4" t="s">
        <v>21</v>
      </c>
      <c r="B460" s="5" t="s">
        <v>21</v>
      </c>
      <c r="C460" s="4"/>
      <c r="D460" s="4"/>
      <c r="E460" s="4"/>
      <c r="F460" s="4"/>
      <c r="G460" s="4" t="s">
        <v>21</v>
      </c>
      <c r="H460" s="4" t="s">
        <v>21</v>
      </c>
      <c r="I460" s="4"/>
      <c r="J460" s="3" t="s">
        <v>21</v>
      </c>
      <c r="K460" s="3" t="s">
        <v>21</v>
      </c>
      <c r="L460" s="3" t="s">
        <v>21</v>
      </c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2.75" x14ac:dyDescent="0.2">
      <c r="A461" s="4" t="s">
        <v>21</v>
      </c>
      <c r="B461" s="5" t="s">
        <v>21</v>
      </c>
      <c r="C461" s="4"/>
      <c r="D461" s="4"/>
      <c r="E461" s="4"/>
      <c r="F461" s="4"/>
      <c r="G461" s="4" t="s">
        <v>21</v>
      </c>
      <c r="H461" s="4" t="s">
        <v>21</v>
      </c>
      <c r="I461" s="4"/>
      <c r="J461" s="3" t="s">
        <v>21</v>
      </c>
      <c r="K461" s="3" t="s">
        <v>21</v>
      </c>
      <c r="L461" s="3" t="s">
        <v>21</v>
      </c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2.75" x14ac:dyDescent="0.2">
      <c r="A462" s="4" t="s">
        <v>21</v>
      </c>
      <c r="B462" s="5" t="s">
        <v>21</v>
      </c>
      <c r="C462" s="4"/>
      <c r="D462" s="4"/>
      <c r="E462" s="4"/>
      <c r="F462" s="4"/>
      <c r="G462" s="4" t="s">
        <v>21</v>
      </c>
      <c r="H462" s="4" t="s">
        <v>21</v>
      </c>
      <c r="I462" s="4"/>
      <c r="J462" s="3" t="s">
        <v>21</v>
      </c>
      <c r="K462" s="3" t="s">
        <v>21</v>
      </c>
      <c r="L462" s="3" t="s">
        <v>21</v>
      </c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2.75" x14ac:dyDescent="0.2">
      <c r="A463" s="4" t="s">
        <v>21</v>
      </c>
      <c r="B463" s="5" t="s">
        <v>21</v>
      </c>
      <c r="C463" s="4"/>
      <c r="D463" s="4"/>
      <c r="E463" s="4"/>
      <c r="F463" s="4"/>
      <c r="G463" s="4" t="s">
        <v>21</v>
      </c>
      <c r="H463" s="4" t="s">
        <v>21</v>
      </c>
      <c r="I463" s="4"/>
      <c r="J463" s="3" t="s">
        <v>21</v>
      </c>
      <c r="K463" s="3" t="s">
        <v>21</v>
      </c>
      <c r="L463" s="3" t="s">
        <v>21</v>
      </c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2.75" x14ac:dyDescent="0.2">
      <c r="A464" s="4" t="s">
        <v>21</v>
      </c>
      <c r="B464" s="5" t="s">
        <v>21</v>
      </c>
      <c r="C464" s="4"/>
      <c r="D464" s="4"/>
      <c r="E464" s="4"/>
      <c r="F464" s="4"/>
      <c r="G464" s="4" t="s">
        <v>21</v>
      </c>
      <c r="H464" s="4" t="s">
        <v>21</v>
      </c>
      <c r="I464" s="4"/>
      <c r="J464" s="3" t="s">
        <v>21</v>
      </c>
      <c r="K464" s="3" t="s">
        <v>21</v>
      </c>
      <c r="L464" s="3" t="s">
        <v>21</v>
      </c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2.75" x14ac:dyDescent="0.2">
      <c r="A465" s="4" t="s">
        <v>21</v>
      </c>
      <c r="B465" s="5" t="s">
        <v>21</v>
      </c>
      <c r="C465" s="4"/>
      <c r="D465" s="4"/>
      <c r="E465" s="4"/>
      <c r="F465" s="4"/>
      <c r="G465" s="4" t="s">
        <v>21</v>
      </c>
      <c r="H465" s="4" t="s">
        <v>21</v>
      </c>
      <c r="I465" s="4"/>
      <c r="J465" s="3" t="s">
        <v>21</v>
      </c>
      <c r="K465" s="3" t="s">
        <v>21</v>
      </c>
      <c r="L465" s="3" t="s">
        <v>21</v>
      </c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2.75" x14ac:dyDescent="0.2">
      <c r="A466" s="4" t="s">
        <v>21</v>
      </c>
      <c r="B466" s="5" t="s">
        <v>21</v>
      </c>
      <c r="C466" s="4"/>
      <c r="D466" s="4"/>
      <c r="E466" s="4"/>
      <c r="F466" s="4"/>
      <c r="G466" s="4" t="s">
        <v>21</v>
      </c>
      <c r="H466" s="4" t="s">
        <v>21</v>
      </c>
      <c r="I466" s="4"/>
      <c r="J466" s="3" t="s">
        <v>21</v>
      </c>
      <c r="K466" s="3" t="s">
        <v>21</v>
      </c>
      <c r="L466" s="3" t="s">
        <v>21</v>
      </c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2.75" x14ac:dyDescent="0.2">
      <c r="A467" s="4" t="s">
        <v>21</v>
      </c>
      <c r="B467" s="5" t="s">
        <v>21</v>
      </c>
      <c r="C467" s="4"/>
      <c r="D467" s="4"/>
      <c r="E467" s="4"/>
      <c r="F467" s="4"/>
      <c r="G467" s="4" t="s">
        <v>21</v>
      </c>
      <c r="H467" s="4" t="s">
        <v>21</v>
      </c>
      <c r="I467" s="4"/>
      <c r="J467" s="3" t="s">
        <v>21</v>
      </c>
      <c r="K467" s="3" t="s">
        <v>21</v>
      </c>
      <c r="L467" s="3" t="s">
        <v>21</v>
      </c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2.75" x14ac:dyDescent="0.2">
      <c r="A468" s="4" t="s">
        <v>21</v>
      </c>
      <c r="B468" s="5" t="s">
        <v>21</v>
      </c>
      <c r="C468" s="4"/>
      <c r="D468" s="4"/>
      <c r="E468" s="4"/>
      <c r="F468" s="4"/>
      <c r="G468" s="4" t="s">
        <v>21</v>
      </c>
      <c r="H468" s="4" t="s">
        <v>21</v>
      </c>
      <c r="I468" s="4"/>
      <c r="J468" s="3" t="s">
        <v>21</v>
      </c>
      <c r="K468" s="3" t="s">
        <v>21</v>
      </c>
      <c r="L468" s="3" t="s">
        <v>21</v>
      </c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2.75" x14ac:dyDescent="0.2">
      <c r="A469" s="4" t="s">
        <v>21</v>
      </c>
      <c r="B469" s="5" t="s">
        <v>21</v>
      </c>
      <c r="C469" s="4"/>
      <c r="D469" s="4"/>
      <c r="E469" s="4"/>
      <c r="F469" s="4"/>
      <c r="G469" s="4" t="s">
        <v>21</v>
      </c>
      <c r="H469" s="4" t="s">
        <v>21</v>
      </c>
      <c r="I469" s="4"/>
      <c r="J469" s="3" t="s">
        <v>21</v>
      </c>
      <c r="K469" s="3" t="s">
        <v>21</v>
      </c>
      <c r="L469" s="3" t="s">
        <v>21</v>
      </c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2.75" x14ac:dyDescent="0.2">
      <c r="A470" s="4" t="s">
        <v>21</v>
      </c>
      <c r="B470" s="5" t="s">
        <v>21</v>
      </c>
      <c r="C470" s="4"/>
      <c r="D470" s="4"/>
      <c r="E470" s="4"/>
      <c r="F470" s="4"/>
      <c r="G470" s="4" t="s">
        <v>21</v>
      </c>
      <c r="H470" s="4" t="s">
        <v>21</v>
      </c>
      <c r="I470" s="4"/>
      <c r="J470" s="3" t="s">
        <v>21</v>
      </c>
      <c r="K470" s="3" t="s">
        <v>21</v>
      </c>
      <c r="L470" s="3" t="s">
        <v>21</v>
      </c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2.75" x14ac:dyDescent="0.2">
      <c r="A471" s="4" t="s">
        <v>21</v>
      </c>
      <c r="B471" s="5" t="s">
        <v>21</v>
      </c>
      <c r="C471" s="4"/>
      <c r="D471" s="4"/>
      <c r="E471" s="4"/>
      <c r="F471" s="4"/>
      <c r="G471" s="4" t="s">
        <v>21</v>
      </c>
      <c r="H471" s="4" t="s">
        <v>21</v>
      </c>
      <c r="I471" s="4"/>
      <c r="J471" s="3" t="s">
        <v>21</v>
      </c>
      <c r="K471" s="3" t="s">
        <v>21</v>
      </c>
      <c r="L471" s="3" t="s">
        <v>21</v>
      </c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2.75" x14ac:dyDescent="0.2">
      <c r="A472" s="4" t="s">
        <v>21</v>
      </c>
      <c r="B472" s="5" t="s">
        <v>21</v>
      </c>
      <c r="C472" s="4"/>
      <c r="D472" s="4"/>
      <c r="E472" s="4"/>
      <c r="F472" s="4"/>
      <c r="G472" s="4" t="s">
        <v>21</v>
      </c>
      <c r="H472" s="4" t="s">
        <v>21</v>
      </c>
      <c r="I472" s="4"/>
      <c r="J472" s="3" t="s">
        <v>21</v>
      </c>
      <c r="K472" s="3" t="s">
        <v>21</v>
      </c>
      <c r="L472" s="3" t="s">
        <v>21</v>
      </c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2.75" x14ac:dyDescent="0.2">
      <c r="A473" s="4" t="s">
        <v>21</v>
      </c>
      <c r="B473" s="5" t="s">
        <v>21</v>
      </c>
      <c r="C473" s="4"/>
      <c r="D473" s="4"/>
      <c r="E473" s="4"/>
      <c r="F473" s="4"/>
      <c r="G473" s="4" t="s">
        <v>21</v>
      </c>
      <c r="H473" s="4" t="s">
        <v>21</v>
      </c>
      <c r="I473" s="4"/>
      <c r="J473" s="3" t="s">
        <v>21</v>
      </c>
      <c r="K473" s="3" t="s">
        <v>21</v>
      </c>
      <c r="L473" s="3" t="s">
        <v>21</v>
      </c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2.75" x14ac:dyDescent="0.2">
      <c r="A474" s="4" t="s">
        <v>21</v>
      </c>
      <c r="B474" s="5" t="s">
        <v>21</v>
      </c>
      <c r="C474" s="4"/>
      <c r="D474" s="4"/>
      <c r="E474" s="4"/>
      <c r="F474" s="4"/>
      <c r="G474" s="4" t="s">
        <v>21</v>
      </c>
      <c r="H474" s="4" t="s">
        <v>21</v>
      </c>
      <c r="I474" s="4"/>
      <c r="J474" s="3" t="s">
        <v>21</v>
      </c>
      <c r="K474" s="3" t="s">
        <v>21</v>
      </c>
      <c r="L474" s="3" t="s">
        <v>21</v>
      </c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2.75" x14ac:dyDescent="0.2">
      <c r="A475" s="4" t="s">
        <v>21</v>
      </c>
      <c r="B475" s="5" t="s">
        <v>21</v>
      </c>
      <c r="C475" s="4"/>
      <c r="D475" s="4"/>
      <c r="E475" s="4"/>
      <c r="F475" s="4"/>
      <c r="G475" s="4" t="s">
        <v>21</v>
      </c>
      <c r="H475" s="4" t="s">
        <v>21</v>
      </c>
      <c r="I475" s="4"/>
      <c r="J475" s="3" t="s">
        <v>21</v>
      </c>
      <c r="K475" s="3" t="s">
        <v>21</v>
      </c>
      <c r="L475" s="3" t="s">
        <v>21</v>
      </c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2.75" x14ac:dyDescent="0.2">
      <c r="A476" s="4" t="s">
        <v>21</v>
      </c>
      <c r="B476" s="5" t="s">
        <v>21</v>
      </c>
      <c r="C476" s="4"/>
      <c r="D476" s="4"/>
      <c r="E476" s="4"/>
      <c r="F476" s="4"/>
      <c r="G476" s="4" t="s">
        <v>21</v>
      </c>
      <c r="H476" s="4" t="s">
        <v>21</v>
      </c>
      <c r="I476" s="4"/>
      <c r="J476" s="3" t="s">
        <v>21</v>
      </c>
      <c r="K476" s="3" t="s">
        <v>21</v>
      </c>
      <c r="L476" s="3" t="s">
        <v>21</v>
      </c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2.75" x14ac:dyDescent="0.2">
      <c r="A477" s="4" t="s">
        <v>21</v>
      </c>
      <c r="B477" s="5" t="s">
        <v>21</v>
      </c>
      <c r="C477" s="4"/>
      <c r="D477" s="4"/>
      <c r="E477" s="4"/>
      <c r="F477" s="4"/>
      <c r="G477" s="4" t="s">
        <v>21</v>
      </c>
      <c r="H477" s="4" t="s">
        <v>21</v>
      </c>
      <c r="I477" s="4"/>
      <c r="J477" s="3" t="s">
        <v>21</v>
      </c>
      <c r="K477" s="3" t="s">
        <v>21</v>
      </c>
      <c r="L477" s="3" t="s">
        <v>21</v>
      </c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2.75" x14ac:dyDescent="0.2">
      <c r="A478" s="4" t="s">
        <v>21</v>
      </c>
      <c r="B478" s="5" t="s">
        <v>21</v>
      </c>
      <c r="C478" s="4"/>
      <c r="D478" s="4"/>
      <c r="E478" s="4"/>
      <c r="F478" s="4"/>
      <c r="G478" s="4" t="s">
        <v>21</v>
      </c>
      <c r="H478" s="4" t="s">
        <v>21</v>
      </c>
      <c r="I478" s="4"/>
      <c r="J478" s="3" t="s">
        <v>21</v>
      </c>
      <c r="K478" s="3" t="s">
        <v>21</v>
      </c>
      <c r="L478" s="3" t="s">
        <v>21</v>
      </c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2.75" x14ac:dyDescent="0.2">
      <c r="A479" s="4" t="s">
        <v>21</v>
      </c>
      <c r="B479" s="5" t="s">
        <v>21</v>
      </c>
      <c r="C479" s="4"/>
      <c r="D479" s="4"/>
      <c r="E479" s="4"/>
      <c r="F479" s="4"/>
      <c r="G479" s="4" t="s">
        <v>21</v>
      </c>
      <c r="H479" s="4" t="s">
        <v>21</v>
      </c>
      <c r="I479" s="4"/>
      <c r="J479" s="3" t="s">
        <v>21</v>
      </c>
      <c r="K479" s="3" t="s">
        <v>21</v>
      </c>
      <c r="L479" s="3" t="s">
        <v>21</v>
      </c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2.75" x14ac:dyDescent="0.2">
      <c r="A480" s="4" t="s">
        <v>21</v>
      </c>
      <c r="B480" s="5" t="s">
        <v>21</v>
      </c>
      <c r="C480" s="4"/>
      <c r="D480" s="4"/>
      <c r="E480" s="4"/>
      <c r="F480" s="4"/>
      <c r="G480" s="4" t="s">
        <v>21</v>
      </c>
      <c r="H480" s="4" t="s">
        <v>21</v>
      </c>
      <c r="I480" s="4"/>
      <c r="J480" s="3" t="s">
        <v>21</v>
      </c>
      <c r="K480" s="3" t="s">
        <v>21</v>
      </c>
      <c r="L480" s="3" t="s">
        <v>21</v>
      </c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2.75" x14ac:dyDescent="0.2">
      <c r="A481" s="4" t="s">
        <v>21</v>
      </c>
      <c r="B481" s="5" t="s">
        <v>21</v>
      </c>
      <c r="C481" s="4"/>
      <c r="D481" s="4"/>
      <c r="E481" s="4"/>
      <c r="F481" s="4"/>
      <c r="G481" s="4" t="s">
        <v>21</v>
      </c>
      <c r="H481" s="4" t="s">
        <v>21</v>
      </c>
      <c r="I481" s="4"/>
      <c r="J481" s="3" t="s">
        <v>21</v>
      </c>
      <c r="K481" s="3" t="s">
        <v>21</v>
      </c>
      <c r="L481" s="3" t="s">
        <v>21</v>
      </c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2.75" x14ac:dyDescent="0.2">
      <c r="A482" s="4" t="s">
        <v>21</v>
      </c>
      <c r="B482" s="5" t="s">
        <v>21</v>
      </c>
      <c r="C482" s="4"/>
      <c r="D482" s="4"/>
      <c r="E482" s="4"/>
      <c r="F482" s="4"/>
      <c r="G482" s="4" t="s">
        <v>21</v>
      </c>
      <c r="H482" s="4" t="s">
        <v>21</v>
      </c>
      <c r="I482" s="4"/>
      <c r="J482" s="3" t="s">
        <v>21</v>
      </c>
      <c r="K482" s="3" t="s">
        <v>21</v>
      </c>
      <c r="L482" s="3" t="s">
        <v>21</v>
      </c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2.75" x14ac:dyDescent="0.2">
      <c r="A483" s="4" t="s">
        <v>21</v>
      </c>
      <c r="B483" s="5" t="s">
        <v>21</v>
      </c>
      <c r="C483" s="4"/>
      <c r="D483" s="4"/>
      <c r="E483" s="4"/>
      <c r="F483" s="4"/>
      <c r="G483" s="4" t="s">
        <v>21</v>
      </c>
      <c r="H483" s="4" t="s">
        <v>21</v>
      </c>
      <c r="I483" s="4"/>
      <c r="J483" s="3" t="s">
        <v>21</v>
      </c>
      <c r="K483" s="3" t="s">
        <v>21</v>
      </c>
      <c r="L483" s="3" t="s">
        <v>21</v>
      </c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2.75" x14ac:dyDescent="0.2">
      <c r="A484" s="4" t="s">
        <v>21</v>
      </c>
      <c r="B484" s="5" t="s">
        <v>21</v>
      </c>
      <c r="C484" s="4"/>
      <c r="D484" s="4"/>
      <c r="E484" s="4"/>
      <c r="F484" s="4"/>
      <c r="G484" s="4" t="s">
        <v>21</v>
      </c>
      <c r="H484" s="4" t="s">
        <v>21</v>
      </c>
      <c r="I484" s="4"/>
      <c r="J484" s="3" t="s">
        <v>21</v>
      </c>
      <c r="K484" s="3" t="s">
        <v>21</v>
      </c>
      <c r="L484" s="3" t="s">
        <v>21</v>
      </c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2.75" x14ac:dyDescent="0.2">
      <c r="A485" s="4" t="s">
        <v>21</v>
      </c>
      <c r="B485" s="5" t="s">
        <v>21</v>
      </c>
      <c r="C485" s="4"/>
      <c r="D485" s="4"/>
      <c r="E485" s="4"/>
      <c r="F485" s="4"/>
      <c r="G485" s="4" t="s">
        <v>21</v>
      </c>
      <c r="H485" s="4" t="s">
        <v>21</v>
      </c>
      <c r="I485" s="4"/>
      <c r="J485" s="3" t="s">
        <v>21</v>
      </c>
      <c r="K485" s="3" t="s">
        <v>21</v>
      </c>
      <c r="L485" s="3" t="s">
        <v>21</v>
      </c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2.75" x14ac:dyDescent="0.2">
      <c r="A486" s="4" t="s">
        <v>21</v>
      </c>
      <c r="B486" s="5" t="s">
        <v>21</v>
      </c>
      <c r="C486" s="4"/>
      <c r="D486" s="4"/>
      <c r="E486" s="4"/>
      <c r="F486" s="4"/>
      <c r="G486" s="4" t="s">
        <v>21</v>
      </c>
      <c r="H486" s="4" t="s">
        <v>21</v>
      </c>
      <c r="I486" s="4"/>
      <c r="J486" s="3" t="s">
        <v>21</v>
      </c>
      <c r="K486" s="3" t="s">
        <v>21</v>
      </c>
      <c r="L486" s="3" t="s">
        <v>21</v>
      </c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2.75" x14ac:dyDescent="0.2">
      <c r="A487" s="4" t="s">
        <v>21</v>
      </c>
      <c r="B487" s="5" t="s">
        <v>21</v>
      </c>
      <c r="C487" s="4"/>
      <c r="D487" s="4"/>
      <c r="E487" s="4"/>
      <c r="F487" s="4"/>
      <c r="G487" s="4" t="s">
        <v>21</v>
      </c>
      <c r="H487" s="4" t="s">
        <v>21</v>
      </c>
      <c r="I487" s="4"/>
      <c r="J487" s="3" t="s">
        <v>21</v>
      </c>
      <c r="K487" s="3" t="s">
        <v>21</v>
      </c>
      <c r="L487" s="3" t="s">
        <v>21</v>
      </c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2.75" x14ac:dyDescent="0.2">
      <c r="A488" s="4" t="s">
        <v>21</v>
      </c>
      <c r="B488" s="5" t="s">
        <v>21</v>
      </c>
      <c r="C488" s="4"/>
      <c r="D488" s="4"/>
      <c r="E488" s="4"/>
      <c r="F488" s="4"/>
      <c r="G488" s="4" t="s">
        <v>21</v>
      </c>
      <c r="H488" s="4" t="s">
        <v>21</v>
      </c>
      <c r="I488" s="4"/>
      <c r="J488" s="3" t="s">
        <v>21</v>
      </c>
      <c r="K488" s="3" t="s">
        <v>21</v>
      </c>
      <c r="L488" s="3" t="s">
        <v>21</v>
      </c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2.75" x14ac:dyDescent="0.2">
      <c r="A489" s="4" t="s">
        <v>21</v>
      </c>
      <c r="B489" s="5" t="s">
        <v>21</v>
      </c>
      <c r="C489" s="4"/>
      <c r="D489" s="4"/>
      <c r="E489" s="4"/>
      <c r="F489" s="4"/>
      <c r="G489" s="4" t="s">
        <v>21</v>
      </c>
      <c r="H489" s="4" t="s">
        <v>21</v>
      </c>
      <c r="I489" s="4"/>
      <c r="J489" s="3" t="s">
        <v>21</v>
      </c>
      <c r="K489" s="3" t="s">
        <v>21</v>
      </c>
      <c r="L489" s="3" t="s">
        <v>21</v>
      </c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2.75" x14ac:dyDescent="0.2">
      <c r="A490" s="4" t="s">
        <v>21</v>
      </c>
      <c r="B490" s="5" t="s">
        <v>21</v>
      </c>
      <c r="C490" s="4"/>
      <c r="D490" s="4"/>
      <c r="E490" s="4"/>
      <c r="F490" s="4"/>
      <c r="G490" s="4" t="s">
        <v>21</v>
      </c>
      <c r="H490" s="4" t="s">
        <v>21</v>
      </c>
      <c r="I490" s="4"/>
      <c r="J490" s="3" t="s">
        <v>21</v>
      </c>
      <c r="K490" s="3" t="s">
        <v>21</v>
      </c>
      <c r="L490" s="3" t="s">
        <v>21</v>
      </c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2.75" x14ac:dyDescent="0.2">
      <c r="A491" s="4" t="s">
        <v>21</v>
      </c>
      <c r="B491" s="5" t="s">
        <v>21</v>
      </c>
      <c r="C491" s="4"/>
      <c r="D491" s="4"/>
      <c r="E491" s="4"/>
      <c r="F491" s="4"/>
      <c r="G491" s="4" t="s">
        <v>21</v>
      </c>
      <c r="H491" s="4" t="s">
        <v>21</v>
      </c>
      <c r="I491" s="4"/>
      <c r="J491" s="3" t="s">
        <v>21</v>
      </c>
      <c r="K491" s="3" t="s">
        <v>21</v>
      </c>
      <c r="L491" s="3" t="s">
        <v>21</v>
      </c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2.75" x14ac:dyDescent="0.2">
      <c r="A492" s="4" t="s">
        <v>21</v>
      </c>
      <c r="B492" s="5" t="s">
        <v>21</v>
      </c>
      <c r="C492" s="4"/>
      <c r="D492" s="4"/>
      <c r="E492" s="4"/>
      <c r="F492" s="4"/>
      <c r="G492" s="4" t="s">
        <v>21</v>
      </c>
      <c r="H492" s="4" t="s">
        <v>21</v>
      </c>
      <c r="I492" s="4"/>
      <c r="J492" s="3" t="s">
        <v>21</v>
      </c>
      <c r="K492" s="3" t="s">
        <v>21</v>
      </c>
      <c r="L492" s="3" t="s">
        <v>21</v>
      </c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2.75" x14ac:dyDescent="0.2">
      <c r="A493" s="4" t="s">
        <v>21</v>
      </c>
      <c r="B493" s="5" t="s">
        <v>21</v>
      </c>
      <c r="C493" s="4"/>
      <c r="D493" s="4"/>
      <c r="E493" s="4"/>
      <c r="F493" s="4"/>
      <c r="G493" s="4" t="s">
        <v>21</v>
      </c>
      <c r="H493" s="4" t="s">
        <v>21</v>
      </c>
      <c r="I493" s="4"/>
      <c r="J493" s="3" t="s">
        <v>21</v>
      </c>
      <c r="K493" s="3" t="s">
        <v>21</v>
      </c>
      <c r="L493" s="3" t="s">
        <v>21</v>
      </c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2.75" x14ac:dyDescent="0.2">
      <c r="A494" s="4" t="s">
        <v>21</v>
      </c>
      <c r="B494" s="5" t="s">
        <v>21</v>
      </c>
      <c r="C494" s="4"/>
      <c r="D494" s="4"/>
      <c r="E494" s="4"/>
      <c r="F494" s="4"/>
      <c r="G494" s="4" t="s">
        <v>21</v>
      </c>
      <c r="H494" s="4" t="s">
        <v>21</v>
      </c>
      <c r="I494" s="4"/>
      <c r="J494" s="3" t="s">
        <v>21</v>
      </c>
      <c r="K494" s="3" t="s">
        <v>21</v>
      </c>
      <c r="L494" s="3" t="s">
        <v>21</v>
      </c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2.75" x14ac:dyDescent="0.2">
      <c r="A495" s="4" t="s">
        <v>21</v>
      </c>
      <c r="B495" s="5" t="s">
        <v>21</v>
      </c>
      <c r="C495" s="4"/>
      <c r="D495" s="4"/>
      <c r="E495" s="4"/>
      <c r="F495" s="4"/>
      <c r="G495" s="4" t="s">
        <v>21</v>
      </c>
      <c r="H495" s="4" t="s">
        <v>21</v>
      </c>
      <c r="I495" s="4"/>
      <c r="J495" s="3" t="s">
        <v>21</v>
      </c>
      <c r="K495" s="3" t="s">
        <v>21</v>
      </c>
      <c r="L495" s="3" t="s">
        <v>21</v>
      </c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2.75" x14ac:dyDescent="0.2">
      <c r="A496" s="4" t="s">
        <v>21</v>
      </c>
      <c r="B496" s="5" t="s">
        <v>21</v>
      </c>
      <c r="C496" s="4"/>
      <c r="D496" s="4"/>
      <c r="E496" s="4"/>
      <c r="F496" s="4"/>
      <c r="G496" s="4" t="s">
        <v>21</v>
      </c>
      <c r="H496" s="4" t="s">
        <v>21</v>
      </c>
      <c r="I496" s="4"/>
      <c r="J496" s="3" t="s">
        <v>21</v>
      </c>
      <c r="K496" s="3" t="s">
        <v>21</v>
      </c>
      <c r="L496" s="3" t="s">
        <v>21</v>
      </c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2.75" x14ac:dyDescent="0.2">
      <c r="A497" s="4" t="s">
        <v>21</v>
      </c>
      <c r="B497" s="5" t="s">
        <v>21</v>
      </c>
      <c r="C497" s="4"/>
      <c r="D497" s="4"/>
      <c r="E497" s="4"/>
      <c r="F497" s="4"/>
      <c r="G497" s="4" t="s">
        <v>21</v>
      </c>
      <c r="H497" s="4" t="s">
        <v>21</v>
      </c>
      <c r="I497" s="4"/>
      <c r="J497" s="3" t="s">
        <v>21</v>
      </c>
      <c r="K497" s="3" t="s">
        <v>21</v>
      </c>
      <c r="L497" s="3" t="s">
        <v>21</v>
      </c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2.75" x14ac:dyDescent="0.2">
      <c r="A498" s="4" t="s">
        <v>21</v>
      </c>
      <c r="B498" s="5" t="s">
        <v>21</v>
      </c>
      <c r="C498" s="4"/>
      <c r="D498" s="4"/>
      <c r="E498" s="4"/>
      <c r="F498" s="4"/>
      <c r="G498" s="4" t="s">
        <v>21</v>
      </c>
      <c r="H498" s="4" t="s">
        <v>21</v>
      </c>
      <c r="I498" s="4"/>
      <c r="J498" s="3" t="s">
        <v>21</v>
      </c>
      <c r="K498" s="3" t="s">
        <v>21</v>
      </c>
      <c r="L498" s="3" t="s">
        <v>21</v>
      </c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2.75" x14ac:dyDescent="0.2">
      <c r="A499" s="4" t="s">
        <v>21</v>
      </c>
      <c r="B499" s="5" t="s">
        <v>21</v>
      </c>
      <c r="C499" s="4"/>
      <c r="D499" s="4"/>
      <c r="E499" s="4"/>
      <c r="F499" s="4"/>
      <c r="G499" s="4" t="s">
        <v>21</v>
      </c>
      <c r="H499" s="4" t="s">
        <v>21</v>
      </c>
      <c r="I499" s="4"/>
      <c r="J499" s="3" t="s">
        <v>21</v>
      </c>
      <c r="K499" s="3" t="s">
        <v>21</v>
      </c>
      <c r="L499" s="3" t="s">
        <v>21</v>
      </c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2.75" x14ac:dyDescent="0.2">
      <c r="A500" s="4" t="s">
        <v>21</v>
      </c>
      <c r="B500" s="5" t="s">
        <v>21</v>
      </c>
      <c r="C500" s="4"/>
      <c r="D500" s="4"/>
      <c r="E500" s="4"/>
      <c r="F500" s="4"/>
      <c r="G500" s="4" t="s">
        <v>21</v>
      </c>
      <c r="H500" s="4" t="s">
        <v>21</v>
      </c>
      <c r="I500" s="4"/>
      <c r="J500" s="3" t="s">
        <v>21</v>
      </c>
      <c r="K500" s="3" t="s">
        <v>21</v>
      </c>
      <c r="L500" s="3" t="s">
        <v>21</v>
      </c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2.75" x14ac:dyDescent="0.2">
      <c r="A501" s="4" t="s">
        <v>21</v>
      </c>
      <c r="B501" s="5" t="s">
        <v>21</v>
      </c>
      <c r="C501" s="4"/>
      <c r="D501" s="4"/>
      <c r="E501" s="4"/>
      <c r="F501" s="4"/>
      <c r="G501" s="4" t="s">
        <v>21</v>
      </c>
      <c r="H501" s="4" t="s">
        <v>21</v>
      </c>
      <c r="I501" s="4"/>
      <c r="J501" s="3" t="s">
        <v>21</v>
      </c>
      <c r="K501" s="3" t="s">
        <v>21</v>
      </c>
      <c r="L501" s="3" t="s">
        <v>21</v>
      </c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2.75" x14ac:dyDescent="0.2">
      <c r="A502" s="4" t="s">
        <v>21</v>
      </c>
      <c r="B502" s="5" t="s">
        <v>21</v>
      </c>
      <c r="C502" s="4"/>
      <c r="D502" s="4"/>
      <c r="E502" s="4"/>
      <c r="F502" s="4"/>
      <c r="G502" s="4" t="s">
        <v>21</v>
      </c>
      <c r="H502" s="4" t="s">
        <v>21</v>
      </c>
      <c r="I502" s="4"/>
      <c r="J502" s="3" t="s">
        <v>21</v>
      </c>
      <c r="K502" s="3" t="s">
        <v>21</v>
      </c>
      <c r="L502" s="3" t="s">
        <v>21</v>
      </c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2.75" x14ac:dyDescent="0.2">
      <c r="A503" s="4" t="s">
        <v>21</v>
      </c>
      <c r="B503" s="5" t="s">
        <v>21</v>
      </c>
      <c r="C503" s="4"/>
      <c r="D503" s="4"/>
      <c r="E503" s="4"/>
      <c r="F503" s="4"/>
      <c r="G503" s="4" t="s">
        <v>21</v>
      </c>
      <c r="H503" s="4" t="s">
        <v>21</v>
      </c>
      <c r="I503" s="4"/>
      <c r="J503" s="3" t="s">
        <v>21</v>
      </c>
      <c r="K503" s="3" t="s">
        <v>21</v>
      </c>
      <c r="L503" s="3" t="s">
        <v>21</v>
      </c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2.75" x14ac:dyDescent="0.2">
      <c r="A504" s="4" t="s">
        <v>21</v>
      </c>
      <c r="B504" s="5" t="s">
        <v>21</v>
      </c>
      <c r="C504" s="4"/>
      <c r="D504" s="4"/>
      <c r="E504" s="4"/>
      <c r="F504" s="4"/>
      <c r="G504" s="4" t="s">
        <v>21</v>
      </c>
      <c r="H504" s="4" t="s">
        <v>21</v>
      </c>
      <c r="I504" s="4"/>
      <c r="J504" s="3" t="s">
        <v>21</v>
      </c>
      <c r="K504" s="3" t="s">
        <v>21</v>
      </c>
      <c r="L504" s="3" t="s">
        <v>21</v>
      </c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2.75" x14ac:dyDescent="0.2">
      <c r="A505" s="4" t="s">
        <v>21</v>
      </c>
      <c r="B505" s="5" t="s">
        <v>21</v>
      </c>
      <c r="C505" s="4"/>
      <c r="D505" s="4"/>
      <c r="E505" s="4"/>
      <c r="F505" s="4"/>
      <c r="G505" s="4" t="s">
        <v>21</v>
      </c>
      <c r="H505" s="4" t="s">
        <v>21</v>
      </c>
      <c r="I505" s="4"/>
      <c r="J505" s="3" t="s">
        <v>21</v>
      </c>
      <c r="K505" s="3" t="s">
        <v>21</v>
      </c>
      <c r="L505" s="3" t="s">
        <v>21</v>
      </c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2.75" x14ac:dyDescent="0.2">
      <c r="A506" s="4" t="s">
        <v>21</v>
      </c>
      <c r="B506" s="5" t="s">
        <v>21</v>
      </c>
      <c r="C506" s="4"/>
      <c r="D506" s="4"/>
      <c r="E506" s="4"/>
      <c r="F506" s="4"/>
      <c r="G506" s="4" t="s">
        <v>21</v>
      </c>
      <c r="H506" s="4" t="s">
        <v>21</v>
      </c>
      <c r="I506" s="4"/>
      <c r="J506" s="3" t="s">
        <v>21</v>
      </c>
      <c r="K506" s="3" t="s">
        <v>21</v>
      </c>
      <c r="L506" s="3" t="s">
        <v>21</v>
      </c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2.75" x14ac:dyDescent="0.2">
      <c r="A507" s="4" t="s">
        <v>21</v>
      </c>
      <c r="B507" s="5" t="s">
        <v>21</v>
      </c>
      <c r="C507" s="4"/>
      <c r="D507" s="4"/>
      <c r="E507" s="4"/>
      <c r="F507" s="4"/>
      <c r="G507" s="4" t="s">
        <v>21</v>
      </c>
      <c r="H507" s="4" t="s">
        <v>21</v>
      </c>
      <c r="I507" s="4"/>
      <c r="J507" s="3" t="s">
        <v>21</v>
      </c>
      <c r="K507" s="3" t="s">
        <v>21</v>
      </c>
      <c r="L507" s="3" t="s">
        <v>21</v>
      </c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2.75" x14ac:dyDescent="0.2">
      <c r="A508" s="4" t="s">
        <v>21</v>
      </c>
      <c r="B508" s="5" t="s">
        <v>21</v>
      </c>
      <c r="C508" s="4"/>
      <c r="D508" s="4"/>
      <c r="E508" s="4"/>
      <c r="F508" s="4"/>
      <c r="G508" s="4" t="s">
        <v>21</v>
      </c>
      <c r="H508" s="4" t="s">
        <v>21</v>
      </c>
      <c r="I508" s="4"/>
      <c r="J508" s="3" t="s">
        <v>21</v>
      </c>
      <c r="K508" s="3" t="s">
        <v>21</v>
      </c>
      <c r="L508" s="3" t="s">
        <v>21</v>
      </c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2.75" x14ac:dyDescent="0.2">
      <c r="A509" s="4" t="s">
        <v>21</v>
      </c>
      <c r="B509" s="5" t="s">
        <v>21</v>
      </c>
      <c r="C509" s="4"/>
      <c r="D509" s="4"/>
      <c r="E509" s="4"/>
      <c r="F509" s="4"/>
      <c r="G509" s="4" t="s">
        <v>21</v>
      </c>
      <c r="H509" s="4" t="s">
        <v>21</v>
      </c>
      <c r="I509" s="4"/>
      <c r="J509" s="3" t="s">
        <v>21</v>
      </c>
      <c r="K509" s="3" t="s">
        <v>21</v>
      </c>
      <c r="L509" s="3" t="s">
        <v>21</v>
      </c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2.75" x14ac:dyDescent="0.2">
      <c r="A510" s="4" t="s">
        <v>21</v>
      </c>
      <c r="B510" s="5" t="s">
        <v>21</v>
      </c>
      <c r="C510" s="4"/>
      <c r="D510" s="4"/>
      <c r="E510" s="4"/>
      <c r="F510" s="4"/>
      <c r="G510" s="4" t="s">
        <v>21</v>
      </c>
      <c r="H510" s="4" t="s">
        <v>21</v>
      </c>
      <c r="I510" s="4"/>
      <c r="J510" s="3" t="s">
        <v>21</v>
      </c>
      <c r="K510" s="3" t="s">
        <v>21</v>
      </c>
      <c r="L510" s="3" t="s">
        <v>21</v>
      </c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2.75" x14ac:dyDescent="0.2">
      <c r="A511" s="4" t="s">
        <v>21</v>
      </c>
      <c r="B511" s="5" t="s">
        <v>21</v>
      </c>
      <c r="C511" s="4"/>
      <c r="D511" s="4"/>
      <c r="E511" s="4"/>
      <c r="F511" s="4"/>
      <c r="G511" s="4" t="s">
        <v>21</v>
      </c>
      <c r="H511" s="4" t="s">
        <v>21</v>
      </c>
      <c r="I511" s="4"/>
      <c r="J511" s="3" t="s">
        <v>21</v>
      </c>
      <c r="K511" s="3" t="s">
        <v>21</v>
      </c>
      <c r="L511" s="3" t="s">
        <v>21</v>
      </c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2.75" x14ac:dyDescent="0.2">
      <c r="A512" s="4" t="s">
        <v>21</v>
      </c>
      <c r="B512" s="5" t="s">
        <v>21</v>
      </c>
      <c r="C512" s="4"/>
      <c r="D512" s="4"/>
      <c r="E512" s="4"/>
      <c r="F512" s="4"/>
      <c r="G512" s="4" t="s">
        <v>21</v>
      </c>
      <c r="H512" s="4" t="s">
        <v>21</v>
      </c>
      <c r="I512" s="4"/>
      <c r="J512" s="3" t="s">
        <v>21</v>
      </c>
      <c r="K512" s="3" t="s">
        <v>21</v>
      </c>
      <c r="L512" s="3" t="s">
        <v>21</v>
      </c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2.75" x14ac:dyDescent="0.2">
      <c r="A513" s="4" t="s">
        <v>21</v>
      </c>
      <c r="B513" s="5" t="s">
        <v>21</v>
      </c>
      <c r="C513" s="4"/>
      <c r="D513" s="4"/>
      <c r="E513" s="4"/>
      <c r="F513" s="4"/>
      <c r="G513" s="4" t="s">
        <v>21</v>
      </c>
      <c r="H513" s="4" t="s">
        <v>21</v>
      </c>
      <c r="I513" s="4"/>
      <c r="J513" s="3" t="s">
        <v>21</v>
      </c>
      <c r="K513" s="3" t="s">
        <v>21</v>
      </c>
      <c r="L513" s="3" t="s">
        <v>21</v>
      </c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2.75" x14ac:dyDescent="0.2">
      <c r="A514" s="4" t="s">
        <v>21</v>
      </c>
      <c r="B514" s="5" t="s">
        <v>21</v>
      </c>
      <c r="C514" s="4"/>
      <c r="D514" s="4"/>
      <c r="E514" s="4"/>
      <c r="F514" s="4"/>
      <c r="G514" s="4" t="s">
        <v>21</v>
      </c>
      <c r="H514" s="4" t="s">
        <v>21</v>
      </c>
      <c r="I514" s="4"/>
      <c r="J514" s="3" t="s">
        <v>21</v>
      </c>
      <c r="K514" s="3" t="s">
        <v>21</v>
      </c>
      <c r="L514" s="3" t="s">
        <v>21</v>
      </c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2.75" x14ac:dyDescent="0.2">
      <c r="A515" s="4" t="s">
        <v>21</v>
      </c>
      <c r="B515" s="5" t="s">
        <v>21</v>
      </c>
      <c r="C515" s="4"/>
      <c r="D515" s="4"/>
      <c r="E515" s="4"/>
      <c r="F515" s="4"/>
      <c r="G515" s="4" t="s">
        <v>21</v>
      </c>
      <c r="H515" s="4" t="s">
        <v>21</v>
      </c>
      <c r="I515" s="4"/>
      <c r="J515" s="3" t="s">
        <v>21</v>
      </c>
      <c r="K515" s="3" t="s">
        <v>21</v>
      </c>
      <c r="L515" s="3" t="s">
        <v>21</v>
      </c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2.75" x14ac:dyDescent="0.2">
      <c r="A516" s="4" t="s">
        <v>21</v>
      </c>
      <c r="B516" s="5" t="s">
        <v>21</v>
      </c>
      <c r="C516" s="4"/>
      <c r="D516" s="4"/>
      <c r="E516" s="4"/>
      <c r="F516" s="4"/>
      <c r="G516" s="4" t="s">
        <v>21</v>
      </c>
      <c r="H516" s="4" t="s">
        <v>21</v>
      </c>
      <c r="I516" s="4"/>
      <c r="J516" s="3" t="s">
        <v>21</v>
      </c>
      <c r="K516" s="3" t="s">
        <v>21</v>
      </c>
      <c r="L516" s="3" t="s">
        <v>21</v>
      </c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2.75" x14ac:dyDescent="0.2">
      <c r="A517" s="4" t="s">
        <v>21</v>
      </c>
      <c r="B517" s="5" t="s">
        <v>21</v>
      </c>
      <c r="C517" s="4"/>
      <c r="D517" s="4"/>
      <c r="E517" s="4"/>
      <c r="F517" s="4"/>
      <c r="G517" s="4" t="s">
        <v>21</v>
      </c>
      <c r="H517" s="4" t="s">
        <v>21</v>
      </c>
      <c r="I517" s="4"/>
      <c r="J517" s="3" t="s">
        <v>21</v>
      </c>
      <c r="K517" s="3" t="s">
        <v>21</v>
      </c>
      <c r="L517" s="3" t="s">
        <v>21</v>
      </c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2.75" x14ac:dyDescent="0.2">
      <c r="A518" s="4" t="s">
        <v>21</v>
      </c>
      <c r="B518" s="5" t="s">
        <v>21</v>
      </c>
      <c r="C518" s="4"/>
      <c r="D518" s="4"/>
      <c r="E518" s="4"/>
      <c r="F518" s="4"/>
      <c r="G518" s="4" t="s">
        <v>21</v>
      </c>
      <c r="H518" s="4" t="s">
        <v>21</v>
      </c>
      <c r="I518" s="4"/>
      <c r="J518" s="3" t="s">
        <v>21</v>
      </c>
      <c r="K518" s="3" t="s">
        <v>21</v>
      </c>
      <c r="L518" s="3" t="s">
        <v>21</v>
      </c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2.75" x14ac:dyDescent="0.2">
      <c r="A519" s="4" t="s">
        <v>21</v>
      </c>
      <c r="B519" s="5" t="s">
        <v>21</v>
      </c>
      <c r="C519" s="4"/>
      <c r="D519" s="4"/>
      <c r="E519" s="4"/>
      <c r="F519" s="4"/>
      <c r="G519" s="4" t="s">
        <v>21</v>
      </c>
      <c r="H519" s="4" t="s">
        <v>21</v>
      </c>
      <c r="I519" s="4"/>
      <c r="J519" s="3" t="s">
        <v>21</v>
      </c>
      <c r="K519" s="3" t="s">
        <v>21</v>
      </c>
      <c r="L519" s="3" t="s">
        <v>21</v>
      </c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2.75" x14ac:dyDescent="0.2">
      <c r="A520" s="4" t="s">
        <v>21</v>
      </c>
      <c r="B520" s="5" t="s">
        <v>21</v>
      </c>
      <c r="C520" s="4"/>
      <c r="D520" s="4"/>
      <c r="E520" s="4"/>
      <c r="F520" s="4"/>
      <c r="G520" s="4" t="s">
        <v>21</v>
      </c>
      <c r="H520" s="4" t="s">
        <v>21</v>
      </c>
      <c r="I520" s="4"/>
      <c r="J520" s="3" t="s">
        <v>21</v>
      </c>
      <c r="K520" s="3" t="s">
        <v>21</v>
      </c>
      <c r="L520" s="3" t="s">
        <v>21</v>
      </c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2.75" x14ac:dyDescent="0.2">
      <c r="A521" s="4" t="s">
        <v>21</v>
      </c>
      <c r="B521" s="5" t="s">
        <v>21</v>
      </c>
      <c r="C521" s="4"/>
      <c r="D521" s="4"/>
      <c r="E521" s="4"/>
      <c r="F521" s="4"/>
      <c r="G521" s="4" t="s">
        <v>21</v>
      </c>
      <c r="H521" s="4" t="s">
        <v>21</v>
      </c>
      <c r="I521" s="4"/>
      <c r="J521" s="3" t="s">
        <v>21</v>
      </c>
      <c r="K521" s="3" t="s">
        <v>21</v>
      </c>
      <c r="L521" s="3" t="s">
        <v>21</v>
      </c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2.75" x14ac:dyDescent="0.2">
      <c r="A522" s="4" t="s">
        <v>21</v>
      </c>
      <c r="B522" s="5" t="s">
        <v>21</v>
      </c>
      <c r="C522" s="4"/>
      <c r="D522" s="4"/>
      <c r="E522" s="4"/>
      <c r="F522" s="4"/>
      <c r="G522" s="4" t="s">
        <v>21</v>
      </c>
      <c r="H522" s="4" t="s">
        <v>21</v>
      </c>
      <c r="I522" s="4"/>
      <c r="J522" s="3" t="s">
        <v>21</v>
      </c>
      <c r="K522" s="3" t="s">
        <v>21</v>
      </c>
      <c r="L522" s="3" t="s">
        <v>21</v>
      </c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2.75" x14ac:dyDescent="0.2">
      <c r="A523" s="4" t="s">
        <v>21</v>
      </c>
      <c r="B523" s="5" t="s">
        <v>21</v>
      </c>
      <c r="C523" s="4"/>
      <c r="D523" s="4"/>
      <c r="E523" s="4"/>
      <c r="F523" s="4"/>
      <c r="G523" s="4" t="s">
        <v>21</v>
      </c>
      <c r="H523" s="4" t="s">
        <v>21</v>
      </c>
      <c r="I523" s="4"/>
      <c r="J523" s="3" t="s">
        <v>21</v>
      </c>
      <c r="K523" s="3" t="s">
        <v>21</v>
      </c>
      <c r="L523" s="3" t="s">
        <v>21</v>
      </c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2.75" x14ac:dyDescent="0.2">
      <c r="A524" s="4" t="s">
        <v>21</v>
      </c>
      <c r="B524" s="5" t="s">
        <v>21</v>
      </c>
      <c r="C524" s="4"/>
      <c r="D524" s="4"/>
      <c r="E524" s="4"/>
      <c r="F524" s="4"/>
      <c r="G524" s="4" t="s">
        <v>21</v>
      </c>
      <c r="H524" s="4" t="s">
        <v>21</v>
      </c>
      <c r="I524" s="4"/>
      <c r="J524" s="3" t="s">
        <v>21</v>
      </c>
      <c r="K524" s="3" t="s">
        <v>21</v>
      </c>
      <c r="L524" s="3" t="s">
        <v>21</v>
      </c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2.75" x14ac:dyDescent="0.2">
      <c r="A525" s="4" t="s">
        <v>21</v>
      </c>
      <c r="B525" s="5" t="s">
        <v>21</v>
      </c>
      <c r="C525" s="4"/>
      <c r="D525" s="4"/>
      <c r="E525" s="4"/>
      <c r="F525" s="4"/>
      <c r="G525" s="4" t="s">
        <v>21</v>
      </c>
      <c r="H525" s="4" t="s">
        <v>21</v>
      </c>
      <c r="I525" s="4"/>
      <c r="J525" s="3" t="s">
        <v>21</v>
      </c>
      <c r="K525" s="3" t="s">
        <v>21</v>
      </c>
      <c r="L525" s="3" t="s">
        <v>21</v>
      </c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2.75" x14ac:dyDescent="0.2">
      <c r="A526" s="4" t="s">
        <v>21</v>
      </c>
      <c r="B526" s="5" t="s">
        <v>21</v>
      </c>
      <c r="C526" s="4"/>
      <c r="D526" s="4"/>
      <c r="E526" s="4"/>
      <c r="F526" s="4"/>
      <c r="G526" s="4" t="s">
        <v>21</v>
      </c>
      <c r="H526" s="4" t="s">
        <v>21</v>
      </c>
      <c r="I526" s="4"/>
      <c r="J526" s="3" t="s">
        <v>21</v>
      </c>
      <c r="K526" s="3" t="s">
        <v>21</v>
      </c>
      <c r="L526" s="3" t="s">
        <v>21</v>
      </c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2.75" x14ac:dyDescent="0.2">
      <c r="A527" s="4" t="s">
        <v>21</v>
      </c>
      <c r="B527" s="5" t="s">
        <v>21</v>
      </c>
      <c r="C527" s="4"/>
      <c r="D527" s="4"/>
      <c r="E527" s="4"/>
      <c r="F527" s="4"/>
      <c r="G527" s="4" t="s">
        <v>21</v>
      </c>
      <c r="H527" s="4" t="s">
        <v>21</v>
      </c>
      <c r="I527" s="4"/>
      <c r="J527" s="3" t="s">
        <v>21</v>
      </c>
      <c r="K527" s="3" t="s">
        <v>21</v>
      </c>
      <c r="L527" s="3" t="s">
        <v>21</v>
      </c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2.75" x14ac:dyDescent="0.2">
      <c r="A528" s="4" t="s">
        <v>21</v>
      </c>
      <c r="B528" s="5" t="s">
        <v>21</v>
      </c>
      <c r="C528" s="4"/>
      <c r="D528" s="4"/>
      <c r="E528" s="4"/>
      <c r="F528" s="4"/>
      <c r="G528" s="4" t="s">
        <v>21</v>
      </c>
      <c r="H528" s="4" t="s">
        <v>21</v>
      </c>
      <c r="I528" s="4"/>
      <c r="J528" s="3" t="s">
        <v>21</v>
      </c>
      <c r="K528" s="3" t="s">
        <v>21</v>
      </c>
      <c r="L528" s="3" t="s">
        <v>21</v>
      </c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2.75" x14ac:dyDescent="0.2">
      <c r="A529" s="4" t="s">
        <v>21</v>
      </c>
      <c r="B529" s="5" t="s">
        <v>21</v>
      </c>
      <c r="C529" s="4"/>
      <c r="D529" s="4"/>
      <c r="E529" s="4"/>
      <c r="F529" s="4"/>
      <c r="G529" s="4" t="s">
        <v>21</v>
      </c>
      <c r="H529" s="4" t="s">
        <v>21</v>
      </c>
      <c r="I529" s="4"/>
      <c r="J529" s="3" t="s">
        <v>21</v>
      </c>
      <c r="K529" s="3" t="s">
        <v>21</v>
      </c>
      <c r="L529" s="3" t="s">
        <v>21</v>
      </c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2.75" x14ac:dyDescent="0.2">
      <c r="A530" s="4" t="s">
        <v>21</v>
      </c>
      <c r="B530" s="5" t="s">
        <v>21</v>
      </c>
      <c r="C530" s="4"/>
      <c r="D530" s="4"/>
      <c r="E530" s="4"/>
      <c r="F530" s="4"/>
      <c r="G530" s="4" t="s">
        <v>21</v>
      </c>
      <c r="H530" s="4" t="s">
        <v>21</v>
      </c>
      <c r="I530" s="4"/>
      <c r="J530" s="3" t="s">
        <v>21</v>
      </c>
      <c r="K530" s="3" t="s">
        <v>21</v>
      </c>
      <c r="L530" s="3" t="s">
        <v>21</v>
      </c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2.75" x14ac:dyDescent="0.2">
      <c r="A531" s="4" t="s">
        <v>21</v>
      </c>
      <c r="B531" s="5" t="s">
        <v>21</v>
      </c>
      <c r="C531" s="4"/>
      <c r="D531" s="4"/>
      <c r="E531" s="4"/>
      <c r="F531" s="4"/>
      <c r="G531" s="4" t="s">
        <v>21</v>
      </c>
      <c r="H531" s="4" t="s">
        <v>21</v>
      </c>
      <c r="I531" s="4"/>
      <c r="J531" s="3" t="s">
        <v>21</v>
      </c>
      <c r="K531" s="3" t="s">
        <v>21</v>
      </c>
      <c r="L531" s="3" t="s">
        <v>21</v>
      </c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2.75" x14ac:dyDescent="0.2">
      <c r="A532" s="4" t="s">
        <v>21</v>
      </c>
      <c r="B532" s="5" t="s">
        <v>21</v>
      </c>
      <c r="C532" s="4"/>
      <c r="D532" s="4"/>
      <c r="E532" s="4"/>
      <c r="F532" s="4"/>
      <c r="G532" s="4" t="s">
        <v>21</v>
      </c>
      <c r="H532" s="4" t="s">
        <v>21</v>
      </c>
      <c r="I532" s="4"/>
      <c r="J532" s="3" t="s">
        <v>21</v>
      </c>
      <c r="K532" s="3" t="s">
        <v>21</v>
      </c>
      <c r="L532" s="3" t="s">
        <v>21</v>
      </c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2.75" x14ac:dyDescent="0.2">
      <c r="A533" s="4" t="s">
        <v>21</v>
      </c>
      <c r="B533" s="5" t="s">
        <v>21</v>
      </c>
      <c r="C533" s="4"/>
      <c r="D533" s="4"/>
      <c r="E533" s="4"/>
      <c r="F533" s="4"/>
      <c r="G533" s="4" t="s">
        <v>21</v>
      </c>
      <c r="H533" s="4" t="s">
        <v>21</v>
      </c>
      <c r="I533" s="4"/>
      <c r="J533" s="3" t="s">
        <v>21</v>
      </c>
      <c r="K533" s="3" t="s">
        <v>21</v>
      </c>
      <c r="L533" s="3" t="s">
        <v>21</v>
      </c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2.75" x14ac:dyDescent="0.2">
      <c r="A534" s="4" t="s">
        <v>21</v>
      </c>
      <c r="B534" s="5" t="s">
        <v>21</v>
      </c>
      <c r="C534" s="4"/>
      <c r="D534" s="4"/>
      <c r="E534" s="4"/>
      <c r="F534" s="4"/>
      <c r="G534" s="4" t="s">
        <v>21</v>
      </c>
      <c r="H534" s="4" t="s">
        <v>21</v>
      </c>
      <c r="I534" s="4"/>
      <c r="J534" s="3" t="s">
        <v>21</v>
      </c>
      <c r="K534" s="3" t="s">
        <v>21</v>
      </c>
      <c r="L534" s="3" t="s">
        <v>21</v>
      </c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2.75" x14ac:dyDescent="0.2">
      <c r="A535" s="4" t="s">
        <v>21</v>
      </c>
      <c r="B535" s="5" t="s">
        <v>21</v>
      </c>
      <c r="C535" s="4"/>
      <c r="D535" s="4"/>
      <c r="E535" s="4"/>
      <c r="F535" s="4"/>
      <c r="G535" s="4" t="s">
        <v>21</v>
      </c>
      <c r="H535" s="4" t="s">
        <v>21</v>
      </c>
      <c r="I535" s="4"/>
      <c r="J535" s="3" t="s">
        <v>21</v>
      </c>
      <c r="K535" s="3" t="s">
        <v>21</v>
      </c>
      <c r="L535" s="3" t="s">
        <v>21</v>
      </c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2.75" x14ac:dyDescent="0.2">
      <c r="A536" s="4" t="s">
        <v>21</v>
      </c>
      <c r="B536" s="5" t="s">
        <v>21</v>
      </c>
      <c r="C536" s="4"/>
      <c r="D536" s="4"/>
      <c r="E536" s="4"/>
      <c r="F536" s="4"/>
      <c r="G536" s="4" t="s">
        <v>21</v>
      </c>
      <c r="H536" s="4" t="s">
        <v>21</v>
      </c>
      <c r="I536" s="4"/>
      <c r="J536" s="3" t="s">
        <v>21</v>
      </c>
      <c r="K536" s="3" t="s">
        <v>21</v>
      </c>
      <c r="L536" s="3" t="s">
        <v>21</v>
      </c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2.75" x14ac:dyDescent="0.2">
      <c r="A537" s="4" t="s">
        <v>21</v>
      </c>
      <c r="B537" s="5" t="s">
        <v>21</v>
      </c>
      <c r="C537" s="4"/>
      <c r="D537" s="4"/>
      <c r="E537" s="4"/>
      <c r="F537" s="4"/>
      <c r="G537" s="4" t="s">
        <v>21</v>
      </c>
      <c r="H537" s="4" t="s">
        <v>21</v>
      </c>
      <c r="I537" s="4"/>
      <c r="J537" s="3" t="s">
        <v>21</v>
      </c>
      <c r="K537" s="3" t="s">
        <v>21</v>
      </c>
      <c r="L537" s="3" t="s">
        <v>21</v>
      </c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2.75" x14ac:dyDescent="0.2">
      <c r="A538" s="4" t="s">
        <v>21</v>
      </c>
      <c r="B538" s="5" t="s">
        <v>21</v>
      </c>
      <c r="C538" s="4"/>
      <c r="D538" s="4"/>
      <c r="E538" s="4"/>
      <c r="F538" s="4"/>
      <c r="G538" s="4" t="s">
        <v>21</v>
      </c>
      <c r="H538" s="4" t="s">
        <v>21</v>
      </c>
      <c r="I538" s="4"/>
      <c r="J538" s="3" t="s">
        <v>21</v>
      </c>
      <c r="K538" s="3" t="s">
        <v>21</v>
      </c>
      <c r="L538" s="3" t="s">
        <v>21</v>
      </c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2.75" x14ac:dyDescent="0.2">
      <c r="A539" s="4" t="s">
        <v>21</v>
      </c>
      <c r="B539" s="5" t="s">
        <v>21</v>
      </c>
      <c r="C539" s="4"/>
      <c r="D539" s="4"/>
      <c r="E539" s="4"/>
      <c r="F539" s="4"/>
      <c r="G539" s="4" t="s">
        <v>21</v>
      </c>
      <c r="H539" s="4" t="s">
        <v>21</v>
      </c>
      <c r="I539" s="4"/>
      <c r="J539" s="3" t="s">
        <v>21</v>
      </c>
      <c r="K539" s="3" t="s">
        <v>21</v>
      </c>
      <c r="L539" s="3" t="s">
        <v>21</v>
      </c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2.75" x14ac:dyDescent="0.2">
      <c r="A540" s="4" t="s">
        <v>21</v>
      </c>
      <c r="B540" s="5" t="s">
        <v>21</v>
      </c>
      <c r="C540" s="4"/>
      <c r="D540" s="4"/>
      <c r="E540" s="4"/>
      <c r="F540" s="4"/>
      <c r="G540" s="4" t="s">
        <v>21</v>
      </c>
      <c r="H540" s="4" t="s">
        <v>21</v>
      </c>
      <c r="I540" s="4"/>
      <c r="J540" s="3" t="s">
        <v>21</v>
      </c>
      <c r="K540" s="3" t="s">
        <v>21</v>
      </c>
      <c r="L540" s="3" t="s">
        <v>21</v>
      </c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2.75" x14ac:dyDescent="0.2">
      <c r="A541" s="4" t="s">
        <v>21</v>
      </c>
      <c r="B541" s="5" t="s">
        <v>21</v>
      </c>
      <c r="C541" s="4"/>
      <c r="D541" s="4"/>
      <c r="E541" s="4"/>
      <c r="F541" s="4"/>
      <c r="G541" s="4" t="s">
        <v>21</v>
      </c>
      <c r="H541" s="4" t="s">
        <v>21</v>
      </c>
      <c r="I541" s="4"/>
      <c r="J541" s="3" t="s">
        <v>21</v>
      </c>
      <c r="K541" s="3" t="s">
        <v>21</v>
      </c>
      <c r="L541" s="3" t="s">
        <v>21</v>
      </c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2.75" x14ac:dyDescent="0.2">
      <c r="A542" s="4" t="s">
        <v>21</v>
      </c>
      <c r="B542" s="5" t="s">
        <v>21</v>
      </c>
      <c r="C542" s="4"/>
      <c r="D542" s="4"/>
      <c r="E542" s="4"/>
      <c r="F542" s="4"/>
      <c r="G542" s="4" t="s">
        <v>21</v>
      </c>
      <c r="H542" s="4" t="s">
        <v>21</v>
      </c>
      <c r="I542" s="4"/>
      <c r="J542" s="3" t="s">
        <v>21</v>
      </c>
      <c r="K542" s="3" t="s">
        <v>21</v>
      </c>
      <c r="L542" s="3" t="s">
        <v>21</v>
      </c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2.75" x14ac:dyDescent="0.2">
      <c r="A543" s="4" t="s">
        <v>21</v>
      </c>
      <c r="B543" s="5" t="s">
        <v>21</v>
      </c>
      <c r="C543" s="4"/>
      <c r="D543" s="4"/>
      <c r="E543" s="4"/>
      <c r="F543" s="4"/>
      <c r="G543" s="4" t="s">
        <v>21</v>
      </c>
      <c r="H543" s="4" t="s">
        <v>21</v>
      </c>
      <c r="I543" s="4"/>
      <c r="J543" s="3" t="s">
        <v>21</v>
      </c>
      <c r="K543" s="3" t="s">
        <v>21</v>
      </c>
      <c r="L543" s="3" t="s">
        <v>21</v>
      </c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2.75" x14ac:dyDescent="0.2">
      <c r="A544" s="4" t="s">
        <v>21</v>
      </c>
      <c r="B544" s="5" t="s">
        <v>21</v>
      </c>
      <c r="C544" s="4"/>
      <c r="D544" s="4"/>
      <c r="E544" s="4"/>
      <c r="F544" s="4"/>
      <c r="G544" s="4" t="s">
        <v>21</v>
      </c>
      <c r="H544" s="4" t="s">
        <v>21</v>
      </c>
      <c r="I544" s="4"/>
      <c r="J544" s="3" t="s">
        <v>21</v>
      </c>
      <c r="K544" s="3" t="s">
        <v>21</v>
      </c>
      <c r="L544" s="3" t="s">
        <v>21</v>
      </c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2.75" x14ac:dyDescent="0.2">
      <c r="A545" s="4" t="s">
        <v>21</v>
      </c>
      <c r="B545" s="5" t="s">
        <v>21</v>
      </c>
      <c r="C545" s="4"/>
      <c r="D545" s="4"/>
      <c r="E545" s="4"/>
      <c r="F545" s="4"/>
      <c r="G545" s="4" t="s">
        <v>21</v>
      </c>
      <c r="H545" s="4" t="s">
        <v>21</v>
      </c>
      <c r="I545" s="4"/>
      <c r="J545" s="3" t="s">
        <v>21</v>
      </c>
      <c r="K545" s="3" t="s">
        <v>21</v>
      </c>
      <c r="L545" s="3" t="s">
        <v>21</v>
      </c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2.75" x14ac:dyDescent="0.2">
      <c r="A546" s="4" t="s">
        <v>21</v>
      </c>
      <c r="B546" s="5" t="s">
        <v>21</v>
      </c>
      <c r="C546" s="4"/>
      <c r="D546" s="4"/>
      <c r="E546" s="4"/>
      <c r="F546" s="4"/>
      <c r="G546" s="4" t="s">
        <v>21</v>
      </c>
      <c r="H546" s="4" t="s">
        <v>21</v>
      </c>
      <c r="I546" s="4"/>
      <c r="J546" s="3" t="s">
        <v>21</v>
      </c>
      <c r="K546" s="3" t="s">
        <v>21</v>
      </c>
      <c r="L546" s="3" t="s">
        <v>21</v>
      </c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2.75" x14ac:dyDescent="0.2">
      <c r="A547" s="4" t="s">
        <v>21</v>
      </c>
      <c r="B547" s="5" t="s">
        <v>21</v>
      </c>
      <c r="C547" s="4"/>
      <c r="D547" s="4"/>
      <c r="E547" s="4"/>
      <c r="F547" s="4"/>
      <c r="G547" s="4" t="s">
        <v>21</v>
      </c>
      <c r="H547" s="4" t="s">
        <v>21</v>
      </c>
      <c r="I547" s="4"/>
      <c r="J547" s="3" t="s">
        <v>21</v>
      </c>
      <c r="K547" s="3" t="s">
        <v>21</v>
      </c>
      <c r="L547" s="3" t="s">
        <v>21</v>
      </c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2.75" x14ac:dyDescent="0.2">
      <c r="A548" s="4" t="s">
        <v>21</v>
      </c>
      <c r="B548" s="5" t="s">
        <v>21</v>
      </c>
      <c r="C548" s="4"/>
      <c r="D548" s="4"/>
      <c r="E548" s="4"/>
      <c r="F548" s="4"/>
      <c r="G548" s="4" t="s">
        <v>21</v>
      </c>
      <c r="H548" s="4" t="s">
        <v>21</v>
      </c>
      <c r="I548" s="4"/>
      <c r="J548" s="3" t="s">
        <v>21</v>
      </c>
      <c r="K548" s="3" t="s">
        <v>21</v>
      </c>
      <c r="L548" s="3" t="s">
        <v>21</v>
      </c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2.75" x14ac:dyDescent="0.2">
      <c r="A549" s="4" t="s">
        <v>21</v>
      </c>
      <c r="B549" s="5" t="s">
        <v>21</v>
      </c>
      <c r="C549" s="4"/>
      <c r="D549" s="4"/>
      <c r="E549" s="4"/>
      <c r="F549" s="4"/>
      <c r="G549" s="4" t="s">
        <v>21</v>
      </c>
      <c r="H549" s="4" t="s">
        <v>21</v>
      </c>
      <c r="I549" s="4"/>
      <c r="J549" s="3" t="s">
        <v>21</v>
      </c>
      <c r="K549" s="3" t="s">
        <v>21</v>
      </c>
      <c r="L549" s="3" t="s">
        <v>21</v>
      </c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2.75" x14ac:dyDescent="0.2">
      <c r="A550" s="4" t="s">
        <v>21</v>
      </c>
      <c r="B550" s="5" t="s">
        <v>21</v>
      </c>
      <c r="C550" s="4"/>
      <c r="D550" s="4"/>
      <c r="E550" s="4"/>
      <c r="F550" s="4"/>
      <c r="G550" s="4" t="s">
        <v>21</v>
      </c>
      <c r="H550" s="4" t="s">
        <v>21</v>
      </c>
      <c r="I550" s="4"/>
      <c r="J550" s="3" t="s">
        <v>21</v>
      </c>
      <c r="K550" s="3" t="s">
        <v>21</v>
      </c>
      <c r="L550" s="3" t="s">
        <v>21</v>
      </c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2.75" x14ac:dyDescent="0.2">
      <c r="A551" s="4" t="s">
        <v>21</v>
      </c>
      <c r="B551" s="5" t="s">
        <v>21</v>
      </c>
      <c r="C551" s="4"/>
      <c r="D551" s="4"/>
      <c r="E551" s="4"/>
      <c r="F551" s="4"/>
      <c r="G551" s="4" t="s">
        <v>21</v>
      </c>
      <c r="H551" s="4" t="s">
        <v>21</v>
      </c>
      <c r="I551" s="4"/>
      <c r="J551" s="3" t="s">
        <v>21</v>
      </c>
      <c r="K551" s="3" t="s">
        <v>21</v>
      </c>
      <c r="L551" s="3" t="s">
        <v>21</v>
      </c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2.75" x14ac:dyDescent="0.2">
      <c r="A552" s="4" t="s">
        <v>21</v>
      </c>
      <c r="B552" s="5" t="s">
        <v>21</v>
      </c>
      <c r="C552" s="4"/>
      <c r="D552" s="4"/>
      <c r="E552" s="4"/>
      <c r="F552" s="4"/>
      <c r="G552" s="4" t="s">
        <v>21</v>
      </c>
      <c r="H552" s="4" t="s">
        <v>21</v>
      </c>
      <c r="I552" s="4"/>
      <c r="J552" s="3" t="s">
        <v>21</v>
      </c>
      <c r="K552" s="3" t="s">
        <v>21</v>
      </c>
      <c r="L552" s="3" t="s">
        <v>21</v>
      </c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2.75" x14ac:dyDescent="0.2">
      <c r="A553" s="4" t="s">
        <v>21</v>
      </c>
      <c r="B553" s="5" t="s">
        <v>21</v>
      </c>
      <c r="C553" s="4"/>
      <c r="D553" s="4"/>
      <c r="E553" s="4"/>
      <c r="F553" s="4"/>
      <c r="G553" s="4" t="s">
        <v>21</v>
      </c>
      <c r="H553" s="4" t="s">
        <v>21</v>
      </c>
      <c r="I553" s="4"/>
      <c r="J553" s="3" t="s">
        <v>21</v>
      </c>
      <c r="K553" s="3" t="s">
        <v>21</v>
      </c>
      <c r="L553" s="3" t="s">
        <v>21</v>
      </c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2.75" x14ac:dyDescent="0.2">
      <c r="A554" s="4" t="s">
        <v>21</v>
      </c>
      <c r="B554" s="5" t="s">
        <v>21</v>
      </c>
      <c r="C554" s="4"/>
      <c r="D554" s="4"/>
      <c r="E554" s="4"/>
      <c r="F554" s="4"/>
      <c r="G554" s="4" t="s">
        <v>21</v>
      </c>
      <c r="H554" s="4" t="s">
        <v>21</v>
      </c>
      <c r="I554" s="4"/>
      <c r="J554" s="3" t="s">
        <v>21</v>
      </c>
      <c r="K554" s="3" t="s">
        <v>21</v>
      </c>
      <c r="L554" s="3" t="s">
        <v>21</v>
      </c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2.75" x14ac:dyDescent="0.2">
      <c r="A555" s="4" t="s">
        <v>21</v>
      </c>
      <c r="B555" s="5" t="s">
        <v>21</v>
      </c>
      <c r="C555" s="4"/>
      <c r="D555" s="4"/>
      <c r="E555" s="4"/>
      <c r="F555" s="4"/>
      <c r="G555" s="4" t="s">
        <v>21</v>
      </c>
      <c r="H555" s="4" t="s">
        <v>21</v>
      </c>
      <c r="I555" s="4"/>
      <c r="J555" s="3" t="s">
        <v>21</v>
      </c>
      <c r="K555" s="3" t="s">
        <v>21</v>
      </c>
      <c r="L555" s="3" t="s">
        <v>21</v>
      </c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2.75" x14ac:dyDescent="0.2">
      <c r="A556" s="4" t="s">
        <v>21</v>
      </c>
      <c r="B556" s="5" t="s">
        <v>21</v>
      </c>
      <c r="C556" s="4"/>
      <c r="D556" s="4"/>
      <c r="E556" s="4"/>
      <c r="F556" s="4"/>
      <c r="G556" s="4" t="s">
        <v>21</v>
      </c>
      <c r="H556" s="4" t="s">
        <v>21</v>
      </c>
      <c r="I556" s="4"/>
      <c r="J556" s="3" t="s">
        <v>21</v>
      </c>
      <c r="K556" s="3" t="s">
        <v>21</v>
      </c>
      <c r="L556" s="3" t="s">
        <v>21</v>
      </c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2.75" x14ac:dyDescent="0.2">
      <c r="A557" s="4" t="s">
        <v>21</v>
      </c>
      <c r="B557" s="5" t="s">
        <v>21</v>
      </c>
      <c r="C557" s="4"/>
      <c r="D557" s="4"/>
      <c r="E557" s="4"/>
      <c r="F557" s="4"/>
      <c r="G557" s="4" t="s">
        <v>21</v>
      </c>
      <c r="H557" s="4" t="s">
        <v>21</v>
      </c>
      <c r="I557" s="4"/>
      <c r="J557" s="3" t="s">
        <v>21</v>
      </c>
      <c r="K557" s="3" t="s">
        <v>21</v>
      </c>
      <c r="L557" s="3" t="s">
        <v>21</v>
      </c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2.75" x14ac:dyDescent="0.2">
      <c r="A558" s="4" t="s">
        <v>21</v>
      </c>
      <c r="B558" s="5" t="s">
        <v>21</v>
      </c>
      <c r="C558" s="4"/>
      <c r="D558" s="4"/>
      <c r="E558" s="4"/>
      <c r="F558" s="4"/>
      <c r="G558" s="4" t="s">
        <v>21</v>
      </c>
      <c r="H558" s="4" t="s">
        <v>21</v>
      </c>
      <c r="I558" s="4"/>
      <c r="J558" s="3" t="s">
        <v>21</v>
      </c>
      <c r="K558" s="3" t="s">
        <v>21</v>
      </c>
      <c r="L558" s="3" t="s">
        <v>21</v>
      </c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2.75" x14ac:dyDescent="0.2">
      <c r="A559" s="4" t="s">
        <v>21</v>
      </c>
      <c r="B559" s="5" t="s">
        <v>21</v>
      </c>
      <c r="C559" s="4"/>
      <c r="D559" s="4"/>
      <c r="E559" s="4"/>
      <c r="F559" s="4"/>
      <c r="G559" s="4" t="s">
        <v>21</v>
      </c>
      <c r="H559" s="4" t="s">
        <v>21</v>
      </c>
      <c r="I559" s="4"/>
      <c r="J559" s="3" t="s">
        <v>21</v>
      </c>
      <c r="K559" s="3" t="s">
        <v>21</v>
      </c>
      <c r="L559" s="3" t="s">
        <v>21</v>
      </c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2.75" x14ac:dyDescent="0.2">
      <c r="A560" s="4" t="s">
        <v>21</v>
      </c>
      <c r="B560" s="5" t="s">
        <v>21</v>
      </c>
      <c r="C560" s="4"/>
      <c r="D560" s="4"/>
      <c r="E560" s="4"/>
      <c r="F560" s="4"/>
      <c r="G560" s="4" t="s">
        <v>21</v>
      </c>
      <c r="H560" s="4" t="s">
        <v>21</v>
      </c>
      <c r="I560" s="4"/>
      <c r="J560" s="3" t="s">
        <v>21</v>
      </c>
      <c r="K560" s="3" t="s">
        <v>21</v>
      </c>
      <c r="L560" s="3" t="s">
        <v>21</v>
      </c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2.75" x14ac:dyDescent="0.2">
      <c r="A561" s="4" t="s">
        <v>21</v>
      </c>
      <c r="B561" s="5" t="s">
        <v>21</v>
      </c>
      <c r="C561" s="4"/>
      <c r="D561" s="4"/>
      <c r="E561" s="4"/>
      <c r="F561" s="4"/>
      <c r="G561" s="4" t="s">
        <v>21</v>
      </c>
      <c r="H561" s="4" t="s">
        <v>21</v>
      </c>
      <c r="I561" s="4"/>
      <c r="J561" s="3" t="s">
        <v>21</v>
      </c>
      <c r="K561" s="3" t="s">
        <v>21</v>
      </c>
      <c r="L561" s="3" t="s">
        <v>21</v>
      </c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2.75" x14ac:dyDescent="0.2">
      <c r="A562" s="4" t="s">
        <v>21</v>
      </c>
      <c r="B562" s="5" t="s">
        <v>21</v>
      </c>
      <c r="C562" s="4"/>
      <c r="D562" s="4"/>
      <c r="E562" s="4"/>
      <c r="F562" s="4"/>
      <c r="G562" s="4" t="s">
        <v>21</v>
      </c>
      <c r="H562" s="4" t="s">
        <v>21</v>
      </c>
      <c r="I562" s="4"/>
      <c r="J562" s="3" t="s">
        <v>21</v>
      </c>
      <c r="K562" s="3" t="s">
        <v>21</v>
      </c>
      <c r="L562" s="3" t="s">
        <v>21</v>
      </c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2.75" x14ac:dyDescent="0.2">
      <c r="A563" s="4" t="s">
        <v>21</v>
      </c>
      <c r="B563" s="5" t="s">
        <v>21</v>
      </c>
      <c r="C563" s="4"/>
      <c r="D563" s="4"/>
      <c r="E563" s="4"/>
      <c r="F563" s="4"/>
      <c r="G563" s="4" t="s">
        <v>21</v>
      </c>
      <c r="H563" s="4" t="s">
        <v>21</v>
      </c>
      <c r="I563" s="4"/>
      <c r="J563" s="3" t="s">
        <v>21</v>
      </c>
      <c r="K563" s="3" t="s">
        <v>21</v>
      </c>
      <c r="L563" s="3" t="s">
        <v>21</v>
      </c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2.75" x14ac:dyDescent="0.2">
      <c r="A564" s="4" t="s">
        <v>21</v>
      </c>
      <c r="B564" s="5" t="s">
        <v>21</v>
      </c>
      <c r="C564" s="4"/>
      <c r="D564" s="4"/>
      <c r="E564" s="4"/>
      <c r="F564" s="4"/>
      <c r="G564" s="4" t="s">
        <v>21</v>
      </c>
      <c r="H564" s="4" t="s">
        <v>21</v>
      </c>
      <c r="I564" s="4"/>
      <c r="J564" s="3" t="s">
        <v>21</v>
      </c>
      <c r="K564" s="3" t="s">
        <v>21</v>
      </c>
      <c r="L564" s="3" t="s">
        <v>21</v>
      </c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2.75" x14ac:dyDescent="0.2">
      <c r="A565" s="4" t="s">
        <v>21</v>
      </c>
      <c r="B565" s="5" t="s">
        <v>21</v>
      </c>
      <c r="C565" s="4"/>
      <c r="D565" s="4"/>
      <c r="E565" s="4"/>
      <c r="F565" s="4"/>
      <c r="G565" s="4" t="s">
        <v>21</v>
      </c>
      <c r="H565" s="4" t="s">
        <v>21</v>
      </c>
      <c r="I565" s="4"/>
      <c r="J565" s="3" t="s">
        <v>21</v>
      </c>
      <c r="K565" s="3" t="s">
        <v>21</v>
      </c>
      <c r="L565" s="3" t="s">
        <v>21</v>
      </c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2.75" x14ac:dyDescent="0.2">
      <c r="A566" s="4" t="s">
        <v>21</v>
      </c>
      <c r="B566" s="5" t="s">
        <v>21</v>
      </c>
      <c r="C566" s="4"/>
      <c r="D566" s="4"/>
      <c r="E566" s="4"/>
      <c r="F566" s="4"/>
      <c r="G566" s="4" t="s">
        <v>21</v>
      </c>
      <c r="H566" s="4" t="s">
        <v>21</v>
      </c>
      <c r="I566" s="4"/>
      <c r="J566" s="3" t="s">
        <v>21</v>
      </c>
      <c r="K566" s="3" t="s">
        <v>21</v>
      </c>
      <c r="L566" s="3" t="s">
        <v>21</v>
      </c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2.75" x14ac:dyDescent="0.2">
      <c r="A567" s="4" t="s">
        <v>21</v>
      </c>
      <c r="B567" s="5" t="s">
        <v>21</v>
      </c>
      <c r="C567" s="4"/>
      <c r="D567" s="4"/>
      <c r="E567" s="4"/>
      <c r="F567" s="4"/>
      <c r="G567" s="4" t="s">
        <v>21</v>
      </c>
      <c r="H567" s="4" t="s">
        <v>21</v>
      </c>
      <c r="I567" s="4"/>
      <c r="J567" s="3" t="s">
        <v>21</v>
      </c>
      <c r="K567" s="3" t="s">
        <v>21</v>
      </c>
      <c r="L567" s="3" t="s">
        <v>21</v>
      </c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2.75" x14ac:dyDescent="0.2">
      <c r="A568" s="4" t="s">
        <v>21</v>
      </c>
      <c r="B568" s="5" t="s">
        <v>21</v>
      </c>
      <c r="C568" s="4"/>
      <c r="D568" s="4"/>
      <c r="E568" s="4"/>
      <c r="F568" s="4"/>
      <c r="G568" s="4" t="s">
        <v>21</v>
      </c>
      <c r="H568" s="4" t="s">
        <v>21</v>
      </c>
      <c r="I568" s="4"/>
      <c r="J568" s="3" t="s">
        <v>21</v>
      </c>
      <c r="K568" s="3" t="s">
        <v>21</v>
      </c>
      <c r="L568" s="3" t="s">
        <v>21</v>
      </c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2.75" x14ac:dyDescent="0.2">
      <c r="A569" s="4" t="s">
        <v>21</v>
      </c>
      <c r="B569" s="5" t="s">
        <v>21</v>
      </c>
      <c r="C569" s="4"/>
      <c r="D569" s="4"/>
      <c r="E569" s="4"/>
      <c r="F569" s="4"/>
      <c r="G569" s="4" t="s">
        <v>21</v>
      </c>
      <c r="H569" s="4" t="s">
        <v>21</v>
      </c>
      <c r="I569" s="4"/>
      <c r="J569" s="3" t="s">
        <v>21</v>
      </c>
      <c r="K569" s="3" t="s">
        <v>21</v>
      </c>
      <c r="L569" s="3" t="s">
        <v>21</v>
      </c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2.75" x14ac:dyDescent="0.2">
      <c r="A570" s="4" t="s">
        <v>21</v>
      </c>
      <c r="B570" s="5" t="s">
        <v>21</v>
      </c>
      <c r="C570" s="4"/>
      <c r="D570" s="4"/>
      <c r="E570" s="4"/>
      <c r="F570" s="4"/>
      <c r="G570" s="4" t="s">
        <v>21</v>
      </c>
      <c r="H570" s="4" t="s">
        <v>21</v>
      </c>
      <c r="I570" s="4"/>
      <c r="J570" s="3" t="s">
        <v>21</v>
      </c>
      <c r="K570" s="3" t="s">
        <v>21</v>
      </c>
      <c r="L570" s="3" t="s">
        <v>21</v>
      </c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2.75" x14ac:dyDescent="0.2">
      <c r="A571" s="4" t="s">
        <v>21</v>
      </c>
      <c r="B571" s="5" t="s">
        <v>21</v>
      </c>
      <c r="C571" s="4"/>
      <c r="D571" s="4"/>
      <c r="E571" s="4"/>
      <c r="F571" s="4"/>
      <c r="G571" s="4" t="s">
        <v>21</v>
      </c>
      <c r="H571" s="4" t="s">
        <v>21</v>
      </c>
      <c r="I571" s="4"/>
      <c r="J571" s="3" t="s">
        <v>21</v>
      </c>
      <c r="K571" s="3" t="s">
        <v>21</v>
      </c>
      <c r="L571" s="3" t="s">
        <v>21</v>
      </c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2.75" x14ac:dyDescent="0.2">
      <c r="A572" s="4" t="s">
        <v>21</v>
      </c>
      <c r="B572" s="5" t="s">
        <v>21</v>
      </c>
      <c r="C572" s="4"/>
      <c r="D572" s="4"/>
      <c r="E572" s="4"/>
      <c r="F572" s="4"/>
      <c r="G572" s="4" t="s">
        <v>21</v>
      </c>
      <c r="H572" s="4" t="s">
        <v>21</v>
      </c>
      <c r="I572" s="4"/>
      <c r="J572" s="3" t="s">
        <v>21</v>
      </c>
      <c r="K572" s="3" t="s">
        <v>21</v>
      </c>
      <c r="L572" s="3" t="s">
        <v>21</v>
      </c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2.75" x14ac:dyDescent="0.2">
      <c r="A573" s="4" t="s">
        <v>21</v>
      </c>
      <c r="B573" s="5" t="s">
        <v>21</v>
      </c>
      <c r="C573" s="4"/>
      <c r="D573" s="4"/>
      <c r="E573" s="4"/>
      <c r="F573" s="4"/>
      <c r="G573" s="4" t="s">
        <v>21</v>
      </c>
      <c r="H573" s="4" t="s">
        <v>21</v>
      </c>
      <c r="I573" s="4"/>
      <c r="J573" s="3" t="s">
        <v>21</v>
      </c>
      <c r="K573" s="3" t="s">
        <v>21</v>
      </c>
      <c r="L573" s="3" t="s">
        <v>21</v>
      </c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2.75" x14ac:dyDescent="0.2">
      <c r="A574" s="4" t="s">
        <v>21</v>
      </c>
      <c r="B574" s="5" t="s">
        <v>21</v>
      </c>
      <c r="C574" s="4"/>
      <c r="D574" s="4"/>
      <c r="E574" s="4"/>
      <c r="F574" s="4"/>
      <c r="G574" s="4" t="s">
        <v>21</v>
      </c>
      <c r="H574" s="4" t="s">
        <v>21</v>
      </c>
      <c r="I574" s="4"/>
      <c r="J574" s="3" t="s">
        <v>21</v>
      </c>
      <c r="K574" s="3" t="s">
        <v>21</v>
      </c>
      <c r="L574" s="3" t="s">
        <v>21</v>
      </c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2.75" x14ac:dyDescent="0.2">
      <c r="A575" s="4" t="s">
        <v>21</v>
      </c>
      <c r="B575" s="5" t="s">
        <v>21</v>
      </c>
      <c r="C575" s="4"/>
      <c r="D575" s="4"/>
      <c r="E575" s="4"/>
      <c r="F575" s="4"/>
      <c r="G575" s="4" t="s">
        <v>21</v>
      </c>
      <c r="H575" s="4" t="s">
        <v>21</v>
      </c>
      <c r="I575" s="4"/>
      <c r="J575" s="3" t="s">
        <v>21</v>
      </c>
      <c r="K575" s="3" t="s">
        <v>21</v>
      </c>
      <c r="L575" s="3" t="s">
        <v>21</v>
      </c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2.75" x14ac:dyDescent="0.2">
      <c r="A576" s="4" t="s">
        <v>21</v>
      </c>
      <c r="B576" s="5" t="s">
        <v>21</v>
      </c>
      <c r="C576" s="4"/>
      <c r="D576" s="4"/>
      <c r="E576" s="4"/>
      <c r="F576" s="4"/>
      <c r="G576" s="4" t="s">
        <v>21</v>
      </c>
      <c r="H576" s="4" t="s">
        <v>21</v>
      </c>
      <c r="I576" s="4"/>
      <c r="J576" s="3" t="s">
        <v>21</v>
      </c>
      <c r="K576" s="3" t="s">
        <v>21</v>
      </c>
      <c r="L576" s="3" t="s">
        <v>21</v>
      </c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2.75" x14ac:dyDescent="0.2">
      <c r="A577" s="4" t="s">
        <v>21</v>
      </c>
      <c r="B577" s="5" t="s">
        <v>21</v>
      </c>
      <c r="C577" s="4"/>
      <c r="D577" s="4"/>
      <c r="E577" s="4"/>
      <c r="F577" s="4"/>
      <c r="G577" s="4" t="s">
        <v>21</v>
      </c>
      <c r="H577" s="4" t="s">
        <v>21</v>
      </c>
      <c r="I577" s="4"/>
      <c r="J577" s="3" t="s">
        <v>21</v>
      </c>
      <c r="K577" s="3" t="s">
        <v>21</v>
      </c>
      <c r="L577" s="3" t="s">
        <v>21</v>
      </c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2.75" x14ac:dyDescent="0.2">
      <c r="A578" s="4" t="s">
        <v>21</v>
      </c>
      <c r="B578" s="5" t="s">
        <v>21</v>
      </c>
      <c r="C578" s="4"/>
      <c r="D578" s="4"/>
      <c r="E578" s="4"/>
      <c r="F578" s="4"/>
      <c r="G578" s="4" t="s">
        <v>21</v>
      </c>
      <c r="H578" s="4" t="s">
        <v>21</v>
      </c>
      <c r="I578" s="4"/>
      <c r="J578" s="3" t="s">
        <v>21</v>
      </c>
      <c r="K578" s="3" t="s">
        <v>21</v>
      </c>
      <c r="L578" s="3" t="s">
        <v>21</v>
      </c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2.75" x14ac:dyDescent="0.2">
      <c r="A579" s="4" t="s">
        <v>21</v>
      </c>
      <c r="B579" s="5" t="s">
        <v>21</v>
      </c>
      <c r="C579" s="4"/>
      <c r="D579" s="4"/>
      <c r="E579" s="4"/>
      <c r="F579" s="4"/>
      <c r="G579" s="4" t="s">
        <v>21</v>
      </c>
      <c r="H579" s="4" t="s">
        <v>21</v>
      </c>
      <c r="I579" s="4"/>
      <c r="J579" s="3" t="s">
        <v>21</v>
      </c>
      <c r="K579" s="3" t="s">
        <v>21</v>
      </c>
      <c r="L579" s="3" t="s">
        <v>21</v>
      </c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2.75" x14ac:dyDescent="0.2">
      <c r="A580" s="4" t="s">
        <v>21</v>
      </c>
      <c r="B580" s="5" t="s">
        <v>21</v>
      </c>
      <c r="C580" s="4"/>
      <c r="D580" s="4"/>
      <c r="E580" s="4"/>
      <c r="F580" s="4"/>
      <c r="G580" s="4" t="s">
        <v>21</v>
      </c>
      <c r="H580" s="4" t="s">
        <v>21</v>
      </c>
      <c r="I580" s="4"/>
      <c r="J580" s="3" t="s">
        <v>21</v>
      </c>
      <c r="K580" s="3" t="s">
        <v>21</v>
      </c>
      <c r="L580" s="3" t="s">
        <v>21</v>
      </c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2.75" x14ac:dyDescent="0.2">
      <c r="A581" s="4" t="s">
        <v>21</v>
      </c>
      <c r="B581" s="5" t="s">
        <v>21</v>
      </c>
      <c r="C581" s="4"/>
      <c r="D581" s="4"/>
      <c r="E581" s="4"/>
      <c r="F581" s="4"/>
      <c r="G581" s="4" t="s">
        <v>21</v>
      </c>
      <c r="H581" s="4" t="s">
        <v>21</v>
      </c>
      <c r="I581" s="4"/>
      <c r="J581" s="3" t="s">
        <v>21</v>
      </c>
      <c r="K581" s="3" t="s">
        <v>21</v>
      </c>
      <c r="L581" s="3" t="s">
        <v>21</v>
      </c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2.75" x14ac:dyDescent="0.2">
      <c r="A582" s="4" t="s">
        <v>21</v>
      </c>
      <c r="B582" s="5" t="s">
        <v>21</v>
      </c>
      <c r="C582" s="4"/>
      <c r="D582" s="4"/>
      <c r="E582" s="4"/>
      <c r="F582" s="4"/>
      <c r="G582" s="4" t="s">
        <v>21</v>
      </c>
      <c r="H582" s="4" t="s">
        <v>21</v>
      </c>
      <c r="I582" s="4"/>
      <c r="J582" s="3" t="s">
        <v>21</v>
      </c>
      <c r="K582" s="3" t="s">
        <v>21</v>
      </c>
      <c r="L582" s="3" t="s">
        <v>21</v>
      </c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2.75" x14ac:dyDescent="0.2">
      <c r="A583" s="4" t="s">
        <v>21</v>
      </c>
      <c r="B583" s="5" t="s">
        <v>21</v>
      </c>
      <c r="C583" s="4"/>
      <c r="D583" s="4"/>
      <c r="E583" s="4"/>
      <c r="F583" s="4"/>
      <c r="G583" s="4" t="s">
        <v>21</v>
      </c>
      <c r="H583" s="4" t="s">
        <v>21</v>
      </c>
      <c r="I583" s="4"/>
      <c r="J583" s="3" t="s">
        <v>21</v>
      </c>
      <c r="K583" s="3" t="s">
        <v>21</v>
      </c>
      <c r="L583" s="3" t="s">
        <v>21</v>
      </c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2.75" x14ac:dyDescent="0.2">
      <c r="A584" s="4" t="s">
        <v>21</v>
      </c>
      <c r="B584" s="5" t="s">
        <v>21</v>
      </c>
      <c r="C584" s="4"/>
      <c r="D584" s="4"/>
      <c r="E584" s="4"/>
      <c r="F584" s="4"/>
      <c r="G584" s="4" t="s">
        <v>21</v>
      </c>
      <c r="H584" s="4" t="s">
        <v>21</v>
      </c>
      <c r="I584" s="4"/>
      <c r="J584" s="3" t="s">
        <v>21</v>
      </c>
      <c r="K584" s="3" t="s">
        <v>21</v>
      </c>
      <c r="L584" s="3" t="s">
        <v>21</v>
      </c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2.75" x14ac:dyDescent="0.2">
      <c r="A585" s="4" t="s">
        <v>21</v>
      </c>
      <c r="B585" s="5" t="s">
        <v>21</v>
      </c>
      <c r="C585" s="4"/>
      <c r="D585" s="4"/>
      <c r="E585" s="4"/>
      <c r="F585" s="4"/>
      <c r="G585" s="4" t="s">
        <v>21</v>
      </c>
      <c r="H585" s="4" t="s">
        <v>21</v>
      </c>
      <c r="I585" s="4"/>
      <c r="J585" s="3" t="s">
        <v>21</v>
      </c>
      <c r="K585" s="3" t="s">
        <v>21</v>
      </c>
      <c r="L585" s="3" t="s">
        <v>21</v>
      </c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2.75" x14ac:dyDescent="0.2">
      <c r="A586" s="4" t="s">
        <v>21</v>
      </c>
      <c r="B586" s="5" t="s">
        <v>21</v>
      </c>
      <c r="C586" s="4"/>
      <c r="D586" s="4"/>
      <c r="E586" s="4"/>
      <c r="F586" s="4"/>
      <c r="G586" s="4" t="s">
        <v>21</v>
      </c>
      <c r="H586" s="4" t="s">
        <v>21</v>
      </c>
      <c r="I586" s="4"/>
      <c r="J586" s="3" t="s">
        <v>21</v>
      </c>
      <c r="K586" s="3" t="s">
        <v>21</v>
      </c>
      <c r="L586" s="3" t="s">
        <v>21</v>
      </c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2.75" x14ac:dyDescent="0.2">
      <c r="A587" s="4" t="s">
        <v>21</v>
      </c>
      <c r="B587" s="5" t="s">
        <v>21</v>
      </c>
      <c r="C587" s="4"/>
      <c r="D587" s="4"/>
      <c r="E587" s="4"/>
      <c r="F587" s="4"/>
      <c r="G587" s="4" t="s">
        <v>21</v>
      </c>
      <c r="H587" s="4" t="s">
        <v>21</v>
      </c>
      <c r="I587" s="4"/>
      <c r="J587" s="3" t="s">
        <v>21</v>
      </c>
      <c r="K587" s="3" t="s">
        <v>21</v>
      </c>
      <c r="L587" s="3" t="s">
        <v>21</v>
      </c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2.75" x14ac:dyDescent="0.2">
      <c r="A588" s="4" t="s">
        <v>21</v>
      </c>
      <c r="B588" s="5" t="s">
        <v>21</v>
      </c>
      <c r="C588" s="4"/>
      <c r="D588" s="4"/>
      <c r="E588" s="4"/>
      <c r="F588" s="4"/>
      <c r="G588" s="4" t="s">
        <v>21</v>
      </c>
      <c r="H588" s="4" t="s">
        <v>21</v>
      </c>
      <c r="I588" s="4"/>
      <c r="J588" s="3" t="s">
        <v>21</v>
      </c>
      <c r="K588" s="3" t="s">
        <v>21</v>
      </c>
      <c r="L588" s="3" t="s">
        <v>21</v>
      </c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2.75" x14ac:dyDescent="0.2">
      <c r="A589" s="4" t="s">
        <v>21</v>
      </c>
      <c r="B589" s="5" t="s">
        <v>21</v>
      </c>
      <c r="C589" s="4"/>
      <c r="D589" s="4"/>
      <c r="E589" s="4"/>
      <c r="F589" s="4"/>
      <c r="G589" s="4" t="s">
        <v>21</v>
      </c>
      <c r="H589" s="4" t="s">
        <v>21</v>
      </c>
      <c r="I589" s="4"/>
      <c r="J589" s="3" t="s">
        <v>21</v>
      </c>
      <c r="K589" s="3" t="s">
        <v>21</v>
      </c>
      <c r="L589" s="3" t="s">
        <v>21</v>
      </c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2.75" x14ac:dyDescent="0.2">
      <c r="A590" s="4" t="s">
        <v>21</v>
      </c>
      <c r="B590" s="5" t="s">
        <v>21</v>
      </c>
      <c r="C590" s="4"/>
      <c r="D590" s="4"/>
      <c r="E590" s="4"/>
      <c r="F590" s="4"/>
      <c r="G590" s="4" t="s">
        <v>21</v>
      </c>
      <c r="H590" s="4" t="s">
        <v>21</v>
      </c>
      <c r="I590" s="4"/>
      <c r="J590" s="3" t="s">
        <v>21</v>
      </c>
      <c r="K590" s="3" t="s">
        <v>21</v>
      </c>
      <c r="L590" s="3" t="s">
        <v>21</v>
      </c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2.75" x14ac:dyDescent="0.2">
      <c r="A591" s="4" t="s">
        <v>21</v>
      </c>
      <c r="B591" s="5" t="s">
        <v>21</v>
      </c>
      <c r="C591" s="4"/>
      <c r="D591" s="4"/>
      <c r="E591" s="4"/>
      <c r="F591" s="4"/>
      <c r="G591" s="4" t="s">
        <v>21</v>
      </c>
      <c r="H591" s="4" t="s">
        <v>21</v>
      </c>
      <c r="I591" s="4"/>
      <c r="J591" s="3" t="s">
        <v>21</v>
      </c>
      <c r="K591" s="3" t="s">
        <v>21</v>
      </c>
      <c r="L591" s="3" t="s">
        <v>21</v>
      </c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2.75" x14ac:dyDescent="0.2">
      <c r="A592" s="4" t="s">
        <v>21</v>
      </c>
      <c r="B592" s="5" t="s">
        <v>21</v>
      </c>
      <c r="C592" s="4"/>
      <c r="D592" s="4"/>
      <c r="E592" s="4"/>
      <c r="F592" s="4"/>
      <c r="G592" s="4" t="s">
        <v>21</v>
      </c>
      <c r="H592" s="4" t="s">
        <v>21</v>
      </c>
      <c r="I592" s="4"/>
      <c r="J592" s="3" t="s">
        <v>21</v>
      </c>
      <c r="K592" s="3" t="s">
        <v>21</v>
      </c>
      <c r="L592" s="3" t="s">
        <v>21</v>
      </c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2.75" x14ac:dyDescent="0.2">
      <c r="A593" s="4" t="s">
        <v>21</v>
      </c>
      <c r="B593" s="5" t="s">
        <v>21</v>
      </c>
      <c r="C593" s="4"/>
      <c r="D593" s="4"/>
      <c r="E593" s="4"/>
      <c r="F593" s="4"/>
      <c r="G593" s="4" t="s">
        <v>21</v>
      </c>
      <c r="H593" s="4" t="s">
        <v>21</v>
      </c>
      <c r="I593" s="4"/>
      <c r="J593" s="3" t="s">
        <v>21</v>
      </c>
      <c r="K593" s="3" t="s">
        <v>21</v>
      </c>
      <c r="L593" s="3" t="s">
        <v>21</v>
      </c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2.75" x14ac:dyDescent="0.2">
      <c r="A594" s="4" t="s">
        <v>21</v>
      </c>
      <c r="B594" s="5" t="s">
        <v>21</v>
      </c>
      <c r="C594" s="4"/>
      <c r="D594" s="4"/>
      <c r="E594" s="4"/>
      <c r="F594" s="4"/>
      <c r="G594" s="4" t="s">
        <v>21</v>
      </c>
      <c r="H594" s="4" t="s">
        <v>21</v>
      </c>
      <c r="I594" s="4"/>
      <c r="J594" s="3" t="s">
        <v>21</v>
      </c>
      <c r="K594" s="3" t="s">
        <v>21</v>
      </c>
      <c r="L594" s="3" t="s">
        <v>21</v>
      </c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2.75" x14ac:dyDescent="0.2">
      <c r="A595" s="4" t="s">
        <v>21</v>
      </c>
      <c r="B595" s="5" t="s">
        <v>21</v>
      </c>
      <c r="C595" s="4"/>
      <c r="D595" s="4"/>
      <c r="E595" s="4"/>
      <c r="F595" s="4"/>
      <c r="G595" s="4" t="s">
        <v>21</v>
      </c>
      <c r="H595" s="4" t="s">
        <v>21</v>
      </c>
      <c r="I595" s="4"/>
      <c r="J595" s="3" t="s">
        <v>21</v>
      </c>
      <c r="K595" s="3" t="s">
        <v>21</v>
      </c>
      <c r="L595" s="3" t="s">
        <v>21</v>
      </c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2.75" x14ac:dyDescent="0.2">
      <c r="A596" s="4" t="s">
        <v>21</v>
      </c>
      <c r="B596" s="5" t="s">
        <v>21</v>
      </c>
      <c r="C596" s="4"/>
      <c r="D596" s="4"/>
      <c r="E596" s="4"/>
      <c r="F596" s="4"/>
      <c r="G596" s="4" t="s">
        <v>21</v>
      </c>
      <c r="H596" s="4" t="s">
        <v>21</v>
      </c>
      <c r="I596" s="4"/>
      <c r="J596" s="3" t="s">
        <v>21</v>
      </c>
      <c r="K596" s="3" t="s">
        <v>21</v>
      </c>
      <c r="L596" s="3" t="s">
        <v>21</v>
      </c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2.75" x14ac:dyDescent="0.2">
      <c r="A597" s="4" t="s">
        <v>21</v>
      </c>
      <c r="B597" s="5" t="s">
        <v>21</v>
      </c>
      <c r="C597" s="4"/>
      <c r="D597" s="4"/>
      <c r="E597" s="4"/>
      <c r="F597" s="4"/>
      <c r="G597" s="4" t="s">
        <v>21</v>
      </c>
      <c r="H597" s="4" t="s">
        <v>21</v>
      </c>
      <c r="I597" s="4"/>
      <c r="J597" s="3" t="s">
        <v>21</v>
      </c>
      <c r="K597" s="3" t="s">
        <v>21</v>
      </c>
      <c r="L597" s="3" t="s">
        <v>21</v>
      </c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2.75" x14ac:dyDescent="0.2">
      <c r="A598" s="4" t="s">
        <v>21</v>
      </c>
      <c r="B598" s="5" t="s">
        <v>21</v>
      </c>
      <c r="C598" s="4"/>
      <c r="D598" s="4"/>
      <c r="E598" s="4"/>
      <c r="F598" s="4"/>
      <c r="G598" s="4" t="s">
        <v>21</v>
      </c>
      <c r="H598" s="4" t="s">
        <v>21</v>
      </c>
      <c r="I598" s="4"/>
      <c r="J598" s="3" t="s">
        <v>21</v>
      </c>
      <c r="K598" s="3" t="s">
        <v>21</v>
      </c>
      <c r="L598" s="3" t="s">
        <v>21</v>
      </c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2.75" x14ac:dyDescent="0.2">
      <c r="A599" s="4" t="s">
        <v>21</v>
      </c>
      <c r="B599" s="5" t="s">
        <v>21</v>
      </c>
      <c r="C599" s="4"/>
      <c r="D599" s="4"/>
      <c r="E599" s="4"/>
      <c r="F599" s="4"/>
      <c r="G599" s="4" t="s">
        <v>21</v>
      </c>
      <c r="H599" s="4" t="s">
        <v>21</v>
      </c>
      <c r="I599" s="4"/>
      <c r="J599" s="3" t="s">
        <v>21</v>
      </c>
      <c r="K599" s="3" t="s">
        <v>21</v>
      </c>
      <c r="L599" s="3" t="s">
        <v>21</v>
      </c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2.75" x14ac:dyDescent="0.2">
      <c r="A600" s="4" t="s">
        <v>21</v>
      </c>
      <c r="B600" s="5" t="s">
        <v>21</v>
      </c>
      <c r="C600" s="4"/>
      <c r="D600" s="4"/>
      <c r="E600" s="4"/>
      <c r="F600" s="4"/>
      <c r="G600" s="4" t="s">
        <v>21</v>
      </c>
      <c r="H600" s="4" t="s">
        <v>21</v>
      </c>
      <c r="I600" s="4"/>
      <c r="J600" s="3" t="s">
        <v>21</v>
      </c>
      <c r="K600" s="3" t="s">
        <v>21</v>
      </c>
      <c r="L600" s="3" t="s">
        <v>21</v>
      </c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2.75" x14ac:dyDescent="0.2">
      <c r="A601" s="4" t="s">
        <v>21</v>
      </c>
      <c r="B601" s="5" t="s">
        <v>21</v>
      </c>
      <c r="C601" s="4"/>
      <c r="D601" s="4"/>
      <c r="E601" s="4"/>
      <c r="F601" s="4"/>
      <c r="G601" s="4" t="s">
        <v>21</v>
      </c>
      <c r="H601" s="4" t="s">
        <v>21</v>
      </c>
      <c r="I601" s="4"/>
      <c r="J601" s="3" t="s">
        <v>21</v>
      </c>
      <c r="K601" s="3" t="s">
        <v>21</v>
      </c>
      <c r="L601" s="3" t="s">
        <v>21</v>
      </c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2.75" x14ac:dyDescent="0.2">
      <c r="A602" s="4" t="s">
        <v>21</v>
      </c>
      <c r="B602" s="5" t="s">
        <v>21</v>
      </c>
      <c r="C602" s="4"/>
      <c r="D602" s="4"/>
      <c r="E602" s="4"/>
      <c r="F602" s="4"/>
      <c r="G602" s="4" t="s">
        <v>21</v>
      </c>
      <c r="H602" s="4" t="s">
        <v>21</v>
      </c>
      <c r="I602" s="4"/>
      <c r="J602" s="3" t="s">
        <v>21</v>
      </c>
      <c r="K602" s="3" t="s">
        <v>21</v>
      </c>
      <c r="L602" s="3" t="s">
        <v>21</v>
      </c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2.75" x14ac:dyDescent="0.2">
      <c r="A603" s="4" t="s">
        <v>21</v>
      </c>
      <c r="B603" s="5" t="s">
        <v>21</v>
      </c>
      <c r="C603" s="4"/>
      <c r="D603" s="4"/>
      <c r="E603" s="4"/>
      <c r="F603" s="4"/>
      <c r="G603" s="4" t="s">
        <v>21</v>
      </c>
      <c r="H603" s="4" t="s">
        <v>21</v>
      </c>
      <c r="I603" s="4"/>
      <c r="J603" s="3" t="s">
        <v>21</v>
      </c>
      <c r="K603" s="3" t="s">
        <v>21</v>
      </c>
      <c r="L603" s="3" t="s">
        <v>21</v>
      </c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2.75" x14ac:dyDescent="0.2">
      <c r="A604" s="4" t="s">
        <v>21</v>
      </c>
      <c r="B604" s="5" t="s">
        <v>21</v>
      </c>
      <c r="C604" s="4"/>
      <c r="D604" s="4"/>
      <c r="E604" s="4"/>
      <c r="F604" s="4"/>
      <c r="G604" s="4" t="s">
        <v>21</v>
      </c>
      <c r="H604" s="4" t="s">
        <v>21</v>
      </c>
      <c r="I604" s="4"/>
      <c r="J604" s="3" t="s">
        <v>21</v>
      </c>
      <c r="K604" s="3" t="s">
        <v>21</v>
      </c>
      <c r="L604" s="3" t="s">
        <v>21</v>
      </c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2.75" x14ac:dyDescent="0.2">
      <c r="A605" s="4" t="s">
        <v>21</v>
      </c>
      <c r="B605" s="5" t="s">
        <v>21</v>
      </c>
      <c r="C605" s="4"/>
      <c r="D605" s="4"/>
      <c r="E605" s="4"/>
      <c r="F605" s="4"/>
      <c r="G605" s="4" t="s">
        <v>21</v>
      </c>
      <c r="H605" s="4" t="s">
        <v>21</v>
      </c>
      <c r="I605" s="4"/>
      <c r="J605" s="3" t="s">
        <v>21</v>
      </c>
      <c r="K605" s="3" t="s">
        <v>21</v>
      </c>
      <c r="L605" s="3" t="s">
        <v>21</v>
      </c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2.75" x14ac:dyDescent="0.2">
      <c r="A606" s="4" t="s">
        <v>21</v>
      </c>
      <c r="B606" s="5" t="s">
        <v>21</v>
      </c>
      <c r="C606" s="4"/>
      <c r="D606" s="4"/>
      <c r="E606" s="4"/>
      <c r="F606" s="4"/>
      <c r="G606" s="4" t="s">
        <v>21</v>
      </c>
      <c r="H606" s="4" t="s">
        <v>21</v>
      </c>
      <c r="I606" s="4"/>
      <c r="J606" s="3" t="s">
        <v>21</v>
      </c>
      <c r="K606" s="3" t="s">
        <v>21</v>
      </c>
      <c r="L606" s="3" t="s">
        <v>21</v>
      </c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2.75" x14ac:dyDescent="0.2">
      <c r="A607" s="4" t="s">
        <v>21</v>
      </c>
      <c r="B607" s="5" t="s">
        <v>21</v>
      </c>
      <c r="C607" s="4"/>
      <c r="D607" s="4"/>
      <c r="E607" s="4"/>
      <c r="F607" s="4"/>
      <c r="G607" s="4" t="s">
        <v>21</v>
      </c>
      <c r="H607" s="4" t="s">
        <v>21</v>
      </c>
      <c r="I607" s="4"/>
      <c r="J607" s="3" t="s">
        <v>21</v>
      </c>
      <c r="K607" s="3" t="s">
        <v>21</v>
      </c>
      <c r="L607" s="3" t="s">
        <v>21</v>
      </c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2.75" x14ac:dyDescent="0.2">
      <c r="A608" s="4" t="s">
        <v>21</v>
      </c>
      <c r="B608" s="5" t="s">
        <v>21</v>
      </c>
      <c r="C608" s="4"/>
      <c r="D608" s="4"/>
      <c r="E608" s="4"/>
      <c r="F608" s="4"/>
      <c r="G608" s="4" t="s">
        <v>21</v>
      </c>
      <c r="H608" s="4" t="s">
        <v>21</v>
      </c>
      <c r="I608" s="4"/>
      <c r="J608" s="3" t="s">
        <v>21</v>
      </c>
      <c r="K608" s="3" t="s">
        <v>21</v>
      </c>
      <c r="L608" s="3" t="s">
        <v>21</v>
      </c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2.75" x14ac:dyDescent="0.2">
      <c r="A609" s="4" t="s">
        <v>21</v>
      </c>
      <c r="B609" s="5" t="s">
        <v>21</v>
      </c>
      <c r="C609" s="4"/>
      <c r="D609" s="4"/>
      <c r="E609" s="4"/>
      <c r="F609" s="4"/>
      <c r="G609" s="4" t="s">
        <v>21</v>
      </c>
      <c r="H609" s="4" t="s">
        <v>21</v>
      </c>
      <c r="I609" s="4"/>
      <c r="J609" s="3" t="s">
        <v>21</v>
      </c>
      <c r="K609" s="3" t="s">
        <v>21</v>
      </c>
      <c r="L609" s="3" t="s">
        <v>21</v>
      </c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2.75" x14ac:dyDescent="0.2">
      <c r="A610" s="4" t="s">
        <v>21</v>
      </c>
      <c r="B610" s="5" t="s">
        <v>21</v>
      </c>
      <c r="C610" s="4"/>
      <c r="D610" s="4"/>
      <c r="E610" s="4"/>
      <c r="F610" s="4"/>
      <c r="G610" s="4" t="s">
        <v>21</v>
      </c>
      <c r="H610" s="4" t="s">
        <v>21</v>
      </c>
      <c r="I610" s="4"/>
      <c r="J610" s="3" t="s">
        <v>21</v>
      </c>
      <c r="K610" s="3" t="s">
        <v>21</v>
      </c>
      <c r="L610" s="3" t="s">
        <v>21</v>
      </c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2.75" x14ac:dyDescent="0.2">
      <c r="A611" s="4" t="s">
        <v>21</v>
      </c>
      <c r="B611" s="5" t="s">
        <v>21</v>
      </c>
      <c r="C611" s="4"/>
      <c r="D611" s="4"/>
      <c r="E611" s="4"/>
      <c r="F611" s="4"/>
      <c r="G611" s="4" t="s">
        <v>21</v>
      </c>
      <c r="H611" s="4" t="s">
        <v>21</v>
      </c>
      <c r="I611" s="4"/>
      <c r="J611" s="3" t="s">
        <v>21</v>
      </c>
      <c r="K611" s="3" t="s">
        <v>21</v>
      </c>
      <c r="L611" s="3" t="s">
        <v>21</v>
      </c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2.75" x14ac:dyDescent="0.2">
      <c r="A612" s="4" t="s">
        <v>21</v>
      </c>
      <c r="B612" s="5" t="s">
        <v>21</v>
      </c>
      <c r="C612" s="4"/>
      <c r="D612" s="4"/>
      <c r="E612" s="4"/>
      <c r="F612" s="4"/>
      <c r="G612" s="4" t="s">
        <v>21</v>
      </c>
      <c r="H612" s="4" t="s">
        <v>21</v>
      </c>
      <c r="I612" s="4"/>
      <c r="J612" s="3" t="s">
        <v>21</v>
      </c>
      <c r="K612" s="3" t="s">
        <v>21</v>
      </c>
      <c r="L612" s="3" t="s">
        <v>21</v>
      </c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2.75" x14ac:dyDescent="0.2">
      <c r="A613" s="4" t="s">
        <v>21</v>
      </c>
      <c r="B613" s="5" t="s">
        <v>21</v>
      </c>
      <c r="C613" s="4"/>
      <c r="D613" s="4"/>
      <c r="E613" s="4"/>
      <c r="F613" s="4"/>
      <c r="G613" s="4" t="s">
        <v>21</v>
      </c>
      <c r="H613" s="4" t="s">
        <v>21</v>
      </c>
      <c r="I613" s="4"/>
      <c r="J613" s="3" t="s">
        <v>21</v>
      </c>
      <c r="K613" s="3" t="s">
        <v>21</v>
      </c>
      <c r="L613" s="3" t="s">
        <v>21</v>
      </c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2.75" x14ac:dyDescent="0.2">
      <c r="A614" s="4" t="s">
        <v>21</v>
      </c>
      <c r="B614" s="5" t="s">
        <v>21</v>
      </c>
      <c r="C614" s="4"/>
      <c r="D614" s="4"/>
      <c r="E614" s="4"/>
      <c r="F614" s="4"/>
      <c r="G614" s="4" t="s">
        <v>21</v>
      </c>
      <c r="H614" s="4" t="s">
        <v>21</v>
      </c>
      <c r="I614" s="4"/>
      <c r="J614" s="3" t="s">
        <v>21</v>
      </c>
      <c r="K614" s="3" t="s">
        <v>21</v>
      </c>
      <c r="L614" s="3" t="s">
        <v>21</v>
      </c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2.75" x14ac:dyDescent="0.2">
      <c r="A615" s="4" t="s">
        <v>21</v>
      </c>
      <c r="B615" s="5" t="s">
        <v>21</v>
      </c>
      <c r="C615" s="4"/>
      <c r="D615" s="4"/>
      <c r="E615" s="4"/>
      <c r="F615" s="4"/>
      <c r="G615" s="4" t="s">
        <v>21</v>
      </c>
      <c r="H615" s="4" t="s">
        <v>21</v>
      </c>
      <c r="I615" s="4"/>
      <c r="J615" s="3" t="s">
        <v>21</v>
      </c>
      <c r="K615" s="3" t="s">
        <v>21</v>
      </c>
      <c r="L615" s="3" t="s">
        <v>21</v>
      </c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2.75" x14ac:dyDescent="0.2">
      <c r="A616" s="4" t="s">
        <v>21</v>
      </c>
      <c r="B616" s="5" t="s">
        <v>21</v>
      </c>
      <c r="C616" s="4"/>
      <c r="D616" s="4"/>
      <c r="E616" s="4"/>
      <c r="F616" s="4"/>
      <c r="G616" s="4" t="s">
        <v>21</v>
      </c>
      <c r="H616" s="4" t="s">
        <v>21</v>
      </c>
      <c r="I616" s="4"/>
      <c r="J616" s="3" t="s">
        <v>21</v>
      </c>
      <c r="K616" s="3" t="s">
        <v>21</v>
      </c>
      <c r="L616" s="3" t="s">
        <v>21</v>
      </c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2.75" x14ac:dyDescent="0.2">
      <c r="A617" s="4" t="s">
        <v>21</v>
      </c>
      <c r="B617" s="5" t="s">
        <v>21</v>
      </c>
      <c r="C617" s="4"/>
      <c r="D617" s="4"/>
      <c r="E617" s="4"/>
      <c r="F617" s="4"/>
      <c r="G617" s="4" t="s">
        <v>21</v>
      </c>
      <c r="H617" s="4" t="s">
        <v>21</v>
      </c>
      <c r="I617" s="4"/>
      <c r="J617" s="3" t="s">
        <v>21</v>
      </c>
      <c r="K617" s="3" t="s">
        <v>21</v>
      </c>
      <c r="L617" s="3" t="s">
        <v>21</v>
      </c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2.75" x14ac:dyDescent="0.2">
      <c r="A618" s="4" t="s">
        <v>21</v>
      </c>
      <c r="B618" s="5" t="s">
        <v>21</v>
      </c>
      <c r="C618" s="4"/>
      <c r="D618" s="4"/>
      <c r="E618" s="4"/>
      <c r="F618" s="4"/>
      <c r="G618" s="4" t="s">
        <v>21</v>
      </c>
      <c r="H618" s="4" t="s">
        <v>21</v>
      </c>
      <c r="I618" s="4"/>
      <c r="J618" s="3" t="s">
        <v>21</v>
      </c>
      <c r="K618" s="3" t="s">
        <v>21</v>
      </c>
      <c r="L618" s="3" t="s">
        <v>21</v>
      </c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2.75" x14ac:dyDescent="0.2">
      <c r="A619" s="4" t="s">
        <v>21</v>
      </c>
      <c r="B619" s="5" t="s">
        <v>21</v>
      </c>
      <c r="C619" s="4"/>
      <c r="D619" s="4"/>
      <c r="E619" s="4"/>
      <c r="F619" s="4"/>
      <c r="G619" s="4" t="s">
        <v>21</v>
      </c>
      <c r="H619" s="4" t="s">
        <v>21</v>
      </c>
      <c r="I619" s="4"/>
      <c r="J619" s="3" t="s">
        <v>21</v>
      </c>
      <c r="K619" s="3" t="s">
        <v>21</v>
      </c>
      <c r="L619" s="3" t="s">
        <v>21</v>
      </c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2.75" x14ac:dyDescent="0.2">
      <c r="A620" s="4" t="s">
        <v>21</v>
      </c>
      <c r="B620" s="5" t="s">
        <v>21</v>
      </c>
      <c r="C620" s="4"/>
      <c r="D620" s="4"/>
      <c r="E620" s="4"/>
      <c r="F620" s="4"/>
      <c r="G620" s="4" t="s">
        <v>21</v>
      </c>
      <c r="H620" s="4" t="s">
        <v>21</v>
      </c>
      <c r="I620" s="4"/>
      <c r="J620" s="3" t="s">
        <v>21</v>
      </c>
      <c r="K620" s="3" t="s">
        <v>21</v>
      </c>
      <c r="L620" s="3" t="s">
        <v>21</v>
      </c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2.75" x14ac:dyDescent="0.2">
      <c r="A621" s="4" t="s">
        <v>21</v>
      </c>
      <c r="B621" s="5" t="s">
        <v>21</v>
      </c>
      <c r="C621" s="4"/>
      <c r="D621" s="4"/>
      <c r="E621" s="4"/>
      <c r="F621" s="4"/>
      <c r="G621" s="4" t="s">
        <v>21</v>
      </c>
      <c r="H621" s="4" t="s">
        <v>21</v>
      </c>
      <c r="I621" s="4"/>
      <c r="J621" s="3" t="s">
        <v>21</v>
      </c>
      <c r="K621" s="3" t="s">
        <v>21</v>
      </c>
      <c r="L621" s="3" t="s">
        <v>21</v>
      </c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2.75" x14ac:dyDescent="0.2">
      <c r="A622" s="4" t="s">
        <v>21</v>
      </c>
      <c r="B622" s="5" t="s">
        <v>21</v>
      </c>
      <c r="C622" s="4"/>
      <c r="D622" s="4"/>
      <c r="E622" s="4"/>
      <c r="F622" s="4"/>
      <c r="G622" s="4" t="s">
        <v>21</v>
      </c>
      <c r="H622" s="4" t="s">
        <v>21</v>
      </c>
      <c r="I622" s="4"/>
      <c r="J622" s="3" t="s">
        <v>21</v>
      </c>
      <c r="K622" s="3" t="s">
        <v>21</v>
      </c>
      <c r="L622" s="3" t="s">
        <v>21</v>
      </c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2.75" x14ac:dyDescent="0.2">
      <c r="A623" s="4" t="s">
        <v>21</v>
      </c>
      <c r="B623" s="5" t="s">
        <v>21</v>
      </c>
      <c r="C623" s="4"/>
      <c r="D623" s="4"/>
      <c r="E623" s="4"/>
      <c r="F623" s="4"/>
      <c r="G623" s="4" t="s">
        <v>21</v>
      </c>
      <c r="H623" s="4" t="s">
        <v>21</v>
      </c>
      <c r="I623" s="4"/>
      <c r="J623" s="3" t="s">
        <v>21</v>
      </c>
      <c r="K623" s="3" t="s">
        <v>21</v>
      </c>
      <c r="L623" s="3" t="s">
        <v>21</v>
      </c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2.75" x14ac:dyDescent="0.2">
      <c r="A624" s="4" t="s">
        <v>21</v>
      </c>
      <c r="B624" s="5" t="s">
        <v>21</v>
      </c>
      <c r="C624" s="4"/>
      <c r="D624" s="4"/>
      <c r="E624" s="4"/>
      <c r="F624" s="4"/>
      <c r="G624" s="4" t="s">
        <v>21</v>
      </c>
      <c r="H624" s="4" t="s">
        <v>21</v>
      </c>
      <c r="I624" s="4"/>
      <c r="J624" s="3" t="s">
        <v>21</v>
      </c>
      <c r="K624" s="3" t="s">
        <v>21</v>
      </c>
      <c r="L624" s="3" t="s">
        <v>21</v>
      </c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2.75" x14ac:dyDescent="0.2">
      <c r="A625" s="4" t="s">
        <v>21</v>
      </c>
      <c r="B625" s="5" t="s">
        <v>21</v>
      </c>
      <c r="C625" s="4"/>
      <c r="D625" s="4"/>
      <c r="E625" s="4"/>
      <c r="F625" s="4"/>
      <c r="G625" s="4" t="s">
        <v>21</v>
      </c>
      <c r="H625" s="4" t="s">
        <v>21</v>
      </c>
      <c r="I625" s="4"/>
      <c r="J625" s="3" t="s">
        <v>21</v>
      </c>
      <c r="K625" s="3" t="s">
        <v>21</v>
      </c>
      <c r="L625" s="3" t="s">
        <v>21</v>
      </c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2.75" x14ac:dyDescent="0.2">
      <c r="A626" s="4" t="s">
        <v>21</v>
      </c>
      <c r="B626" s="5" t="s">
        <v>21</v>
      </c>
      <c r="C626" s="4"/>
      <c r="D626" s="4"/>
      <c r="E626" s="4"/>
      <c r="F626" s="4"/>
      <c r="G626" s="4" t="s">
        <v>21</v>
      </c>
      <c r="H626" s="4" t="s">
        <v>21</v>
      </c>
      <c r="I626" s="4"/>
      <c r="J626" s="3" t="s">
        <v>21</v>
      </c>
      <c r="K626" s="3" t="s">
        <v>21</v>
      </c>
      <c r="L626" s="3" t="s">
        <v>21</v>
      </c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2.75" x14ac:dyDescent="0.2">
      <c r="A627" s="4" t="s">
        <v>21</v>
      </c>
      <c r="B627" s="5" t="s">
        <v>21</v>
      </c>
      <c r="C627" s="4"/>
      <c r="D627" s="4"/>
      <c r="E627" s="4"/>
      <c r="F627" s="4"/>
      <c r="G627" s="4" t="s">
        <v>21</v>
      </c>
      <c r="H627" s="4" t="s">
        <v>21</v>
      </c>
      <c r="I627" s="4"/>
      <c r="J627" s="3" t="s">
        <v>21</v>
      </c>
      <c r="K627" s="3" t="s">
        <v>21</v>
      </c>
      <c r="L627" s="3" t="s">
        <v>21</v>
      </c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2.75" x14ac:dyDescent="0.2">
      <c r="A628" s="4" t="s">
        <v>21</v>
      </c>
      <c r="B628" s="5" t="s">
        <v>21</v>
      </c>
      <c r="C628" s="4"/>
      <c r="D628" s="4"/>
      <c r="E628" s="4"/>
      <c r="F628" s="4"/>
      <c r="G628" s="4" t="s">
        <v>21</v>
      </c>
      <c r="H628" s="4" t="s">
        <v>21</v>
      </c>
      <c r="I628" s="4"/>
      <c r="J628" s="3" t="s">
        <v>21</v>
      </c>
      <c r="K628" s="3" t="s">
        <v>21</v>
      </c>
      <c r="L628" s="3" t="s">
        <v>21</v>
      </c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2.75" x14ac:dyDescent="0.2">
      <c r="A629" s="4" t="s">
        <v>21</v>
      </c>
      <c r="B629" s="5" t="s">
        <v>21</v>
      </c>
      <c r="C629" s="4"/>
      <c r="D629" s="4"/>
      <c r="E629" s="4"/>
      <c r="F629" s="4"/>
      <c r="G629" s="4" t="s">
        <v>21</v>
      </c>
      <c r="H629" s="4" t="s">
        <v>21</v>
      </c>
      <c r="I629" s="4"/>
      <c r="J629" s="3" t="s">
        <v>21</v>
      </c>
      <c r="K629" s="3" t="s">
        <v>21</v>
      </c>
      <c r="L629" s="3" t="s">
        <v>21</v>
      </c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2.75" x14ac:dyDescent="0.2">
      <c r="A630" s="4" t="s">
        <v>21</v>
      </c>
      <c r="B630" s="5" t="s">
        <v>21</v>
      </c>
      <c r="C630" s="4"/>
      <c r="D630" s="4"/>
      <c r="E630" s="4"/>
      <c r="F630" s="4"/>
      <c r="G630" s="4" t="s">
        <v>21</v>
      </c>
      <c r="H630" s="4" t="s">
        <v>21</v>
      </c>
      <c r="I630" s="4"/>
      <c r="J630" s="3" t="s">
        <v>21</v>
      </c>
      <c r="K630" s="3" t="s">
        <v>21</v>
      </c>
      <c r="L630" s="3" t="s">
        <v>21</v>
      </c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2.75" x14ac:dyDescent="0.2">
      <c r="A631" s="4" t="s">
        <v>21</v>
      </c>
      <c r="B631" s="5" t="s">
        <v>21</v>
      </c>
      <c r="C631" s="4"/>
      <c r="D631" s="4"/>
      <c r="E631" s="4"/>
      <c r="F631" s="4"/>
      <c r="G631" s="4" t="s">
        <v>21</v>
      </c>
      <c r="H631" s="4" t="s">
        <v>21</v>
      </c>
      <c r="I631" s="4"/>
      <c r="J631" s="3" t="s">
        <v>21</v>
      </c>
      <c r="K631" s="3" t="s">
        <v>21</v>
      </c>
      <c r="L631" s="3" t="s">
        <v>21</v>
      </c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2.75" x14ac:dyDescent="0.2">
      <c r="A632" s="4" t="s">
        <v>21</v>
      </c>
      <c r="B632" s="5" t="s">
        <v>21</v>
      </c>
      <c r="C632" s="4"/>
      <c r="D632" s="4"/>
      <c r="E632" s="4"/>
      <c r="F632" s="4"/>
      <c r="G632" s="4" t="s">
        <v>21</v>
      </c>
      <c r="H632" s="4" t="s">
        <v>21</v>
      </c>
      <c r="I632" s="4"/>
      <c r="J632" s="3" t="s">
        <v>21</v>
      </c>
      <c r="K632" s="3" t="s">
        <v>21</v>
      </c>
      <c r="L632" s="3" t="s">
        <v>21</v>
      </c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2.75" x14ac:dyDescent="0.2">
      <c r="A633" s="4" t="s">
        <v>21</v>
      </c>
      <c r="B633" s="5" t="s">
        <v>21</v>
      </c>
      <c r="C633" s="4"/>
      <c r="D633" s="4"/>
      <c r="E633" s="4"/>
      <c r="F633" s="4"/>
      <c r="G633" s="4" t="s">
        <v>21</v>
      </c>
      <c r="H633" s="4" t="s">
        <v>21</v>
      </c>
      <c r="I633" s="4"/>
      <c r="J633" s="3" t="s">
        <v>21</v>
      </c>
      <c r="K633" s="3" t="s">
        <v>21</v>
      </c>
      <c r="L633" s="3" t="s">
        <v>21</v>
      </c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2.75" x14ac:dyDescent="0.2">
      <c r="A634" s="4" t="s">
        <v>21</v>
      </c>
      <c r="B634" s="5" t="s">
        <v>21</v>
      </c>
      <c r="C634" s="4"/>
      <c r="D634" s="4"/>
      <c r="E634" s="4"/>
      <c r="F634" s="4"/>
      <c r="G634" s="4" t="s">
        <v>21</v>
      </c>
      <c r="H634" s="4" t="s">
        <v>21</v>
      </c>
      <c r="I634" s="4"/>
      <c r="J634" s="3" t="s">
        <v>21</v>
      </c>
      <c r="K634" s="3" t="s">
        <v>21</v>
      </c>
      <c r="L634" s="3" t="s">
        <v>21</v>
      </c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2.75" x14ac:dyDescent="0.2">
      <c r="A635" s="4" t="s">
        <v>21</v>
      </c>
      <c r="B635" s="5" t="s">
        <v>21</v>
      </c>
      <c r="C635" s="4"/>
      <c r="D635" s="4"/>
      <c r="E635" s="4"/>
      <c r="F635" s="4"/>
      <c r="G635" s="4" t="s">
        <v>21</v>
      </c>
      <c r="H635" s="4" t="s">
        <v>21</v>
      </c>
      <c r="I635" s="4"/>
      <c r="J635" s="3" t="s">
        <v>21</v>
      </c>
      <c r="K635" s="3" t="s">
        <v>21</v>
      </c>
      <c r="L635" s="3" t="s">
        <v>21</v>
      </c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2.75" x14ac:dyDescent="0.2">
      <c r="A636" s="4" t="s">
        <v>21</v>
      </c>
      <c r="B636" s="5" t="s">
        <v>21</v>
      </c>
      <c r="C636" s="4"/>
      <c r="D636" s="4"/>
      <c r="E636" s="4"/>
      <c r="F636" s="4"/>
      <c r="G636" s="4" t="s">
        <v>21</v>
      </c>
      <c r="H636" s="4" t="s">
        <v>21</v>
      </c>
      <c r="I636" s="4"/>
      <c r="J636" s="3" t="s">
        <v>21</v>
      </c>
      <c r="K636" s="3" t="s">
        <v>21</v>
      </c>
      <c r="L636" s="3" t="s">
        <v>21</v>
      </c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2.75" x14ac:dyDescent="0.2">
      <c r="A637" s="4" t="s">
        <v>21</v>
      </c>
      <c r="B637" s="5" t="s">
        <v>21</v>
      </c>
      <c r="C637" s="4"/>
      <c r="D637" s="4"/>
      <c r="E637" s="4"/>
      <c r="F637" s="4"/>
      <c r="G637" s="4" t="s">
        <v>21</v>
      </c>
      <c r="H637" s="4" t="s">
        <v>21</v>
      </c>
      <c r="I637" s="4"/>
      <c r="J637" s="3" t="s">
        <v>21</v>
      </c>
      <c r="K637" s="3" t="s">
        <v>21</v>
      </c>
      <c r="L637" s="3" t="s">
        <v>21</v>
      </c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2.75" x14ac:dyDescent="0.2">
      <c r="A638" s="4" t="s">
        <v>21</v>
      </c>
      <c r="B638" s="5" t="s">
        <v>21</v>
      </c>
      <c r="C638" s="4"/>
      <c r="D638" s="4"/>
      <c r="E638" s="4"/>
      <c r="F638" s="4"/>
      <c r="G638" s="4" t="s">
        <v>21</v>
      </c>
      <c r="H638" s="4" t="s">
        <v>21</v>
      </c>
      <c r="I638" s="4"/>
      <c r="J638" s="3" t="s">
        <v>21</v>
      </c>
      <c r="K638" s="3" t="s">
        <v>21</v>
      </c>
      <c r="L638" s="3" t="s">
        <v>21</v>
      </c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2.75" x14ac:dyDescent="0.2">
      <c r="A639" s="4" t="s">
        <v>21</v>
      </c>
      <c r="B639" s="5" t="s">
        <v>21</v>
      </c>
      <c r="C639" s="4"/>
      <c r="D639" s="4"/>
      <c r="E639" s="4"/>
      <c r="F639" s="4"/>
      <c r="G639" s="4" t="s">
        <v>21</v>
      </c>
      <c r="H639" s="4" t="s">
        <v>21</v>
      </c>
      <c r="I639" s="4"/>
      <c r="J639" s="3" t="s">
        <v>21</v>
      </c>
      <c r="K639" s="3" t="s">
        <v>21</v>
      </c>
      <c r="L639" s="3" t="s">
        <v>21</v>
      </c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2.75" x14ac:dyDescent="0.2">
      <c r="A640" s="4" t="s">
        <v>21</v>
      </c>
      <c r="B640" s="5" t="s">
        <v>21</v>
      </c>
      <c r="C640" s="4"/>
      <c r="D640" s="4"/>
      <c r="E640" s="4"/>
      <c r="F640" s="4"/>
      <c r="G640" s="4" t="s">
        <v>21</v>
      </c>
      <c r="H640" s="4" t="s">
        <v>21</v>
      </c>
      <c r="I640" s="4"/>
      <c r="J640" s="3" t="s">
        <v>21</v>
      </c>
      <c r="K640" s="3" t="s">
        <v>21</v>
      </c>
      <c r="L640" s="3" t="s">
        <v>21</v>
      </c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2.75" x14ac:dyDescent="0.2">
      <c r="A641" s="4" t="s">
        <v>21</v>
      </c>
      <c r="B641" s="5" t="s">
        <v>21</v>
      </c>
      <c r="C641" s="4"/>
      <c r="D641" s="4"/>
      <c r="E641" s="4"/>
      <c r="F641" s="4"/>
      <c r="G641" s="4" t="s">
        <v>21</v>
      </c>
      <c r="H641" s="4" t="s">
        <v>21</v>
      </c>
      <c r="I641" s="4"/>
      <c r="J641" s="3" t="s">
        <v>21</v>
      </c>
      <c r="K641" s="3" t="s">
        <v>21</v>
      </c>
      <c r="L641" s="3" t="s">
        <v>21</v>
      </c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2.75" x14ac:dyDescent="0.2">
      <c r="A642" s="4" t="s">
        <v>21</v>
      </c>
      <c r="B642" s="5" t="s">
        <v>21</v>
      </c>
      <c r="C642" s="4"/>
      <c r="D642" s="4"/>
      <c r="E642" s="4"/>
      <c r="F642" s="4"/>
      <c r="G642" s="4" t="s">
        <v>21</v>
      </c>
      <c r="H642" s="4" t="s">
        <v>21</v>
      </c>
      <c r="I642" s="4"/>
      <c r="J642" s="3" t="s">
        <v>21</v>
      </c>
      <c r="K642" s="3" t="s">
        <v>21</v>
      </c>
      <c r="L642" s="3" t="s">
        <v>21</v>
      </c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2.75" x14ac:dyDescent="0.2">
      <c r="A643" s="4" t="s">
        <v>21</v>
      </c>
      <c r="B643" s="5" t="s">
        <v>21</v>
      </c>
      <c r="C643" s="4"/>
      <c r="D643" s="4"/>
      <c r="E643" s="4"/>
      <c r="F643" s="4"/>
      <c r="G643" s="4" t="s">
        <v>21</v>
      </c>
      <c r="H643" s="4" t="s">
        <v>21</v>
      </c>
      <c r="I643" s="4"/>
      <c r="J643" s="3" t="s">
        <v>21</v>
      </c>
      <c r="K643" s="3" t="s">
        <v>21</v>
      </c>
      <c r="L643" s="3" t="s">
        <v>21</v>
      </c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2.75" x14ac:dyDescent="0.2">
      <c r="A644" s="4" t="s">
        <v>21</v>
      </c>
      <c r="B644" s="5" t="s">
        <v>21</v>
      </c>
      <c r="C644" s="4"/>
      <c r="D644" s="4"/>
      <c r="E644" s="4"/>
      <c r="F644" s="4"/>
      <c r="G644" s="4" t="s">
        <v>21</v>
      </c>
      <c r="H644" s="4" t="s">
        <v>21</v>
      </c>
      <c r="I644" s="4"/>
      <c r="J644" s="3" t="s">
        <v>21</v>
      </c>
      <c r="K644" s="3" t="s">
        <v>21</v>
      </c>
      <c r="L644" s="3" t="s">
        <v>21</v>
      </c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2.75" x14ac:dyDescent="0.2">
      <c r="A645" s="4" t="s">
        <v>21</v>
      </c>
      <c r="B645" s="5" t="s">
        <v>21</v>
      </c>
      <c r="C645" s="4"/>
      <c r="D645" s="4"/>
      <c r="E645" s="4"/>
      <c r="F645" s="4"/>
      <c r="G645" s="4" t="s">
        <v>21</v>
      </c>
      <c r="H645" s="4" t="s">
        <v>21</v>
      </c>
      <c r="I645" s="4"/>
      <c r="J645" s="3" t="s">
        <v>21</v>
      </c>
      <c r="K645" s="3" t="s">
        <v>21</v>
      </c>
      <c r="L645" s="3" t="s">
        <v>21</v>
      </c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2.75" x14ac:dyDescent="0.2">
      <c r="A646" s="4" t="s">
        <v>21</v>
      </c>
      <c r="B646" s="5" t="s">
        <v>21</v>
      </c>
      <c r="C646" s="4"/>
      <c r="D646" s="4"/>
      <c r="E646" s="4"/>
      <c r="F646" s="4"/>
      <c r="G646" s="4" t="s">
        <v>21</v>
      </c>
      <c r="H646" s="4" t="s">
        <v>21</v>
      </c>
      <c r="I646" s="4"/>
      <c r="J646" s="3" t="s">
        <v>21</v>
      </c>
      <c r="K646" s="3" t="s">
        <v>21</v>
      </c>
      <c r="L646" s="3" t="s">
        <v>21</v>
      </c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2.75" x14ac:dyDescent="0.2">
      <c r="A647" s="4" t="s">
        <v>21</v>
      </c>
      <c r="B647" s="5" t="s">
        <v>21</v>
      </c>
      <c r="C647" s="4"/>
      <c r="D647" s="4"/>
      <c r="E647" s="4"/>
      <c r="F647" s="4"/>
      <c r="G647" s="4" t="s">
        <v>21</v>
      </c>
      <c r="H647" s="4" t="s">
        <v>21</v>
      </c>
      <c r="I647" s="4"/>
      <c r="J647" s="3" t="s">
        <v>21</v>
      </c>
      <c r="K647" s="3" t="s">
        <v>21</v>
      </c>
      <c r="L647" s="3" t="s">
        <v>21</v>
      </c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2.75" x14ac:dyDescent="0.2">
      <c r="A648" s="4" t="s">
        <v>21</v>
      </c>
      <c r="B648" s="5" t="s">
        <v>21</v>
      </c>
      <c r="C648" s="4"/>
      <c r="D648" s="4"/>
      <c r="E648" s="4"/>
      <c r="F648" s="4"/>
      <c r="G648" s="4" t="s">
        <v>21</v>
      </c>
      <c r="H648" s="4" t="s">
        <v>21</v>
      </c>
      <c r="I648" s="4"/>
      <c r="J648" s="3" t="s">
        <v>21</v>
      </c>
      <c r="K648" s="3" t="s">
        <v>21</v>
      </c>
      <c r="L648" s="3" t="s">
        <v>21</v>
      </c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2.75" x14ac:dyDescent="0.2">
      <c r="A649" s="4" t="s">
        <v>21</v>
      </c>
      <c r="B649" s="5" t="s">
        <v>21</v>
      </c>
      <c r="C649" s="4"/>
      <c r="D649" s="4"/>
      <c r="E649" s="4"/>
      <c r="F649" s="4"/>
      <c r="G649" s="4" t="s">
        <v>21</v>
      </c>
      <c r="H649" s="4" t="s">
        <v>21</v>
      </c>
      <c r="I649" s="4"/>
      <c r="J649" s="3" t="s">
        <v>21</v>
      </c>
      <c r="K649" s="3" t="s">
        <v>21</v>
      </c>
      <c r="L649" s="3" t="s">
        <v>21</v>
      </c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2.75" x14ac:dyDescent="0.2">
      <c r="A650" s="4" t="s">
        <v>21</v>
      </c>
      <c r="B650" s="5" t="s">
        <v>21</v>
      </c>
      <c r="C650" s="4"/>
      <c r="D650" s="4"/>
      <c r="E650" s="4"/>
      <c r="F650" s="4"/>
      <c r="G650" s="4" t="s">
        <v>21</v>
      </c>
      <c r="H650" s="4" t="s">
        <v>21</v>
      </c>
      <c r="I650" s="4"/>
      <c r="J650" s="3" t="s">
        <v>21</v>
      </c>
      <c r="K650" s="3" t="s">
        <v>21</v>
      </c>
      <c r="L650" s="3" t="s">
        <v>21</v>
      </c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2.75" x14ac:dyDescent="0.2">
      <c r="A651" s="4" t="s">
        <v>21</v>
      </c>
      <c r="B651" s="5" t="s">
        <v>21</v>
      </c>
      <c r="C651" s="4"/>
      <c r="D651" s="4"/>
      <c r="E651" s="4"/>
      <c r="F651" s="4"/>
      <c r="G651" s="4" t="s">
        <v>21</v>
      </c>
      <c r="H651" s="4" t="s">
        <v>21</v>
      </c>
      <c r="I651" s="4"/>
      <c r="J651" s="3" t="s">
        <v>21</v>
      </c>
      <c r="K651" s="3" t="s">
        <v>21</v>
      </c>
      <c r="L651" s="3" t="s">
        <v>21</v>
      </c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2.75" x14ac:dyDescent="0.2">
      <c r="A652" s="4" t="s">
        <v>21</v>
      </c>
      <c r="B652" s="5" t="s">
        <v>21</v>
      </c>
      <c r="C652" s="4"/>
      <c r="D652" s="4"/>
      <c r="E652" s="4"/>
      <c r="F652" s="4"/>
      <c r="G652" s="4" t="s">
        <v>21</v>
      </c>
      <c r="H652" s="4" t="s">
        <v>21</v>
      </c>
      <c r="I652" s="4"/>
      <c r="J652" s="3" t="s">
        <v>21</v>
      </c>
      <c r="K652" s="3" t="s">
        <v>21</v>
      </c>
      <c r="L652" s="3" t="s">
        <v>21</v>
      </c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2.75" x14ac:dyDescent="0.2">
      <c r="A653" s="4" t="s">
        <v>21</v>
      </c>
      <c r="B653" s="5" t="s">
        <v>21</v>
      </c>
      <c r="C653" s="4"/>
      <c r="D653" s="4"/>
      <c r="E653" s="4"/>
      <c r="F653" s="4"/>
      <c r="G653" s="4" t="s">
        <v>21</v>
      </c>
      <c r="H653" s="4" t="s">
        <v>21</v>
      </c>
      <c r="I653" s="4"/>
      <c r="J653" s="3" t="s">
        <v>21</v>
      </c>
      <c r="K653" s="3" t="s">
        <v>21</v>
      </c>
      <c r="L653" s="3" t="s">
        <v>21</v>
      </c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2.75" x14ac:dyDescent="0.2">
      <c r="A654" s="4" t="s">
        <v>21</v>
      </c>
      <c r="B654" s="5" t="s">
        <v>21</v>
      </c>
      <c r="C654" s="4"/>
      <c r="D654" s="4"/>
      <c r="E654" s="4"/>
      <c r="F654" s="4"/>
      <c r="G654" s="4" t="s">
        <v>21</v>
      </c>
      <c r="H654" s="4" t="s">
        <v>21</v>
      </c>
      <c r="I654" s="4"/>
      <c r="J654" s="3" t="s">
        <v>21</v>
      </c>
      <c r="K654" s="3" t="s">
        <v>21</v>
      </c>
      <c r="L654" s="3" t="s">
        <v>21</v>
      </c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2.75" x14ac:dyDescent="0.2">
      <c r="A655" s="4" t="s">
        <v>21</v>
      </c>
      <c r="B655" s="5" t="s">
        <v>21</v>
      </c>
      <c r="C655" s="4"/>
      <c r="D655" s="4"/>
      <c r="E655" s="4"/>
      <c r="F655" s="4"/>
      <c r="G655" s="4" t="s">
        <v>21</v>
      </c>
      <c r="H655" s="4" t="s">
        <v>21</v>
      </c>
      <c r="I655" s="4"/>
      <c r="J655" s="3" t="s">
        <v>21</v>
      </c>
      <c r="K655" s="3" t="s">
        <v>21</v>
      </c>
      <c r="L655" s="3" t="s">
        <v>21</v>
      </c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2.75" x14ac:dyDescent="0.2">
      <c r="A656" s="4" t="s">
        <v>21</v>
      </c>
      <c r="B656" s="5" t="s">
        <v>21</v>
      </c>
      <c r="C656" s="4"/>
      <c r="D656" s="4"/>
      <c r="E656" s="4"/>
      <c r="F656" s="4"/>
      <c r="G656" s="4" t="s">
        <v>21</v>
      </c>
      <c r="H656" s="4" t="s">
        <v>21</v>
      </c>
      <c r="I656" s="4"/>
      <c r="J656" s="3" t="s">
        <v>21</v>
      </c>
      <c r="K656" s="3" t="s">
        <v>21</v>
      </c>
      <c r="L656" s="3" t="s">
        <v>21</v>
      </c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2.75" x14ac:dyDescent="0.2">
      <c r="A657" s="4" t="s">
        <v>21</v>
      </c>
      <c r="B657" s="5" t="s">
        <v>21</v>
      </c>
      <c r="C657" s="4"/>
      <c r="D657" s="4"/>
      <c r="E657" s="4"/>
      <c r="F657" s="4"/>
      <c r="G657" s="4" t="s">
        <v>21</v>
      </c>
      <c r="H657" s="4" t="s">
        <v>21</v>
      </c>
      <c r="I657" s="4"/>
      <c r="J657" s="3" t="s">
        <v>21</v>
      </c>
      <c r="K657" s="3" t="s">
        <v>21</v>
      </c>
      <c r="L657" s="3" t="s">
        <v>21</v>
      </c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2.75" x14ac:dyDescent="0.2">
      <c r="A658" s="4" t="s">
        <v>21</v>
      </c>
      <c r="B658" s="5" t="s">
        <v>21</v>
      </c>
      <c r="C658" s="4"/>
      <c r="D658" s="4"/>
      <c r="E658" s="4"/>
      <c r="F658" s="4"/>
      <c r="G658" s="4" t="s">
        <v>21</v>
      </c>
      <c r="H658" s="4" t="s">
        <v>21</v>
      </c>
      <c r="I658" s="4"/>
      <c r="J658" s="3" t="s">
        <v>21</v>
      </c>
      <c r="K658" s="3" t="s">
        <v>21</v>
      </c>
      <c r="L658" s="3" t="s">
        <v>21</v>
      </c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2.75" x14ac:dyDescent="0.2">
      <c r="A659" s="4" t="s">
        <v>21</v>
      </c>
      <c r="B659" s="5" t="s">
        <v>21</v>
      </c>
      <c r="C659" s="4"/>
      <c r="D659" s="4"/>
      <c r="E659" s="4"/>
      <c r="F659" s="4"/>
      <c r="G659" s="4" t="s">
        <v>21</v>
      </c>
      <c r="H659" s="4" t="s">
        <v>21</v>
      </c>
      <c r="I659" s="4"/>
      <c r="J659" s="3" t="s">
        <v>21</v>
      </c>
      <c r="K659" s="3" t="s">
        <v>21</v>
      </c>
      <c r="L659" s="3" t="s">
        <v>21</v>
      </c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2.75" x14ac:dyDescent="0.2">
      <c r="A660" s="4" t="s">
        <v>21</v>
      </c>
      <c r="B660" s="5" t="s">
        <v>21</v>
      </c>
      <c r="C660" s="4"/>
      <c r="D660" s="4"/>
      <c r="E660" s="4"/>
      <c r="F660" s="4"/>
      <c r="G660" s="4" t="s">
        <v>21</v>
      </c>
      <c r="H660" s="4" t="s">
        <v>21</v>
      </c>
      <c r="I660" s="4"/>
      <c r="J660" s="3" t="s">
        <v>21</v>
      </c>
      <c r="K660" s="3" t="s">
        <v>21</v>
      </c>
      <c r="L660" s="3" t="s">
        <v>21</v>
      </c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2.75" x14ac:dyDescent="0.2">
      <c r="A661" s="4" t="s">
        <v>21</v>
      </c>
      <c r="B661" s="5" t="s">
        <v>21</v>
      </c>
      <c r="C661" s="4"/>
      <c r="D661" s="4"/>
      <c r="E661" s="4"/>
      <c r="F661" s="4"/>
      <c r="G661" s="4" t="s">
        <v>21</v>
      </c>
      <c r="H661" s="4" t="s">
        <v>21</v>
      </c>
      <c r="I661" s="4"/>
      <c r="J661" s="3" t="s">
        <v>21</v>
      </c>
      <c r="K661" s="3" t="s">
        <v>21</v>
      </c>
      <c r="L661" s="3" t="s">
        <v>21</v>
      </c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2.75" x14ac:dyDescent="0.2">
      <c r="A662" s="4" t="s">
        <v>21</v>
      </c>
      <c r="B662" s="5" t="s">
        <v>21</v>
      </c>
      <c r="C662" s="4"/>
      <c r="D662" s="4"/>
      <c r="E662" s="4"/>
      <c r="F662" s="4"/>
      <c r="G662" s="4" t="s">
        <v>21</v>
      </c>
      <c r="H662" s="4" t="s">
        <v>21</v>
      </c>
      <c r="I662" s="4"/>
      <c r="J662" s="3" t="s">
        <v>21</v>
      </c>
      <c r="K662" s="3" t="s">
        <v>21</v>
      </c>
      <c r="L662" s="3" t="s">
        <v>21</v>
      </c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2.75" x14ac:dyDescent="0.2">
      <c r="A663" s="4" t="s">
        <v>21</v>
      </c>
      <c r="B663" s="5" t="s">
        <v>21</v>
      </c>
      <c r="C663" s="4"/>
      <c r="D663" s="4"/>
      <c r="E663" s="4"/>
      <c r="F663" s="4"/>
      <c r="G663" s="4" t="s">
        <v>21</v>
      </c>
      <c r="H663" s="4" t="s">
        <v>21</v>
      </c>
      <c r="I663" s="4"/>
      <c r="J663" s="3" t="s">
        <v>21</v>
      </c>
      <c r="K663" s="3" t="s">
        <v>21</v>
      </c>
      <c r="L663" s="3" t="s">
        <v>21</v>
      </c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2.75" x14ac:dyDescent="0.2">
      <c r="A664" s="4" t="s">
        <v>21</v>
      </c>
      <c r="B664" s="5" t="s">
        <v>21</v>
      </c>
      <c r="C664" s="4"/>
      <c r="D664" s="4"/>
      <c r="E664" s="4"/>
      <c r="F664" s="4"/>
      <c r="G664" s="4" t="s">
        <v>21</v>
      </c>
      <c r="H664" s="4" t="s">
        <v>21</v>
      </c>
      <c r="I664" s="4"/>
      <c r="J664" s="3" t="s">
        <v>21</v>
      </c>
      <c r="K664" s="3" t="s">
        <v>21</v>
      </c>
      <c r="L664" s="3" t="s">
        <v>21</v>
      </c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2.75" x14ac:dyDescent="0.2">
      <c r="A665" s="4" t="s">
        <v>21</v>
      </c>
      <c r="B665" s="5" t="s">
        <v>21</v>
      </c>
      <c r="C665" s="4"/>
      <c r="D665" s="4"/>
      <c r="E665" s="4"/>
      <c r="F665" s="4"/>
      <c r="G665" s="4" t="s">
        <v>21</v>
      </c>
      <c r="H665" s="4" t="s">
        <v>21</v>
      </c>
      <c r="I665" s="4"/>
      <c r="J665" s="3" t="s">
        <v>21</v>
      </c>
      <c r="K665" s="3" t="s">
        <v>21</v>
      </c>
      <c r="L665" s="3" t="s">
        <v>21</v>
      </c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2.75" x14ac:dyDescent="0.2">
      <c r="A666" s="4" t="s">
        <v>21</v>
      </c>
      <c r="B666" s="5" t="s">
        <v>21</v>
      </c>
      <c r="C666" s="4"/>
      <c r="D666" s="4"/>
      <c r="E666" s="4"/>
      <c r="F666" s="4"/>
      <c r="G666" s="4" t="s">
        <v>21</v>
      </c>
      <c r="H666" s="4" t="s">
        <v>21</v>
      </c>
      <c r="I666" s="4"/>
      <c r="J666" s="3" t="s">
        <v>21</v>
      </c>
      <c r="K666" s="3" t="s">
        <v>21</v>
      </c>
      <c r="L666" s="3" t="s">
        <v>21</v>
      </c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2.75" x14ac:dyDescent="0.2">
      <c r="A667" s="4" t="s">
        <v>21</v>
      </c>
      <c r="B667" s="5" t="s">
        <v>21</v>
      </c>
      <c r="C667" s="4"/>
      <c r="D667" s="4"/>
      <c r="E667" s="4"/>
      <c r="F667" s="4"/>
      <c r="G667" s="4" t="s">
        <v>21</v>
      </c>
      <c r="H667" s="4" t="s">
        <v>21</v>
      </c>
      <c r="I667" s="4"/>
      <c r="J667" s="3" t="s">
        <v>21</v>
      </c>
      <c r="K667" s="3" t="s">
        <v>21</v>
      </c>
      <c r="L667" s="3" t="s">
        <v>21</v>
      </c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2.75" x14ac:dyDescent="0.2">
      <c r="A668" s="4" t="s">
        <v>21</v>
      </c>
      <c r="B668" s="5" t="s">
        <v>21</v>
      </c>
      <c r="C668" s="4"/>
      <c r="D668" s="4"/>
      <c r="E668" s="4"/>
      <c r="F668" s="4"/>
      <c r="G668" s="4" t="s">
        <v>21</v>
      </c>
      <c r="H668" s="4" t="s">
        <v>21</v>
      </c>
      <c r="I668" s="4"/>
      <c r="J668" s="3" t="s">
        <v>21</v>
      </c>
      <c r="K668" s="3" t="s">
        <v>21</v>
      </c>
      <c r="L668" s="3" t="s">
        <v>21</v>
      </c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2.75" x14ac:dyDescent="0.2">
      <c r="A669" s="4" t="s">
        <v>21</v>
      </c>
      <c r="B669" s="5" t="s">
        <v>21</v>
      </c>
      <c r="C669" s="4"/>
      <c r="D669" s="4"/>
      <c r="E669" s="4"/>
      <c r="F669" s="4"/>
      <c r="G669" s="4" t="s">
        <v>21</v>
      </c>
      <c r="H669" s="4" t="s">
        <v>21</v>
      </c>
      <c r="I669" s="4"/>
      <c r="J669" s="3" t="s">
        <v>21</v>
      </c>
      <c r="K669" s="3" t="s">
        <v>21</v>
      </c>
      <c r="L669" s="3" t="s">
        <v>21</v>
      </c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2.75" x14ac:dyDescent="0.2">
      <c r="A670" s="4" t="s">
        <v>21</v>
      </c>
      <c r="B670" s="5" t="s">
        <v>21</v>
      </c>
      <c r="C670" s="4"/>
      <c r="D670" s="4"/>
      <c r="E670" s="4"/>
      <c r="F670" s="4"/>
      <c r="G670" s="4" t="s">
        <v>21</v>
      </c>
      <c r="H670" s="4" t="s">
        <v>21</v>
      </c>
      <c r="I670" s="4"/>
      <c r="J670" s="3" t="s">
        <v>21</v>
      </c>
      <c r="K670" s="3" t="s">
        <v>21</v>
      </c>
      <c r="L670" s="3" t="s">
        <v>21</v>
      </c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2.75" x14ac:dyDescent="0.2">
      <c r="A671" s="4" t="s">
        <v>21</v>
      </c>
      <c r="B671" s="5" t="s">
        <v>21</v>
      </c>
      <c r="C671" s="4"/>
      <c r="D671" s="4"/>
      <c r="E671" s="4"/>
      <c r="F671" s="4"/>
      <c r="G671" s="4" t="s">
        <v>21</v>
      </c>
      <c r="H671" s="4" t="s">
        <v>21</v>
      </c>
      <c r="I671" s="4"/>
      <c r="J671" s="3" t="s">
        <v>21</v>
      </c>
      <c r="K671" s="3" t="s">
        <v>21</v>
      </c>
      <c r="L671" s="3" t="s">
        <v>21</v>
      </c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2.75" x14ac:dyDescent="0.2">
      <c r="A672" s="4" t="s">
        <v>21</v>
      </c>
      <c r="B672" s="5" t="s">
        <v>21</v>
      </c>
      <c r="C672" s="4"/>
      <c r="D672" s="4"/>
      <c r="E672" s="4"/>
      <c r="F672" s="4"/>
      <c r="G672" s="4" t="s">
        <v>21</v>
      </c>
      <c r="H672" s="4" t="s">
        <v>21</v>
      </c>
      <c r="I672" s="4"/>
      <c r="J672" s="3" t="s">
        <v>21</v>
      </c>
      <c r="K672" s="3" t="s">
        <v>21</v>
      </c>
      <c r="L672" s="3" t="s">
        <v>21</v>
      </c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2.75" x14ac:dyDescent="0.2">
      <c r="A673" s="4" t="s">
        <v>21</v>
      </c>
      <c r="B673" s="5" t="s">
        <v>21</v>
      </c>
      <c r="C673" s="4"/>
      <c r="D673" s="4"/>
      <c r="E673" s="4"/>
      <c r="F673" s="4"/>
      <c r="G673" s="4" t="s">
        <v>21</v>
      </c>
      <c r="H673" s="4" t="s">
        <v>21</v>
      </c>
      <c r="I673" s="4"/>
      <c r="J673" s="3" t="s">
        <v>21</v>
      </c>
      <c r="K673" s="3" t="s">
        <v>21</v>
      </c>
      <c r="L673" s="3" t="s">
        <v>21</v>
      </c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2.75" x14ac:dyDescent="0.2">
      <c r="A674" s="4" t="s">
        <v>21</v>
      </c>
      <c r="B674" s="5" t="s">
        <v>21</v>
      </c>
      <c r="C674" s="4"/>
      <c r="D674" s="4"/>
      <c r="E674" s="4"/>
      <c r="F674" s="4"/>
      <c r="G674" s="4" t="s">
        <v>21</v>
      </c>
      <c r="H674" s="4" t="s">
        <v>21</v>
      </c>
      <c r="I674" s="4"/>
      <c r="J674" s="3" t="s">
        <v>21</v>
      </c>
      <c r="K674" s="3" t="s">
        <v>21</v>
      </c>
      <c r="L674" s="3" t="s">
        <v>21</v>
      </c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2.75" x14ac:dyDescent="0.2">
      <c r="A675" s="4" t="s">
        <v>21</v>
      </c>
      <c r="B675" s="5" t="s">
        <v>21</v>
      </c>
      <c r="C675" s="4"/>
      <c r="D675" s="4"/>
      <c r="E675" s="4"/>
      <c r="F675" s="4"/>
      <c r="G675" s="4" t="s">
        <v>21</v>
      </c>
      <c r="H675" s="4" t="s">
        <v>21</v>
      </c>
      <c r="I675" s="4"/>
      <c r="J675" s="3" t="s">
        <v>21</v>
      </c>
      <c r="K675" s="3" t="s">
        <v>21</v>
      </c>
      <c r="L675" s="3" t="s">
        <v>21</v>
      </c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2.75" x14ac:dyDescent="0.2">
      <c r="A676" s="4" t="s">
        <v>21</v>
      </c>
      <c r="B676" s="5" t="s">
        <v>21</v>
      </c>
      <c r="C676" s="4"/>
      <c r="D676" s="4"/>
      <c r="E676" s="4"/>
      <c r="F676" s="4"/>
      <c r="G676" s="4" t="s">
        <v>21</v>
      </c>
      <c r="H676" s="4" t="s">
        <v>21</v>
      </c>
      <c r="I676" s="4"/>
      <c r="J676" s="3" t="s">
        <v>21</v>
      </c>
      <c r="K676" s="3" t="s">
        <v>21</v>
      </c>
      <c r="L676" s="3" t="s">
        <v>21</v>
      </c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2.75" x14ac:dyDescent="0.2">
      <c r="A677" s="4" t="s">
        <v>21</v>
      </c>
      <c r="B677" s="5" t="s">
        <v>21</v>
      </c>
      <c r="C677" s="4"/>
      <c r="D677" s="4"/>
      <c r="E677" s="4"/>
      <c r="F677" s="4"/>
      <c r="G677" s="4" t="s">
        <v>21</v>
      </c>
      <c r="H677" s="4" t="s">
        <v>21</v>
      </c>
      <c r="I677" s="4"/>
      <c r="J677" s="3" t="s">
        <v>21</v>
      </c>
      <c r="K677" s="3" t="s">
        <v>21</v>
      </c>
      <c r="L677" s="3" t="s">
        <v>21</v>
      </c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2.75" x14ac:dyDescent="0.2">
      <c r="A678" s="4" t="s">
        <v>21</v>
      </c>
      <c r="B678" s="5" t="s">
        <v>21</v>
      </c>
      <c r="C678" s="4"/>
      <c r="D678" s="4"/>
      <c r="E678" s="4"/>
      <c r="F678" s="4"/>
      <c r="G678" s="4" t="s">
        <v>21</v>
      </c>
      <c r="H678" s="4" t="s">
        <v>21</v>
      </c>
      <c r="I678" s="4"/>
      <c r="J678" s="3" t="s">
        <v>21</v>
      </c>
      <c r="K678" s="3" t="s">
        <v>21</v>
      </c>
      <c r="L678" s="3" t="s">
        <v>21</v>
      </c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2.75" x14ac:dyDescent="0.2">
      <c r="A679" s="4" t="s">
        <v>21</v>
      </c>
      <c r="B679" s="5" t="s">
        <v>21</v>
      </c>
      <c r="C679" s="4"/>
      <c r="D679" s="4"/>
      <c r="E679" s="4"/>
      <c r="F679" s="4"/>
      <c r="G679" s="4" t="s">
        <v>21</v>
      </c>
      <c r="H679" s="4" t="s">
        <v>21</v>
      </c>
      <c r="I679" s="4"/>
      <c r="J679" s="3" t="s">
        <v>21</v>
      </c>
      <c r="K679" s="3" t="s">
        <v>21</v>
      </c>
      <c r="L679" s="3" t="s">
        <v>21</v>
      </c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2.75" x14ac:dyDescent="0.2">
      <c r="A680" s="4" t="s">
        <v>21</v>
      </c>
      <c r="B680" s="5" t="s">
        <v>21</v>
      </c>
      <c r="C680" s="4"/>
      <c r="D680" s="4"/>
      <c r="E680" s="4"/>
      <c r="F680" s="4"/>
      <c r="G680" s="4" t="s">
        <v>21</v>
      </c>
      <c r="H680" s="4" t="s">
        <v>21</v>
      </c>
      <c r="I680" s="4"/>
      <c r="J680" s="3" t="s">
        <v>21</v>
      </c>
      <c r="K680" s="3" t="s">
        <v>21</v>
      </c>
      <c r="L680" s="3" t="s">
        <v>21</v>
      </c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2.75" x14ac:dyDescent="0.2">
      <c r="A681" s="4" t="s">
        <v>21</v>
      </c>
      <c r="B681" s="5" t="s">
        <v>21</v>
      </c>
      <c r="C681" s="4"/>
      <c r="D681" s="4"/>
      <c r="E681" s="4"/>
      <c r="F681" s="4"/>
      <c r="G681" s="4" t="s">
        <v>21</v>
      </c>
      <c r="H681" s="4" t="s">
        <v>21</v>
      </c>
      <c r="I681" s="4"/>
      <c r="J681" s="3" t="s">
        <v>21</v>
      </c>
      <c r="K681" s="3" t="s">
        <v>21</v>
      </c>
      <c r="L681" s="3" t="s">
        <v>21</v>
      </c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2.75" x14ac:dyDescent="0.2">
      <c r="A682" s="4" t="s">
        <v>21</v>
      </c>
      <c r="B682" s="5" t="s">
        <v>21</v>
      </c>
      <c r="C682" s="4"/>
      <c r="D682" s="4"/>
      <c r="E682" s="4"/>
      <c r="F682" s="4"/>
      <c r="G682" s="4" t="s">
        <v>21</v>
      </c>
      <c r="H682" s="4" t="s">
        <v>21</v>
      </c>
      <c r="I682" s="4"/>
      <c r="J682" s="3" t="s">
        <v>21</v>
      </c>
      <c r="K682" s="3" t="s">
        <v>21</v>
      </c>
      <c r="L682" s="3" t="s">
        <v>21</v>
      </c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2.75" x14ac:dyDescent="0.2">
      <c r="A683" s="4" t="s">
        <v>21</v>
      </c>
      <c r="B683" s="5" t="s">
        <v>21</v>
      </c>
      <c r="C683" s="4"/>
      <c r="D683" s="4"/>
      <c r="E683" s="4"/>
      <c r="F683" s="4"/>
      <c r="G683" s="4" t="s">
        <v>21</v>
      </c>
      <c r="H683" s="4" t="s">
        <v>21</v>
      </c>
      <c r="I683" s="4"/>
      <c r="J683" s="3" t="s">
        <v>21</v>
      </c>
      <c r="K683" s="3" t="s">
        <v>21</v>
      </c>
      <c r="L683" s="3" t="s">
        <v>21</v>
      </c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2.75" x14ac:dyDescent="0.2">
      <c r="A684" s="4" t="s">
        <v>21</v>
      </c>
      <c r="B684" s="5" t="s">
        <v>21</v>
      </c>
      <c r="C684" s="4"/>
      <c r="D684" s="4"/>
      <c r="E684" s="4"/>
      <c r="F684" s="4"/>
      <c r="G684" s="4" t="s">
        <v>21</v>
      </c>
      <c r="H684" s="4" t="s">
        <v>21</v>
      </c>
      <c r="I684" s="4"/>
      <c r="J684" s="3" t="s">
        <v>21</v>
      </c>
      <c r="K684" s="3" t="s">
        <v>21</v>
      </c>
      <c r="L684" s="3" t="s">
        <v>21</v>
      </c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2.75" x14ac:dyDescent="0.2">
      <c r="A685" s="4" t="s">
        <v>21</v>
      </c>
      <c r="B685" s="5" t="s">
        <v>21</v>
      </c>
      <c r="C685" s="4"/>
      <c r="D685" s="4"/>
      <c r="E685" s="4"/>
      <c r="F685" s="4"/>
      <c r="G685" s="4" t="s">
        <v>21</v>
      </c>
      <c r="H685" s="4" t="s">
        <v>21</v>
      </c>
      <c r="I685" s="4"/>
      <c r="J685" s="3" t="s">
        <v>21</v>
      </c>
      <c r="K685" s="3" t="s">
        <v>21</v>
      </c>
      <c r="L685" s="3" t="s">
        <v>21</v>
      </c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2.75" x14ac:dyDescent="0.2">
      <c r="A686" s="4" t="s">
        <v>21</v>
      </c>
      <c r="B686" s="5" t="s">
        <v>21</v>
      </c>
      <c r="C686" s="4"/>
      <c r="D686" s="4"/>
      <c r="E686" s="4"/>
      <c r="F686" s="4"/>
      <c r="G686" s="4" t="s">
        <v>21</v>
      </c>
      <c r="H686" s="4" t="s">
        <v>21</v>
      </c>
      <c r="I686" s="4"/>
      <c r="J686" s="3" t="s">
        <v>21</v>
      </c>
      <c r="K686" s="3" t="s">
        <v>21</v>
      </c>
      <c r="L686" s="3" t="s">
        <v>21</v>
      </c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2.75" x14ac:dyDescent="0.2">
      <c r="A687" s="4" t="s">
        <v>21</v>
      </c>
      <c r="B687" s="5" t="s">
        <v>21</v>
      </c>
      <c r="C687" s="4"/>
      <c r="D687" s="4"/>
      <c r="E687" s="4"/>
      <c r="F687" s="4"/>
      <c r="G687" s="4" t="s">
        <v>21</v>
      </c>
      <c r="H687" s="4" t="s">
        <v>21</v>
      </c>
      <c r="I687" s="4"/>
      <c r="J687" s="3" t="s">
        <v>21</v>
      </c>
      <c r="K687" s="3" t="s">
        <v>21</v>
      </c>
      <c r="L687" s="3" t="s">
        <v>21</v>
      </c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2.75" x14ac:dyDescent="0.2">
      <c r="A688" s="4" t="s">
        <v>21</v>
      </c>
      <c r="B688" s="5" t="s">
        <v>21</v>
      </c>
      <c r="C688" s="4"/>
      <c r="D688" s="4"/>
      <c r="E688" s="4"/>
      <c r="F688" s="4"/>
      <c r="G688" s="4" t="s">
        <v>21</v>
      </c>
      <c r="H688" s="4" t="s">
        <v>21</v>
      </c>
      <c r="I688" s="4"/>
      <c r="J688" s="3" t="s">
        <v>21</v>
      </c>
      <c r="K688" s="3" t="s">
        <v>21</v>
      </c>
      <c r="L688" s="3" t="s">
        <v>21</v>
      </c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2.75" x14ac:dyDescent="0.2">
      <c r="A689" s="4" t="s">
        <v>21</v>
      </c>
      <c r="B689" s="5" t="s">
        <v>21</v>
      </c>
      <c r="C689" s="4"/>
      <c r="D689" s="4"/>
      <c r="E689" s="4"/>
      <c r="F689" s="4"/>
      <c r="G689" s="4" t="s">
        <v>21</v>
      </c>
      <c r="H689" s="4" t="s">
        <v>21</v>
      </c>
      <c r="I689" s="4"/>
      <c r="J689" s="3" t="s">
        <v>21</v>
      </c>
      <c r="K689" s="3" t="s">
        <v>21</v>
      </c>
      <c r="L689" s="3" t="s">
        <v>21</v>
      </c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2.75" x14ac:dyDescent="0.2">
      <c r="A690" s="4" t="s">
        <v>21</v>
      </c>
      <c r="B690" s="5" t="s">
        <v>21</v>
      </c>
      <c r="C690" s="4"/>
      <c r="D690" s="4"/>
      <c r="E690" s="4"/>
      <c r="F690" s="4"/>
      <c r="G690" s="4" t="s">
        <v>21</v>
      </c>
      <c r="H690" s="4" t="s">
        <v>21</v>
      </c>
      <c r="I690" s="4"/>
      <c r="J690" s="3" t="s">
        <v>21</v>
      </c>
      <c r="K690" s="3" t="s">
        <v>21</v>
      </c>
      <c r="L690" s="3" t="s">
        <v>21</v>
      </c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2.75" x14ac:dyDescent="0.2">
      <c r="A691" s="4" t="s">
        <v>21</v>
      </c>
      <c r="B691" s="5" t="s">
        <v>21</v>
      </c>
      <c r="C691" s="4"/>
      <c r="D691" s="4"/>
      <c r="E691" s="4"/>
      <c r="F691" s="4"/>
      <c r="G691" s="4" t="s">
        <v>21</v>
      </c>
      <c r="H691" s="4" t="s">
        <v>21</v>
      </c>
      <c r="I691" s="4"/>
      <c r="J691" s="3" t="s">
        <v>21</v>
      </c>
      <c r="K691" s="3" t="s">
        <v>21</v>
      </c>
      <c r="L691" s="3" t="s">
        <v>21</v>
      </c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2.75" x14ac:dyDescent="0.2">
      <c r="A692" s="4" t="s">
        <v>21</v>
      </c>
      <c r="B692" s="5" t="s">
        <v>21</v>
      </c>
      <c r="C692" s="4"/>
      <c r="D692" s="4"/>
      <c r="E692" s="4"/>
      <c r="F692" s="4"/>
      <c r="G692" s="4" t="s">
        <v>21</v>
      </c>
      <c r="H692" s="4" t="s">
        <v>21</v>
      </c>
      <c r="I692" s="4"/>
      <c r="J692" s="3" t="s">
        <v>21</v>
      </c>
      <c r="K692" s="3" t="s">
        <v>21</v>
      </c>
      <c r="L692" s="3" t="s">
        <v>21</v>
      </c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2.75" x14ac:dyDescent="0.2">
      <c r="A693" s="4" t="s">
        <v>21</v>
      </c>
      <c r="B693" s="5" t="s">
        <v>21</v>
      </c>
      <c r="C693" s="4"/>
      <c r="D693" s="4"/>
      <c r="E693" s="4"/>
      <c r="F693" s="4"/>
      <c r="G693" s="4" t="s">
        <v>21</v>
      </c>
      <c r="H693" s="4" t="s">
        <v>21</v>
      </c>
      <c r="I693" s="4"/>
      <c r="J693" s="3" t="s">
        <v>21</v>
      </c>
      <c r="K693" s="3" t="s">
        <v>21</v>
      </c>
      <c r="L693" s="3" t="s">
        <v>21</v>
      </c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2.75" x14ac:dyDescent="0.2">
      <c r="A694" s="4" t="s">
        <v>21</v>
      </c>
      <c r="B694" s="5" t="s">
        <v>21</v>
      </c>
      <c r="C694" s="4"/>
      <c r="D694" s="4"/>
      <c r="E694" s="4"/>
      <c r="F694" s="4"/>
      <c r="G694" s="4" t="s">
        <v>21</v>
      </c>
      <c r="H694" s="4" t="s">
        <v>21</v>
      </c>
      <c r="I694" s="4"/>
      <c r="J694" s="3" t="s">
        <v>21</v>
      </c>
      <c r="K694" s="3" t="s">
        <v>21</v>
      </c>
      <c r="L694" s="3" t="s">
        <v>21</v>
      </c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2.75" x14ac:dyDescent="0.2">
      <c r="A695" s="4" t="s">
        <v>21</v>
      </c>
      <c r="B695" s="5" t="s">
        <v>21</v>
      </c>
      <c r="C695" s="4"/>
      <c r="D695" s="4"/>
      <c r="E695" s="4"/>
      <c r="F695" s="4"/>
      <c r="G695" s="4" t="s">
        <v>21</v>
      </c>
      <c r="H695" s="4" t="s">
        <v>21</v>
      </c>
      <c r="I695" s="4"/>
      <c r="J695" s="3" t="s">
        <v>21</v>
      </c>
      <c r="K695" s="3" t="s">
        <v>21</v>
      </c>
      <c r="L695" s="3" t="s">
        <v>21</v>
      </c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2.75" x14ac:dyDescent="0.2">
      <c r="A696" s="4" t="s">
        <v>21</v>
      </c>
      <c r="B696" s="5" t="s">
        <v>21</v>
      </c>
      <c r="C696" s="4"/>
      <c r="D696" s="4"/>
      <c r="E696" s="4"/>
      <c r="F696" s="4"/>
      <c r="G696" s="4" t="s">
        <v>21</v>
      </c>
      <c r="H696" s="4" t="s">
        <v>21</v>
      </c>
      <c r="I696" s="4"/>
      <c r="J696" s="3" t="s">
        <v>21</v>
      </c>
      <c r="K696" s="3" t="s">
        <v>21</v>
      </c>
      <c r="L696" s="3" t="s">
        <v>21</v>
      </c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2.75" x14ac:dyDescent="0.2">
      <c r="A697" s="4" t="s">
        <v>21</v>
      </c>
      <c r="B697" s="5" t="s">
        <v>21</v>
      </c>
      <c r="C697" s="4"/>
      <c r="D697" s="4"/>
      <c r="E697" s="4"/>
      <c r="F697" s="4"/>
      <c r="G697" s="4" t="s">
        <v>21</v>
      </c>
      <c r="H697" s="4" t="s">
        <v>21</v>
      </c>
      <c r="I697" s="4"/>
      <c r="J697" s="3" t="s">
        <v>21</v>
      </c>
      <c r="K697" s="3" t="s">
        <v>21</v>
      </c>
      <c r="L697" s="3" t="s">
        <v>21</v>
      </c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2.75" x14ac:dyDescent="0.2">
      <c r="A698" s="4" t="s">
        <v>21</v>
      </c>
      <c r="B698" s="5" t="s">
        <v>21</v>
      </c>
      <c r="C698" s="4"/>
      <c r="D698" s="4"/>
      <c r="E698" s="4"/>
      <c r="F698" s="4"/>
      <c r="G698" s="4" t="s">
        <v>21</v>
      </c>
      <c r="H698" s="4" t="s">
        <v>21</v>
      </c>
      <c r="I698" s="4"/>
      <c r="J698" s="3" t="s">
        <v>21</v>
      </c>
      <c r="K698" s="3" t="s">
        <v>21</v>
      </c>
      <c r="L698" s="3" t="s">
        <v>21</v>
      </c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2.75" x14ac:dyDescent="0.2">
      <c r="A699" s="4" t="s">
        <v>21</v>
      </c>
      <c r="B699" s="5" t="s">
        <v>21</v>
      </c>
      <c r="C699" s="4"/>
      <c r="D699" s="4"/>
      <c r="E699" s="4"/>
      <c r="F699" s="4"/>
      <c r="G699" s="4" t="s">
        <v>21</v>
      </c>
      <c r="H699" s="4" t="s">
        <v>21</v>
      </c>
      <c r="I699" s="4"/>
      <c r="J699" s="3" t="s">
        <v>21</v>
      </c>
      <c r="K699" s="3" t="s">
        <v>21</v>
      </c>
      <c r="L699" s="3" t="s">
        <v>21</v>
      </c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2.75" x14ac:dyDescent="0.2">
      <c r="A700" s="4" t="s">
        <v>21</v>
      </c>
      <c r="B700" s="5" t="s">
        <v>21</v>
      </c>
      <c r="C700" s="4"/>
      <c r="D700" s="4"/>
      <c r="E700" s="4"/>
      <c r="F700" s="4"/>
      <c r="G700" s="4" t="s">
        <v>21</v>
      </c>
      <c r="H700" s="4" t="s">
        <v>21</v>
      </c>
      <c r="I700" s="4"/>
      <c r="J700" s="3" t="s">
        <v>21</v>
      </c>
      <c r="K700" s="3" t="s">
        <v>21</v>
      </c>
      <c r="L700" s="3" t="s">
        <v>21</v>
      </c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2.75" x14ac:dyDescent="0.2">
      <c r="A701" s="4" t="s">
        <v>21</v>
      </c>
      <c r="B701" s="5" t="s">
        <v>21</v>
      </c>
      <c r="C701" s="4"/>
      <c r="D701" s="4"/>
      <c r="E701" s="4"/>
      <c r="F701" s="4"/>
      <c r="G701" s="4" t="s">
        <v>21</v>
      </c>
      <c r="H701" s="4" t="s">
        <v>21</v>
      </c>
      <c r="I701" s="4"/>
      <c r="J701" s="3" t="s">
        <v>21</v>
      </c>
      <c r="K701" s="3" t="s">
        <v>21</v>
      </c>
      <c r="L701" s="3" t="s">
        <v>21</v>
      </c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2.75" x14ac:dyDescent="0.2">
      <c r="A702" s="4" t="s">
        <v>21</v>
      </c>
      <c r="B702" s="5" t="s">
        <v>21</v>
      </c>
      <c r="C702" s="4"/>
      <c r="D702" s="4"/>
      <c r="E702" s="4"/>
      <c r="F702" s="4"/>
      <c r="G702" s="4" t="s">
        <v>21</v>
      </c>
      <c r="H702" s="4" t="s">
        <v>21</v>
      </c>
      <c r="I702" s="4"/>
      <c r="J702" s="3" t="s">
        <v>21</v>
      </c>
      <c r="K702" s="3" t="s">
        <v>21</v>
      </c>
      <c r="L702" s="3" t="s">
        <v>21</v>
      </c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2.75" x14ac:dyDescent="0.2">
      <c r="A703" s="4" t="s">
        <v>21</v>
      </c>
      <c r="B703" s="5" t="s">
        <v>21</v>
      </c>
      <c r="C703" s="4"/>
      <c r="D703" s="4"/>
      <c r="E703" s="4"/>
      <c r="F703" s="4"/>
      <c r="G703" s="4" t="s">
        <v>21</v>
      </c>
      <c r="H703" s="4" t="s">
        <v>21</v>
      </c>
      <c r="I703" s="4"/>
      <c r="J703" s="3" t="s">
        <v>21</v>
      </c>
      <c r="K703" s="3" t="s">
        <v>21</v>
      </c>
      <c r="L703" s="3" t="s">
        <v>21</v>
      </c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2.75" x14ac:dyDescent="0.2">
      <c r="A704" s="4" t="s">
        <v>21</v>
      </c>
      <c r="B704" s="5" t="s">
        <v>21</v>
      </c>
      <c r="C704" s="4"/>
      <c r="D704" s="4"/>
      <c r="E704" s="4"/>
      <c r="F704" s="4"/>
      <c r="G704" s="4" t="s">
        <v>21</v>
      </c>
      <c r="H704" s="4" t="s">
        <v>21</v>
      </c>
      <c r="I704" s="4"/>
      <c r="J704" s="3" t="s">
        <v>21</v>
      </c>
      <c r="K704" s="3" t="s">
        <v>21</v>
      </c>
      <c r="L704" s="3" t="s">
        <v>21</v>
      </c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2.75" x14ac:dyDescent="0.2">
      <c r="A705" s="4" t="s">
        <v>21</v>
      </c>
      <c r="B705" s="5" t="s">
        <v>21</v>
      </c>
      <c r="C705" s="4"/>
      <c r="D705" s="4"/>
      <c r="E705" s="4"/>
      <c r="F705" s="4"/>
      <c r="G705" s="4" t="s">
        <v>21</v>
      </c>
      <c r="H705" s="4" t="s">
        <v>21</v>
      </c>
      <c r="I705" s="4"/>
      <c r="J705" s="3" t="s">
        <v>21</v>
      </c>
      <c r="K705" s="3" t="s">
        <v>21</v>
      </c>
      <c r="L705" s="3" t="s">
        <v>21</v>
      </c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2.75" x14ac:dyDescent="0.2">
      <c r="A706" s="4" t="s">
        <v>21</v>
      </c>
      <c r="B706" s="5" t="s">
        <v>21</v>
      </c>
      <c r="C706" s="4"/>
      <c r="D706" s="4"/>
      <c r="E706" s="4"/>
      <c r="F706" s="4"/>
      <c r="G706" s="4" t="s">
        <v>21</v>
      </c>
      <c r="H706" s="4" t="s">
        <v>21</v>
      </c>
      <c r="I706" s="4"/>
      <c r="J706" s="3" t="s">
        <v>21</v>
      </c>
      <c r="K706" s="3" t="s">
        <v>21</v>
      </c>
      <c r="L706" s="3" t="s">
        <v>21</v>
      </c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2.75" x14ac:dyDescent="0.2">
      <c r="A707" s="4" t="s">
        <v>21</v>
      </c>
      <c r="B707" s="5" t="s">
        <v>21</v>
      </c>
      <c r="C707" s="4"/>
      <c r="D707" s="4"/>
      <c r="E707" s="4"/>
      <c r="F707" s="4"/>
      <c r="G707" s="4" t="s">
        <v>21</v>
      </c>
      <c r="H707" s="4" t="s">
        <v>21</v>
      </c>
      <c r="I707" s="4"/>
      <c r="J707" s="3" t="s">
        <v>21</v>
      </c>
      <c r="K707" s="3" t="s">
        <v>21</v>
      </c>
      <c r="L707" s="3" t="s">
        <v>21</v>
      </c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2.75" x14ac:dyDescent="0.2">
      <c r="A708" s="4" t="s">
        <v>21</v>
      </c>
      <c r="B708" s="5" t="s">
        <v>21</v>
      </c>
      <c r="C708" s="4"/>
      <c r="D708" s="4"/>
      <c r="E708" s="4"/>
      <c r="F708" s="4"/>
      <c r="G708" s="4" t="s">
        <v>21</v>
      </c>
      <c r="H708" s="4" t="s">
        <v>21</v>
      </c>
      <c r="I708" s="4"/>
      <c r="J708" s="3" t="s">
        <v>21</v>
      </c>
      <c r="K708" s="3" t="s">
        <v>21</v>
      </c>
      <c r="L708" s="3" t="s">
        <v>21</v>
      </c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2.75" x14ac:dyDescent="0.2">
      <c r="A709" s="4" t="s">
        <v>21</v>
      </c>
      <c r="B709" s="5" t="s">
        <v>21</v>
      </c>
      <c r="C709" s="4"/>
      <c r="D709" s="4"/>
      <c r="E709" s="4"/>
      <c r="F709" s="4"/>
      <c r="G709" s="4" t="s">
        <v>21</v>
      </c>
      <c r="H709" s="4" t="s">
        <v>21</v>
      </c>
      <c r="I709" s="4"/>
      <c r="J709" s="3" t="s">
        <v>21</v>
      </c>
      <c r="K709" s="3" t="s">
        <v>21</v>
      </c>
      <c r="L709" s="3" t="s">
        <v>21</v>
      </c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2.75" x14ac:dyDescent="0.2">
      <c r="A710" s="4" t="s">
        <v>21</v>
      </c>
      <c r="B710" s="5" t="s">
        <v>21</v>
      </c>
      <c r="C710" s="4"/>
      <c r="D710" s="4"/>
      <c r="E710" s="4"/>
      <c r="F710" s="4"/>
      <c r="G710" s="4" t="s">
        <v>21</v>
      </c>
      <c r="H710" s="4" t="s">
        <v>21</v>
      </c>
      <c r="I710" s="4"/>
      <c r="J710" s="3" t="s">
        <v>21</v>
      </c>
      <c r="K710" s="3" t="s">
        <v>21</v>
      </c>
      <c r="L710" s="3" t="s">
        <v>21</v>
      </c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2.75" x14ac:dyDescent="0.2">
      <c r="A711" s="4" t="s">
        <v>21</v>
      </c>
      <c r="B711" s="5" t="s">
        <v>21</v>
      </c>
      <c r="C711" s="4"/>
      <c r="D711" s="4"/>
      <c r="E711" s="4"/>
      <c r="F711" s="4"/>
      <c r="G711" s="4" t="s">
        <v>21</v>
      </c>
      <c r="H711" s="4" t="s">
        <v>21</v>
      </c>
      <c r="I711" s="4"/>
      <c r="J711" s="3" t="s">
        <v>21</v>
      </c>
      <c r="K711" s="3" t="s">
        <v>21</v>
      </c>
      <c r="L711" s="3" t="s">
        <v>21</v>
      </c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2.75" x14ac:dyDescent="0.2">
      <c r="A712" s="4" t="s">
        <v>21</v>
      </c>
      <c r="B712" s="5" t="s">
        <v>21</v>
      </c>
      <c r="C712" s="4"/>
      <c r="D712" s="4"/>
      <c r="E712" s="4"/>
      <c r="F712" s="4"/>
      <c r="G712" s="4" t="s">
        <v>21</v>
      </c>
      <c r="H712" s="4" t="s">
        <v>21</v>
      </c>
      <c r="I712" s="4"/>
      <c r="J712" s="3" t="s">
        <v>21</v>
      </c>
      <c r="K712" s="3" t="s">
        <v>21</v>
      </c>
      <c r="L712" s="3" t="s">
        <v>21</v>
      </c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2.75" x14ac:dyDescent="0.2">
      <c r="A713" s="4" t="s">
        <v>21</v>
      </c>
      <c r="B713" s="5" t="s">
        <v>21</v>
      </c>
      <c r="C713" s="4"/>
      <c r="D713" s="4"/>
      <c r="E713" s="4"/>
      <c r="F713" s="4"/>
      <c r="G713" s="4" t="s">
        <v>21</v>
      </c>
      <c r="H713" s="4" t="s">
        <v>21</v>
      </c>
      <c r="I713" s="4"/>
      <c r="J713" s="3" t="s">
        <v>21</v>
      </c>
      <c r="K713" s="3" t="s">
        <v>21</v>
      </c>
      <c r="L713" s="3" t="s">
        <v>21</v>
      </c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2.75" x14ac:dyDescent="0.2">
      <c r="A714" s="4" t="s">
        <v>21</v>
      </c>
      <c r="B714" s="5" t="s">
        <v>21</v>
      </c>
      <c r="C714" s="4"/>
      <c r="D714" s="4"/>
      <c r="E714" s="4"/>
      <c r="F714" s="4"/>
      <c r="G714" s="4" t="s">
        <v>21</v>
      </c>
      <c r="H714" s="4" t="s">
        <v>21</v>
      </c>
      <c r="I714" s="4"/>
      <c r="J714" s="3" t="s">
        <v>21</v>
      </c>
      <c r="K714" s="3" t="s">
        <v>21</v>
      </c>
      <c r="L714" s="3" t="s">
        <v>21</v>
      </c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2.75" x14ac:dyDescent="0.2">
      <c r="A715" s="4" t="s">
        <v>21</v>
      </c>
      <c r="B715" s="5" t="s">
        <v>21</v>
      </c>
      <c r="C715" s="4"/>
      <c r="D715" s="4"/>
      <c r="E715" s="4"/>
      <c r="F715" s="4"/>
      <c r="G715" s="4" t="s">
        <v>21</v>
      </c>
      <c r="H715" s="4" t="s">
        <v>21</v>
      </c>
      <c r="I715" s="4"/>
      <c r="J715" s="3" t="s">
        <v>21</v>
      </c>
      <c r="K715" s="3" t="s">
        <v>21</v>
      </c>
      <c r="L715" s="3" t="s">
        <v>21</v>
      </c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2.75" x14ac:dyDescent="0.2">
      <c r="A716" s="4" t="s">
        <v>21</v>
      </c>
      <c r="B716" s="5" t="s">
        <v>21</v>
      </c>
      <c r="C716" s="4"/>
      <c r="D716" s="4"/>
      <c r="E716" s="4"/>
      <c r="F716" s="4"/>
      <c r="G716" s="4" t="s">
        <v>21</v>
      </c>
      <c r="H716" s="4" t="s">
        <v>21</v>
      </c>
      <c r="I716" s="4"/>
      <c r="J716" s="3" t="s">
        <v>21</v>
      </c>
      <c r="K716" s="3" t="s">
        <v>21</v>
      </c>
      <c r="L716" s="3" t="s">
        <v>21</v>
      </c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2.75" x14ac:dyDescent="0.2">
      <c r="A717" s="4" t="s">
        <v>21</v>
      </c>
      <c r="B717" s="5" t="s">
        <v>21</v>
      </c>
      <c r="C717" s="4"/>
      <c r="D717" s="4"/>
      <c r="E717" s="4"/>
      <c r="F717" s="4"/>
      <c r="G717" s="4" t="s">
        <v>21</v>
      </c>
      <c r="H717" s="4" t="s">
        <v>21</v>
      </c>
      <c r="I717" s="4"/>
      <c r="J717" s="3" t="s">
        <v>21</v>
      </c>
      <c r="K717" s="3" t="s">
        <v>21</v>
      </c>
      <c r="L717" s="3" t="s">
        <v>21</v>
      </c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2.75" x14ac:dyDescent="0.2">
      <c r="A718" s="4" t="s">
        <v>21</v>
      </c>
      <c r="B718" s="5" t="s">
        <v>21</v>
      </c>
      <c r="C718" s="4"/>
      <c r="D718" s="4"/>
      <c r="E718" s="4"/>
      <c r="F718" s="4"/>
      <c r="G718" s="4" t="s">
        <v>21</v>
      </c>
      <c r="H718" s="4" t="s">
        <v>21</v>
      </c>
      <c r="I718" s="4"/>
      <c r="J718" s="3" t="s">
        <v>21</v>
      </c>
      <c r="K718" s="3" t="s">
        <v>21</v>
      </c>
      <c r="L718" s="3" t="s">
        <v>21</v>
      </c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2.75" x14ac:dyDescent="0.2">
      <c r="A719" s="4" t="s">
        <v>21</v>
      </c>
      <c r="B719" s="5" t="s">
        <v>21</v>
      </c>
      <c r="C719" s="4"/>
      <c r="D719" s="4"/>
      <c r="E719" s="4"/>
      <c r="F719" s="4"/>
      <c r="G719" s="4" t="s">
        <v>21</v>
      </c>
      <c r="H719" s="4" t="s">
        <v>21</v>
      </c>
      <c r="I719" s="4"/>
      <c r="J719" s="3" t="s">
        <v>21</v>
      </c>
      <c r="K719" s="3" t="s">
        <v>21</v>
      </c>
      <c r="L719" s="3" t="s">
        <v>21</v>
      </c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2.75" x14ac:dyDescent="0.2">
      <c r="A720" s="4" t="s">
        <v>21</v>
      </c>
      <c r="B720" s="5" t="s">
        <v>21</v>
      </c>
      <c r="C720" s="4"/>
      <c r="D720" s="4"/>
      <c r="E720" s="4"/>
      <c r="F720" s="4"/>
      <c r="G720" s="4" t="s">
        <v>21</v>
      </c>
      <c r="H720" s="4" t="s">
        <v>21</v>
      </c>
      <c r="I720" s="4"/>
      <c r="J720" s="3" t="s">
        <v>21</v>
      </c>
      <c r="K720" s="3" t="s">
        <v>21</v>
      </c>
      <c r="L720" s="3" t="s">
        <v>21</v>
      </c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2.75" x14ac:dyDescent="0.2">
      <c r="A721" s="4" t="s">
        <v>21</v>
      </c>
      <c r="B721" s="5" t="s">
        <v>21</v>
      </c>
      <c r="C721" s="4"/>
      <c r="D721" s="4"/>
      <c r="E721" s="4"/>
      <c r="F721" s="4"/>
      <c r="G721" s="4" t="s">
        <v>21</v>
      </c>
      <c r="H721" s="4" t="s">
        <v>21</v>
      </c>
      <c r="I721" s="4"/>
      <c r="J721" s="3" t="s">
        <v>21</v>
      </c>
      <c r="K721" s="3" t="s">
        <v>21</v>
      </c>
      <c r="L721" s="3" t="s">
        <v>21</v>
      </c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2.75" x14ac:dyDescent="0.2">
      <c r="A722" s="4" t="s">
        <v>21</v>
      </c>
      <c r="B722" s="5" t="s">
        <v>21</v>
      </c>
      <c r="C722" s="4"/>
      <c r="D722" s="4"/>
      <c r="E722" s="4"/>
      <c r="F722" s="4"/>
      <c r="G722" s="4" t="s">
        <v>21</v>
      </c>
      <c r="H722" s="4" t="s">
        <v>21</v>
      </c>
      <c r="I722" s="4"/>
      <c r="J722" s="3" t="s">
        <v>21</v>
      </c>
      <c r="K722" s="3" t="s">
        <v>21</v>
      </c>
      <c r="L722" s="3" t="s">
        <v>21</v>
      </c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2.75" x14ac:dyDescent="0.2">
      <c r="A723" s="4" t="s">
        <v>21</v>
      </c>
      <c r="B723" s="5" t="s">
        <v>21</v>
      </c>
      <c r="C723" s="4"/>
      <c r="D723" s="4"/>
      <c r="E723" s="4"/>
      <c r="F723" s="4"/>
      <c r="G723" s="4" t="s">
        <v>21</v>
      </c>
      <c r="H723" s="4" t="s">
        <v>21</v>
      </c>
      <c r="I723" s="4"/>
      <c r="J723" s="3" t="s">
        <v>21</v>
      </c>
      <c r="K723" s="3" t="s">
        <v>21</v>
      </c>
      <c r="L723" s="3" t="s">
        <v>21</v>
      </c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2.75" x14ac:dyDescent="0.2">
      <c r="A724" s="4" t="s">
        <v>21</v>
      </c>
      <c r="B724" s="5" t="s">
        <v>21</v>
      </c>
      <c r="C724" s="4"/>
      <c r="D724" s="4"/>
      <c r="E724" s="4"/>
      <c r="F724" s="4"/>
      <c r="G724" s="4" t="s">
        <v>21</v>
      </c>
      <c r="H724" s="4" t="s">
        <v>21</v>
      </c>
      <c r="I724" s="4"/>
      <c r="J724" s="3" t="s">
        <v>21</v>
      </c>
      <c r="K724" s="3" t="s">
        <v>21</v>
      </c>
      <c r="L724" s="3" t="s">
        <v>21</v>
      </c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2.75" x14ac:dyDescent="0.2">
      <c r="A725" s="4" t="s">
        <v>21</v>
      </c>
      <c r="B725" s="5" t="s">
        <v>21</v>
      </c>
      <c r="C725" s="4"/>
      <c r="D725" s="4"/>
      <c r="E725" s="4"/>
      <c r="F725" s="4"/>
      <c r="G725" s="4" t="s">
        <v>21</v>
      </c>
      <c r="H725" s="4" t="s">
        <v>21</v>
      </c>
      <c r="I725" s="4"/>
      <c r="J725" s="3" t="s">
        <v>21</v>
      </c>
      <c r="K725" s="3" t="s">
        <v>21</v>
      </c>
      <c r="L725" s="3" t="s">
        <v>21</v>
      </c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2.75" x14ac:dyDescent="0.2">
      <c r="A726" s="4" t="s">
        <v>21</v>
      </c>
      <c r="B726" s="5" t="s">
        <v>21</v>
      </c>
      <c r="C726" s="4"/>
      <c r="D726" s="4"/>
      <c r="E726" s="4"/>
      <c r="F726" s="4"/>
      <c r="G726" s="4" t="s">
        <v>21</v>
      </c>
      <c r="H726" s="4" t="s">
        <v>21</v>
      </c>
      <c r="I726" s="4"/>
      <c r="J726" s="3" t="s">
        <v>21</v>
      </c>
      <c r="K726" s="3" t="s">
        <v>21</v>
      </c>
      <c r="L726" s="3" t="s">
        <v>21</v>
      </c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2.75" x14ac:dyDescent="0.2">
      <c r="A727" s="4" t="s">
        <v>21</v>
      </c>
      <c r="B727" s="5" t="s">
        <v>21</v>
      </c>
      <c r="C727" s="4"/>
      <c r="D727" s="4"/>
      <c r="E727" s="4"/>
      <c r="F727" s="4"/>
      <c r="G727" s="4" t="s">
        <v>21</v>
      </c>
      <c r="H727" s="4" t="s">
        <v>21</v>
      </c>
      <c r="I727" s="4"/>
      <c r="J727" s="3" t="s">
        <v>21</v>
      </c>
      <c r="K727" s="3" t="s">
        <v>21</v>
      </c>
      <c r="L727" s="3" t="s">
        <v>21</v>
      </c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2.75" x14ac:dyDescent="0.2">
      <c r="A728" s="4" t="s">
        <v>21</v>
      </c>
      <c r="B728" s="5" t="s">
        <v>21</v>
      </c>
      <c r="C728" s="4"/>
      <c r="D728" s="4"/>
      <c r="E728" s="4"/>
      <c r="F728" s="4"/>
      <c r="G728" s="4" t="s">
        <v>21</v>
      </c>
      <c r="H728" s="4" t="s">
        <v>21</v>
      </c>
      <c r="I728" s="4"/>
      <c r="J728" s="3" t="s">
        <v>21</v>
      </c>
      <c r="K728" s="3" t="s">
        <v>21</v>
      </c>
      <c r="L728" s="3" t="s">
        <v>21</v>
      </c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2.75" x14ac:dyDescent="0.2">
      <c r="A729" s="4" t="s">
        <v>21</v>
      </c>
      <c r="B729" s="5" t="s">
        <v>21</v>
      </c>
      <c r="C729" s="4"/>
      <c r="D729" s="4"/>
      <c r="E729" s="4"/>
      <c r="F729" s="4"/>
      <c r="G729" s="4" t="s">
        <v>21</v>
      </c>
      <c r="H729" s="4" t="s">
        <v>21</v>
      </c>
      <c r="I729" s="4"/>
      <c r="J729" s="3" t="s">
        <v>21</v>
      </c>
      <c r="K729" s="3" t="s">
        <v>21</v>
      </c>
      <c r="L729" s="3" t="s">
        <v>21</v>
      </c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2.75" x14ac:dyDescent="0.2">
      <c r="A730" s="4" t="s">
        <v>21</v>
      </c>
      <c r="B730" s="5" t="s">
        <v>21</v>
      </c>
      <c r="C730" s="4"/>
      <c r="D730" s="4"/>
      <c r="E730" s="4"/>
      <c r="F730" s="4"/>
      <c r="G730" s="4" t="s">
        <v>21</v>
      </c>
      <c r="H730" s="4" t="s">
        <v>21</v>
      </c>
      <c r="I730" s="4"/>
      <c r="J730" s="3" t="s">
        <v>21</v>
      </c>
      <c r="K730" s="3" t="s">
        <v>21</v>
      </c>
      <c r="L730" s="3" t="s">
        <v>21</v>
      </c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2.75" x14ac:dyDescent="0.2">
      <c r="A731" s="4" t="s">
        <v>21</v>
      </c>
      <c r="B731" s="5" t="s">
        <v>21</v>
      </c>
      <c r="C731" s="4"/>
      <c r="D731" s="4"/>
      <c r="E731" s="4"/>
      <c r="F731" s="4"/>
      <c r="G731" s="4" t="s">
        <v>21</v>
      </c>
      <c r="H731" s="4" t="s">
        <v>21</v>
      </c>
      <c r="I731" s="4"/>
      <c r="J731" s="3" t="s">
        <v>21</v>
      </c>
      <c r="K731" s="3" t="s">
        <v>21</v>
      </c>
      <c r="L731" s="3" t="s">
        <v>21</v>
      </c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2.75" x14ac:dyDescent="0.2">
      <c r="A732" s="4" t="s">
        <v>21</v>
      </c>
      <c r="B732" s="5" t="s">
        <v>21</v>
      </c>
      <c r="C732" s="4"/>
      <c r="D732" s="4"/>
      <c r="E732" s="4"/>
      <c r="F732" s="4"/>
      <c r="G732" s="4" t="s">
        <v>21</v>
      </c>
      <c r="H732" s="4" t="s">
        <v>21</v>
      </c>
      <c r="I732" s="4"/>
      <c r="J732" s="3" t="s">
        <v>21</v>
      </c>
      <c r="K732" s="3" t="s">
        <v>21</v>
      </c>
      <c r="L732" s="3" t="s">
        <v>21</v>
      </c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2.75" x14ac:dyDescent="0.2">
      <c r="A733" s="4" t="s">
        <v>21</v>
      </c>
      <c r="B733" s="5" t="s">
        <v>21</v>
      </c>
      <c r="C733" s="4"/>
      <c r="D733" s="4"/>
      <c r="E733" s="4"/>
      <c r="F733" s="4"/>
      <c r="G733" s="4" t="s">
        <v>21</v>
      </c>
      <c r="H733" s="4" t="s">
        <v>21</v>
      </c>
      <c r="I733" s="4"/>
      <c r="J733" s="3" t="s">
        <v>21</v>
      </c>
      <c r="K733" s="3" t="s">
        <v>21</v>
      </c>
      <c r="L733" s="3" t="s">
        <v>21</v>
      </c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2.75" x14ac:dyDescent="0.2">
      <c r="A734" s="4" t="s">
        <v>21</v>
      </c>
      <c r="B734" s="5" t="s">
        <v>21</v>
      </c>
      <c r="C734" s="4"/>
      <c r="D734" s="4"/>
      <c r="E734" s="4"/>
      <c r="F734" s="4"/>
      <c r="G734" s="4" t="s">
        <v>21</v>
      </c>
      <c r="H734" s="4" t="s">
        <v>21</v>
      </c>
      <c r="I734" s="4"/>
      <c r="J734" s="3" t="s">
        <v>21</v>
      </c>
      <c r="K734" s="3" t="s">
        <v>21</v>
      </c>
      <c r="L734" s="3" t="s">
        <v>21</v>
      </c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2.75" x14ac:dyDescent="0.2">
      <c r="A735" s="4" t="s">
        <v>21</v>
      </c>
      <c r="B735" s="5" t="s">
        <v>21</v>
      </c>
      <c r="C735" s="4"/>
      <c r="D735" s="4"/>
      <c r="E735" s="4"/>
      <c r="F735" s="4"/>
      <c r="G735" s="4" t="s">
        <v>21</v>
      </c>
      <c r="H735" s="4" t="s">
        <v>21</v>
      </c>
      <c r="I735" s="4"/>
      <c r="J735" s="3" t="s">
        <v>21</v>
      </c>
      <c r="K735" s="3" t="s">
        <v>21</v>
      </c>
      <c r="L735" s="3" t="s">
        <v>21</v>
      </c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2.75" x14ac:dyDescent="0.2">
      <c r="A736" s="4" t="s">
        <v>21</v>
      </c>
      <c r="B736" s="5" t="s">
        <v>21</v>
      </c>
      <c r="C736" s="4"/>
      <c r="D736" s="4"/>
      <c r="E736" s="4"/>
      <c r="F736" s="4"/>
      <c r="G736" s="4" t="s">
        <v>21</v>
      </c>
      <c r="H736" s="4" t="s">
        <v>21</v>
      </c>
      <c r="I736" s="4"/>
      <c r="J736" s="3" t="s">
        <v>21</v>
      </c>
      <c r="K736" s="3" t="s">
        <v>21</v>
      </c>
      <c r="L736" s="3" t="s">
        <v>21</v>
      </c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2.75" x14ac:dyDescent="0.2">
      <c r="A737" s="4" t="s">
        <v>21</v>
      </c>
      <c r="B737" s="5" t="s">
        <v>21</v>
      </c>
      <c r="C737" s="4"/>
      <c r="D737" s="4"/>
      <c r="E737" s="4"/>
      <c r="F737" s="4"/>
      <c r="G737" s="4" t="s">
        <v>21</v>
      </c>
      <c r="H737" s="4" t="s">
        <v>21</v>
      </c>
      <c r="I737" s="4"/>
      <c r="J737" s="3" t="s">
        <v>21</v>
      </c>
      <c r="K737" s="3" t="s">
        <v>21</v>
      </c>
      <c r="L737" s="3" t="s">
        <v>21</v>
      </c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2.75" x14ac:dyDescent="0.2">
      <c r="A738" s="4" t="s">
        <v>21</v>
      </c>
      <c r="B738" s="5" t="s">
        <v>21</v>
      </c>
      <c r="C738" s="4"/>
      <c r="D738" s="4"/>
      <c r="E738" s="4"/>
      <c r="F738" s="4"/>
      <c r="G738" s="4" t="s">
        <v>21</v>
      </c>
      <c r="H738" s="4" t="s">
        <v>21</v>
      </c>
      <c r="I738" s="4"/>
      <c r="J738" s="3" t="s">
        <v>21</v>
      </c>
      <c r="K738" s="3" t="s">
        <v>21</v>
      </c>
      <c r="L738" s="3" t="s">
        <v>21</v>
      </c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2.75" x14ac:dyDescent="0.2">
      <c r="A739" s="4" t="s">
        <v>21</v>
      </c>
      <c r="B739" s="5" t="s">
        <v>21</v>
      </c>
      <c r="C739" s="4"/>
      <c r="D739" s="4"/>
      <c r="E739" s="4"/>
      <c r="F739" s="4"/>
      <c r="G739" s="4" t="s">
        <v>21</v>
      </c>
      <c r="H739" s="4" t="s">
        <v>21</v>
      </c>
      <c r="I739" s="4"/>
      <c r="J739" s="3" t="s">
        <v>21</v>
      </c>
      <c r="K739" s="3" t="s">
        <v>21</v>
      </c>
      <c r="L739" s="3" t="s">
        <v>21</v>
      </c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2.75" x14ac:dyDescent="0.2">
      <c r="A740" s="4" t="s">
        <v>21</v>
      </c>
      <c r="B740" s="5" t="s">
        <v>21</v>
      </c>
      <c r="C740" s="4"/>
      <c r="D740" s="4"/>
      <c r="E740" s="4"/>
      <c r="F740" s="4"/>
      <c r="G740" s="4" t="s">
        <v>21</v>
      </c>
      <c r="H740" s="4" t="s">
        <v>21</v>
      </c>
      <c r="I740" s="4"/>
      <c r="J740" s="3" t="s">
        <v>21</v>
      </c>
      <c r="K740" s="3" t="s">
        <v>21</v>
      </c>
      <c r="L740" s="3" t="s">
        <v>21</v>
      </c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2.75" x14ac:dyDescent="0.2">
      <c r="A741" s="4" t="s">
        <v>21</v>
      </c>
      <c r="B741" s="5" t="s">
        <v>21</v>
      </c>
      <c r="C741" s="4"/>
      <c r="D741" s="4"/>
      <c r="E741" s="4"/>
      <c r="F741" s="4"/>
      <c r="G741" s="4" t="s">
        <v>21</v>
      </c>
      <c r="H741" s="4" t="s">
        <v>21</v>
      </c>
      <c r="I741" s="4"/>
      <c r="J741" s="3" t="s">
        <v>21</v>
      </c>
      <c r="K741" s="3" t="s">
        <v>21</v>
      </c>
      <c r="L741" s="3" t="s">
        <v>21</v>
      </c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2.75" x14ac:dyDescent="0.2">
      <c r="A742" s="4" t="s">
        <v>21</v>
      </c>
      <c r="B742" s="5" t="s">
        <v>21</v>
      </c>
      <c r="C742" s="4"/>
      <c r="D742" s="4"/>
      <c r="E742" s="4"/>
      <c r="F742" s="4"/>
      <c r="G742" s="4" t="s">
        <v>21</v>
      </c>
      <c r="H742" s="4" t="s">
        <v>21</v>
      </c>
      <c r="I742" s="4"/>
      <c r="J742" s="3" t="s">
        <v>21</v>
      </c>
      <c r="K742" s="3" t="s">
        <v>21</v>
      </c>
      <c r="L742" s="3" t="s">
        <v>21</v>
      </c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2.75" x14ac:dyDescent="0.2">
      <c r="A743" s="4" t="s">
        <v>21</v>
      </c>
      <c r="B743" s="5" t="s">
        <v>21</v>
      </c>
      <c r="C743" s="4"/>
      <c r="D743" s="4"/>
      <c r="E743" s="4"/>
      <c r="F743" s="4"/>
      <c r="G743" s="4" t="s">
        <v>21</v>
      </c>
      <c r="H743" s="4" t="s">
        <v>21</v>
      </c>
      <c r="I743" s="4"/>
      <c r="J743" s="3" t="s">
        <v>21</v>
      </c>
      <c r="K743" s="3" t="s">
        <v>21</v>
      </c>
      <c r="L743" s="3" t="s">
        <v>21</v>
      </c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2.75" x14ac:dyDescent="0.2">
      <c r="A744" s="4" t="s">
        <v>21</v>
      </c>
      <c r="B744" s="5" t="s">
        <v>21</v>
      </c>
      <c r="C744" s="4"/>
      <c r="D744" s="4"/>
      <c r="E744" s="4"/>
      <c r="F744" s="4"/>
      <c r="G744" s="4" t="s">
        <v>21</v>
      </c>
      <c r="H744" s="4" t="s">
        <v>21</v>
      </c>
      <c r="I744" s="4"/>
      <c r="J744" s="3" t="s">
        <v>21</v>
      </c>
      <c r="K744" s="3" t="s">
        <v>21</v>
      </c>
      <c r="L744" s="3" t="s">
        <v>21</v>
      </c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2.75" x14ac:dyDescent="0.2">
      <c r="A745" s="4" t="s">
        <v>21</v>
      </c>
      <c r="B745" s="5" t="s">
        <v>21</v>
      </c>
      <c r="C745" s="4"/>
      <c r="D745" s="4"/>
      <c r="E745" s="4"/>
      <c r="F745" s="4"/>
      <c r="G745" s="4" t="s">
        <v>21</v>
      </c>
      <c r="H745" s="4" t="s">
        <v>21</v>
      </c>
      <c r="I745" s="4"/>
      <c r="J745" s="3" t="s">
        <v>21</v>
      </c>
      <c r="K745" s="3" t="s">
        <v>21</v>
      </c>
      <c r="L745" s="3" t="s">
        <v>21</v>
      </c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2.75" x14ac:dyDescent="0.2">
      <c r="A746" s="4" t="s">
        <v>21</v>
      </c>
      <c r="B746" s="5" t="s">
        <v>21</v>
      </c>
      <c r="C746" s="4"/>
      <c r="D746" s="4"/>
      <c r="E746" s="4"/>
      <c r="F746" s="4"/>
      <c r="G746" s="4" t="s">
        <v>21</v>
      </c>
      <c r="H746" s="4" t="s">
        <v>21</v>
      </c>
      <c r="I746" s="4"/>
      <c r="J746" s="3" t="s">
        <v>21</v>
      </c>
      <c r="K746" s="3" t="s">
        <v>21</v>
      </c>
      <c r="L746" s="3" t="s">
        <v>21</v>
      </c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2.75" x14ac:dyDescent="0.2">
      <c r="A747" s="4" t="s">
        <v>21</v>
      </c>
      <c r="B747" s="5" t="s">
        <v>21</v>
      </c>
      <c r="C747" s="4"/>
      <c r="D747" s="4"/>
      <c r="E747" s="4"/>
      <c r="F747" s="4"/>
      <c r="G747" s="4" t="s">
        <v>21</v>
      </c>
      <c r="H747" s="4" t="s">
        <v>21</v>
      </c>
      <c r="I747" s="4"/>
      <c r="J747" s="3" t="s">
        <v>21</v>
      </c>
      <c r="K747" s="3" t="s">
        <v>21</v>
      </c>
      <c r="L747" s="3" t="s">
        <v>21</v>
      </c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2.75" x14ac:dyDescent="0.2">
      <c r="A748" s="4" t="s">
        <v>21</v>
      </c>
      <c r="B748" s="5" t="s">
        <v>21</v>
      </c>
      <c r="C748" s="4"/>
      <c r="D748" s="4"/>
      <c r="E748" s="4"/>
      <c r="F748" s="4"/>
      <c r="G748" s="4" t="s">
        <v>21</v>
      </c>
      <c r="H748" s="4" t="s">
        <v>21</v>
      </c>
      <c r="I748" s="4"/>
      <c r="J748" s="3" t="s">
        <v>21</v>
      </c>
      <c r="K748" s="3" t="s">
        <v>21</v>
      </c>
      <c r="L748" s="3" t="s">
        <v>21</v>
      </c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2.75" x14ac:dyDescent="0.2">
      <c r="A749" s="4" t="s">
        <v>21</v>
      </c>
      <c r="B749" s="5" t="s">
        <v>21</v>
      </c>
      <c r="C749" s="4"/>
      <c r="D749" s="4"/>
      <c r="E749" s="4"/>
      <c r="F749" s="4"/>
      <c r="G749" s="4" t="s">
        <v>21</v>
      </c>
      <c r="H749" s="4" t="s">
        <v>21</v>
      </c>
      <c r="I749" s="4"/>
      <c r="J749" s="3" t="s">
        <v>21</v>
      </c>
      <c r="K749" s="3" t="s">
        <v>21</v>
      </c>
      <c r="L749" s="3" t="s">
        <v>21</v>
      </c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2.75" x14ac:dyDescent="0.2">
      <c r="A750" s="4" t="s">
        <v>21</v>
      </c>
      <c r="B750" s="5" t="s">
        <v>21</v>
      </c>
      <c r="C750" s="4"/>
      <c r="D750" s="4"/>
      <c r="E750" s="4"/>
      <c r="F750" s="4"/>
      <c r="G750" s="4" t="s">
        <v>21</v>
      </c>
      <c r="H750" s="4" t="s">
        <v>21</v>
      </c>
      <c r="I750" s="4"/>
      <c r="J750" s="3" t="s">
        <v>21</v>
      </c>
      <c r="K750" s="3" t="s">
        <v>21</v>
      </c>
      <c r="L750" s="3" t="s">
        <v>21</v>
      </c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2.75" x14ac:dyDescent="0.2">
      <c r="A751" s="4" t="s">
        <v>21</v>
      </c>
      <c r="B751" s="5" t="s">
        <v>21</v>
      </c>
      <c r="C751" s="4"/>
      <c r="D751" s="4"/>
      <c r="E751" s="4"/>
      <c r="F751" s="4"/>
      <c r="G751" s="4" t="s">
        <v>21</v>
      </c>
      <c r="H751" s="4" t="s">
        <v>21</v>
      </c>
      <c r="I751" s="4"/>
      <c r="J751" s="3" t="s">
        <v>21</v>
      </c>
      <c r="K751" s="3" t="s">
        <v>21</v>
      </c>
      <c r="L751" s="3" t="s">
        <v>21</v>
      </c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2.75" x14ac:dyDescent="0.2">
      <c r="A752" s="4" t="s">
        <v>21</v>
      </c>
      <c r="B752" s="5" t="s">
        <v>21</v>
      </c>
      <c r="C752" s="4"/>
      <c r="D752" s="4"/>
      <c r="E752" s="4"/>
      <c r="F752" s="4"/>
      <c r="G752" s="4" t="s">
        <v>21</v>
      </c>
      <c r="H752" s="4" t="s">
        <v>21</v>
      </c>
      <c r="I752" s="4"/>
      <c r="J752" s="3" t="s">
        <v>21</v>
      </c>
      <c r="K752" s="3" t="s">
        <v>21</v>
      </c>
      <c r="L752" s="3" t="s">
        <v>21</v>
      </c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2.75" x14ac:dyDescent="0.2">
      <c r="A753" s="4" t="s">
        <v>21</v>
      </c>
      <c r="B753" s="5" t="s">
        <v>21</v>
      </c>
      <c r="C753" s="4"/>
      <c r="D753" s="4"/>
      <c r="E753" s="4"/>
      <c r="F753" s="4"/>
      <c r="G753" s="4" t="s">
        <v>21</v>
      </c>
      <c r="H753" s="4" t="s">
        <v>21</v>
      </c>
      <c r="I753" s="4"/>
      <c r="J753" s="3" t="s">
        <v>21</v>
      </c>
      <c r="K753" s="3" t="s">
        <v>21</v>
      </c>
      <c r="L753" s="3" t="s">
        <v>21</v>
      </c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2.75" x14ac:dyDescent="0.2">
      <c r="A754" s="4" t="s">
        <v>21</v>
      </c>
      <c r="B754" s="5" t="s">
        <v>21</v>
      </c>
      <c r="C754" s="4"/>
      <c r="D754" s="4"/>
      <c r="E754" s="4"/>
      <c r="F754" s="4"/>
      <c r="G754" s="4" t="s">
        <v>21</v>
      </c>
      <c r="H754" s="4" t="s">
        <v>21</v>
      </c>
      <c r="I754" s="4"/>
      <c r="J754" s="3" t="s">
        <v>21</v>
      </c>
      <c r="K754" s="3" t="s">
        <v>21</v>
      </c>
      <c r="L754" s="3" t="s">
        <v>21</v>
      </c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2.75" x14ac:dyDescent="0.2">
      <c r="A755" s="4" t="s">
        <v>21</v>
      </c>
      <c r="B755" s="5" t="s">
        <v>21</v>
      </c>
      <c r="C755" s="4"/>
      <c r="D755" s="4"/>
      <c r="E755" s="4"/>
      <c r="F755" s="4"/>
      <c r="G755" s="4" t="s">
        <v>21</v>
      </c>
      <c r="H755" s="4" t="s">
        <v>21</v>
      </c>
      <c r="I755" s="4"/>
      <c r="J755" s="3" t="s">
        <v>21</v>
      </c>
      <c r="K755" s="3" t="s">
        <v>21</v>
      </c>
      <c r="L755" s="3" t="s">
        <v>21</v>
      </c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2.75" x14ac:dyDescent="0.2">
      <c r="A756" s="4" t="s">
        <v>21</v>
      </c>
      <c r="B756" s="5" t="s">
        <v>21</v>
      </c>
      <c r="C756" s="4"/>
      <c r="D756" s="4"/>
      <c r="E756" s="4"/>
      <c r="F756" s="4"/>
      <c r="G756" s="4" t="s">
        <v>21</v>
      </c>
      <c r="H756" s="4" t="s">
        <v>21</v>
      </c>
      <c r="I756" s="4"/>
      <c r="J756" s="3" t="s">
        <v>21</v>
      </c>
      <c r="K756" s="3" t="s">
        <v>21</v>
      </c>
      <c r="L756" s="3" t="s">
        <v>21</v>
      </c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2.75" x14ac:dyDescent="0.2">
      <c r="A757" s="4" t="s">
        <v>21</v>
      </c>
      <c r="B757" s="5" t="s">
        <v>21</v>
      </c>
      <c r="C757" s="4"/>
      <c r="D757" s="4"/>
      <c r="E757" s="4"/>
      <c r="F757" s="4"/>
      <c r="G757" s="4" t="s">
        <v>21</v>
      </c>
      <c r="H757" s="4" t="s">
        <v>21</v>
      </c>
      <c r="I757" s="4"/>
      <c r="J757" s="3" t="s">
        <v>21</v>
      </c>
      <c r="K757" s="3" t="s">
        <v>21</v>
      </c>
      <c r="L757" s="3" t="s">
        <v>21</v>
      </c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2.75" x14ac:dyDescent="0.2">
      <c r="A758" s="4" t="s">
        <v>21</v>
      </c>
      <c r="B758" s="5" t="s">
        <v>21</v>
      </c>
      <c r="C758" s="4"/>
      <c r="D758" s="4"/>
      <c r="E758" s="4"/>
      <c r="F758" s="4"/>
      <c r="G758" s="4" t="s">
        <v>21</v>
      </c>
      <c r="H758" s="4" t="s">
        <v>21</v>
      </c>
      <c r="I758" s="4"/>
      <c r="J758" s="3" t="s">
        <v>21</v>
      </c>
      <c r="K758" s="3" t="s">
        <v>21</v>
      </c>
      <c r="L758" s="3" t="s">
        <v>21</v>
      </c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2.75" x14ac:dyDescent="0.2">
      <c r="A759" s="4" t="s">
        <v>21</v>
      </c>
      <c r="B759" s="5" t="s">
        <v>21</v>
      </c>
      <c r="C759" s="4"/>
      <c r="D759" s="4"/>
      <c r="E759" s="4"/>
      <c r="F759" s="4"/>
      <c r="G759" s="4" t="s">
        <v>21</v>
      </c>
      <c r="H759" s="4" t="s">
        <v>21</v>
      </c>
      <c r="I759" s="4"/>
      <c r="J759" s="3" t="s">
        <v>21</v>
      </c>
      <c r="K759" s="3" t="s">
        <v>21</v>
      </c>
      <c r="L759" s="3" t="s">
        <v>21</v>
      </c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2.75" x14ac:dyDescent="0.2">
      <c r="A760" s="4" t="s">
        <v>21</v>
      </c>
      <c r="B760" s="5" t="s">
        <v>21</v>
      </c>
      <c r="C760" s="4"/>
      <c r="D760" s="4"/>
      <c r="E760" s="4"/>
      <c r="F760" s="4"/>
      <c r="G760" s="4" t="s">
        <v>21</v>
      </c>
      <c r="H760" s="4" t="s">
        <v>21</v>
      </c>
      <c r="I760" s="4"/>
      <c r="J760" s="3" t="s">
        <v>21</v>
      </c>
      <c r="K760" s="3" t="s">
        <v>21</v>
      </c>
      <c r="L760" s="3" t="s">
        <v>21</v>
      </c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2.75" x14ac:dyDescent="0.2">
      <c r="A761" s="4" t="s">
        <v>21</v>
      </c>
      <c r="B761" s="5" t="s">
        <v>21</v>
      </c>
      <c r="C761" s="4"/>
      <c r="D761" s="4"/>
      <c r="E761" s="4"/>
      <c r="F761" s="4"/>
      <c r="G761" s="4" t="s">
        <v>21</v>
      </c>
      <c r="H761" s="4" t="s">
        <v>21</v>
      </c>
      <c r="I761" s="4"/>
      <c r="J761" s="3" t="s">
        <v>21</v>
      </c>
      <c r="K761" s="3" t="s">
        <v>21</v>
      </c>
      <c r="L761" s="3" t="s">
        <v>21</v>
      </c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2.75" x14ac:dyDescent="0.2">
      <c r="A762" s="4" t="s">
        <v>21</v>
      </c>
      <c r="B762" s="5" t="s">
        <v>21</v>
      </c>
      <c r="C762" s="4"/>
      <c r="D762" s="4"/>
      <c r="E762" s="4"/>
      <c r="F762" s="4"/>
      <c r="G762" s="4" t="s">
        <v>21</v>
      </c>
      <c r="H762" s="4" t="s">
        <v>21</v>
      </c>
      <c r="I762" s="4"/>
      <c r="J762" s="3" t="s">
        <v>21</v>
      </c>
      <c r="K762" s="3" t="s">
        <v>21</v>
      </c>
      <c r="L762" s="3" t="s">
        <v>21</v>
      </c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2.75" x14ac:dyDescent="0.2">
      <c r="A763" s="4" t="s">
        <v>21</v>
      </c>
      <c r="B763" s="5" t="s">
        <v>21</v>
      </c>
      <c r="C763" s="4"/>
      <c r="D763" s="4"/>
      <c r="E763" s="4"/>
      <c r="F763" s="4"/>
      <c r="G763" s="4" t="s">
        <v>21</v>
      </c>
      <c r="H763" s="4" t="s">
        <v>21</v>
      </c>
      <c r="I763" s="4"/>
      <c r="J763" s="3" t="s">
        <v>21</v>
      </c>
      <c r="K763" s="3" t="s">
        <v>21</v>
      </c>
      <c r="L763" s="3" t="s">
        <v>21</v>
      </c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2.75" x14ac:dyDescent="0.2">
      <c r="A764" s="4" t="s">
        <v>21</v>
      </c>
      <c r="B764" s="5" t="s">
        <v>21</v>
      </c>
      <c r="C764" s="4"/>
      <c r="D764" s="4"/>
      <c r="E764" s="4"/>
      <c r="F764" s="4"/>
      <c r="G764" s="4" t="s">
        <v>21</v>
      </c>
      <c r="H764" s="4" t="s">
        <v>21</v>
      </c>
      <c r="I764" s="4"/>
      <c r="J764" s="3" t="s">
        <v>21</v>
      </c>
      <c r="K764" s="3" t="s">
        <v>21</v>
      </c>
      <c r="L764" s="3" t="s">
        <v>21</v>
      </c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2.75" x14ac:dyDescent="0.2">
      <c r="A765" s="4" t="s">
        <v>21</v>
      </c>
      <c r="B765" s="5" t="s">
        <v>21</v>
      </c>
      <c r="C765" s="4"/>
      <c r="D765" s="4"/>
      <c r="E765" s="4"/>
      <c r="F765" s="4"/>
      <c r="G765" s="4" t="s">
        <v>21</v>
      </c>
      <c r="H765" s="4" t="s">
        <v>21</v>
      </c>
      <c r="I765" s="4"/>
      <c r="J765" s="3" t="s">
        <v>21</v>
      </c>
      <c r="K765" s="3" t="s">
        <v>21</v>
      </c>
      <c r="L765" s="3" t="s">
        <v>21</v>
      </c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2.75" x14ac:dyDescent="0.2">
      <c r="A766" s="4" t="s">
        <v>21</v>
      </c>
      <c r="B766" s="5" t="s">
        <v>21</v>
      </c>
      <c r="C766" s="4"/>
      <c r="D766" s="4"/>
      <c r="E766" s="4"/>
      <c r="F766" s="4"/>
      <c r="G766" s="4" t="s">
        <v>21</v>
      </c>
      <c r="H766" s="4" t="s">
        <v>21</v>
      </c>
      <c r="I766" s="4"/>
      <c r="J766" s="3" t="s">
        <v>21</v>
      </c>
      <c r="K766" s="3" t="s">
        <v>21</v>
      </c>
      <c r="L766" s="3" t="s">
        <v>21</v>
      </c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2.75" x14ac:dyDescent="0.2">
      <c r="A767" s="4" t="s">
        <v>21</v>
      </c>
      <c r="B767" s="5" t="s">
        <v>21</v>
      </c>
      <c r="C767" s="4"/>
      <c r="D767" s="4"/>
      <c r="E767" s="4"/>
      <c r="F767" s="4"/>
      <c r="G767" s="4" t="s">
        <v>21</v>
      </c>
      <c r="H767" s="4" t="s">
        <v>21</v>
      </c>
      <c r="I767" s="4"/>
      <c r="J767" s="3" t="s">
        <v>21</v>
      </c>
      <c r="K767" s="3" t="s">
        <v>21</v>
      </c>
      <c r="L767" s="3" t="s">
        <v>21</v>
      </c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2.75" x14ac:dyDescent="0.2">
      <c r="A768" s="4" t="s">
        <v>21</v>
      </c>
      <c r="B768" s="5" t="s">
        <v>21</v>
      </c>
      <c r="C768" s="4"/>
      <c r="D768" s="4"/>
      <c r="E768" s="4"/>
      <c r="F768" s="4"/>
      <c r="G768" s="4" t="s">
        <v>21</v>
      </c>
      <c r="H768" s="4" t="s">
        <v>21</v>
      </c>
      <c r="I768" s="4"/>
      <c r="J768" s="3" t="s">
        <v>21</v>
      </c>
      <c r="K768" s="3" t="s">
        <v>21</v>
      </c>
      <c r="L768" s="3" t="s">
        <v>21</v>
      </c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2.75" x14ac:dyDescent="0.2">
      <c r="A769" s="4" t="s">
        <v>21</v>
      </c>
      <c r="B769" s="5" t="s">
        <v>21</v>
      </c>
      <c r="C769" s="4"/>
      <c r="D769" s="4"/>
      <c r="E769" s="4"/>
      <c r="F769" s="4"/>
      <c r="G769" s="4" t="s">
        <v>21</v>
      </c>
      <c r="H769" s="4" t="s">
        <v>21</v>
      </c>
      <c r="I769" s="4"/>
      <c r="J769" s="3" t="s">
        <v>21</v>
      </c>
      <c r="K769" s="3" t="s">
        <v>21</v>
      </c>
      <c r="L769" s="3" t="s">
        <v>21</v>
      </c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2.75" x14ac:dyDescent="0.2">
      <c r="A770" s="4" t="s">
        <v>21</v>
      </c>
      <c r="B770" s="5" t="s">
        <v>21</v>
      </c>
      <c r="C770" s="4"/>
      <c r="D770" s="4"/>
      <c r="E770" s="4"/>
      <c r="F770" s="4"/>
      <c r="G770" s="4" t="s">
        <v>21</v>
      </c>
      <c r="H770" s="4" t="s">
        <v>21</v>
      </c>
      <c r="I770" s="4"/>
      <c r="J770" s="3" t="s">
        <v>21</v>
      </c>
      <c r="K770" s="3" t="s">
        <v>21</v>
      </c>
      <c r="L770" s="3" t="s">
        <v>21</v>
      </c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2.75" x14ac:dyDescent="0.2">
      <c r="A771" s="4" t="s">
        <v>21</v>
      </c>
      <c r="B771" s="5" t="s">
        <v>21</v>
      </c>
      <c r="C771" s="4"/>
      <c r="D771" s="4"/>
      <c r="E771" s="4"/>
      <c r="F771" s="4"/>
      <c r="G771" s="4" t="s">
        <v>21</v>
      </c>
      <c r="H771" s="4" t="s">
        <v>21</v>
      </c>
      <c r="I771" s="4"/>
      <c r="J771" s="3" t="s">
        <v>21</v>
      </c>
      <c r="K771" s="3" t="s">
        <v>21</v>
      </c>
      <c r="L771" s="3" t="s">
        <v>21</v>
      </c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2.75" x14ac:dyDescent="0.2">
      <c r="A772" s="4" t="s">
        <v>21</v>
      </c>
      <c r="B772" s="5" t="s">
        <v>21</v>
      </c>
      <c r="C772" s="4"/>
      <c r="D772" s="4"/>
      <c r="E772" s="4"/>
      <c r="F772" s="4"/>
      <c r="G772" s="4" t="s">
        <v>21</v>
      </c>
      <c r="H772" s="4" t="s">
        <v>21</v>
      </c>
      <c r="I772" s="4"/>
      <c r="J772" s="3" t="s">
        <v>21</v>
      </c>
      <c r="K772" s="3" t="s">
        <v>21</v>
      </c>
      <c r="L772" s="3" t="s">
        <v>21</v>
      </c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2.75" x14ac:dyDescent="0.2">
      <c r="A773" s="4" t="s">
        <v>21</v>
      </c>
      <c r="B773" s="5" t="s">
        <v>21</v>
      </c>
      <c r="C773" s="4"/>
      <c r="D773" s="4"/>
      <c r="E773" s="4"/>
      <c r="F773" s="4"/>
      <c r="G773" s="4" t="s">
        <v>21</v>
      </c>
      <c r="H773" s="4" t="s">
        <v>21</v>
      </c>
      <c r="I773" s="4"/>
      <c r="J773" s="3" t="s">
        <v>21</v>
      </c>
      <c r="K773" s="3" t="s">
        <v>21</v>
      </c>
      <c r="L773" s="3" t="s">
        <v>21</v>
      </c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2.75" x14ac:dyDescent="0.2">
      <c r="A774" s="4" t="s">
        <v>21</v>
      </c>
      <c r="B774" s="5" t="s">
        <v>21</v>
      </c>
      <c r="C774" s="4"/>
      <c r="D774" s="4"/>
      <c r="E774" s="4"/>
      <c r="F774" s="4"/>
      <c r="G774" s="4" t="s">
        <v>21</v>
      </c>
      <c r="H774" s="4" t="s">
        <v>21</v>
      </c>
      <c r="I774" s="4"/>
      <c r="J774" s="3" t="s">
        <v>21</v>
      </c>
      <c r="K774" s="3" t="s">
        <v>21</v>
      </c>
      <c r="L774" s="3" t="s">
        <v>21</v>
      </c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2.75" x14ac:dyDescent="0.2">
      <c r="A775" s="4" t="s">
        <v>21</v>
      </c>
      <c r="B775" s="5" t="s">
        <v>21</v>
      </c>
      <c r="C775" s="4"/>
      <c r="D775" s="4"/>
      <c r="E775" s="4"/>
      <c r="F775" s="4"/>
      <c r="G775" s="4" t="s">
        <v>21</v>
      </c>
      <c r="H775" s="4" t="s">
        <v>21</v>
      </c>
      <c r="I775" s="4"/>
      <c r="J775" s="3" t="s">
        <v>21</v>
      </c>
      <c r="K775" s="3" t="s">
        <v>21</v>
      </c>
      <c r="L775" s="3" t="s">
        <v>21</v>
      </c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2.75" x14ac:dyDescent="0.2">
      <c r="A776" s="4" t="s">
        <v>21</v>
      </c>
      <c r="B776" s="5" t="s">
        <v>21</v>
      </c>
      <c r="C776" s="4"/>
      <c r="D776" s="4"/>
      <c r="E776" s="4"/>
      <c r="F776" s="4"/>
      <c r="G776" s="4" t="s">
        <v>21</v>
      </c>
      <c r="H776" s="4" t="s">
        <v>21</v>
      </c>
      <c r="I776" s="4"/>
      <c r="J776" s="3" t="s">
        <v>21</v>
      </c>
      <c r="K776" s="3" t="s">
        <v>21</v>
      </c>
      <c r="L776" s="3" t="s">
        <v>21</v>
      </c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2.75" x14ac:dyDescent="0.2">
      <c r="A777" s="4" t="s">
        <v>21</v>
      </c>
      <c r="B777" s="5" t="s">
        <v>21</v>
      </c>
      <c r="C777" s="4"/>
      <c r="D777" s="4"/>
      <c r="E777" s="4"/>
      <c r="F777" s="4"/>
      <c r="G777" s="4" t="s">
        <v>21</v>
      </c>
      <c r="H777" s="4" t="s">
        <v>21</v>
      </c>
      <c r="I777" s="4"/>
      <c r="J777" s="3" t="s">
        <v>21</v>
      </c>
      <c r="K777" s="3" t="s">
        <v>21</v>
      </c>
      <c r="L777" s="3" t="s">
        <v>21</v>
      </c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2.75" x14ac:dyDescent="0.2">
      <c r="A778" s="4" t="s">
        <v>21</v>
      </c>
      <c r="B778" s="5" t="s">
        <v>21</v>
      </c>
      <c r="C778" s="4"/>
      <c r="D778" s="4"/>
      <c r="E778" s="4"/>
      <c r="F778" s="4"/>
      <c r="G778" s="4" t="s">
        <v>21</v>
      </c>
      <c r="H778" s="4" t="s">
        <v>21</v>
      </c>
      <c r="I778" s="4"/>
      <c r="J778" s="3" t="s">
        <v>21</v>
      </c>
      <c r="K778" s="3" t="s">
        <v>21</v>
      </c>
      <c r="L778" s="3" t="s">
        <v>21</v>
      </c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2.75" x14ac:dyDescent="0.2">
      <c r="A779" s="4" t="s">
        <v>21</v>
      </c>
      <c r="B779" s="5" t="s">
        <v>21</v>
      </c>
      <c r="C779" s="4"/>
      <c r="D779" s="4"/>
      <c r="E779" s="4"/>
      <c r="F779" s="4"/>
      <c r="G779" s="4" t="s">
        <v>21</v>
      </c>
      <c r="H779" s="4" t="s">
        <v>21</v>
      </c>
      <c r="I779" s="4"/>
      <c r="J779" s="3" t="s">
        <v>21</v>
      </c>
      <c r="K779" s="3" t="s">
        <v>21</v>
      </c>
      <c r="L779" s="3" t="s">
        <v>21</v>
      </c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2.75" x14ac:dyDescent="0.2">
      <c r="A780" s="4" t="s">
        <v>21</v>
      </c>
      <c r="B780" s="5" t="s">
        <v>21</v>
      </c>
      <c r="C780" s="4"/>
      <c r="D780" s="4"/>
      <c r="E780" s="4"/>
      <c r="F780" s="4"/>
      <c r="G780" s="4" t="s">
        <v>21</v>
      </c>
      <c r="H780" s="4" t="s">
        <v>21</v>
      </c>
      <c r="I780" s="4"/>
      <c r="J780" s="3" t="s">
        <v>21</v>
      </c>
      <c r="K780" s="3" t="s">
        <v>21</v>
      </c>
      <c r="L780" s="3" t="s">
        <v>21</v>
      </c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2.75" x14ac:dyDescent="0.2">
      <c r="A781" s="4" t="s">
        <v>21</v>
      </c>
      <c r="B781" s="5" t="s">
        <v>21</v>
      </c>
      <c r="C781" s="4"/>
      <c r="D781" s="4"/>
      <c r="E781" s="4"/>
      <c r="F781" s="4"/>
      <c r="G781" s="4" t="s">
        <v>21</v>
      </c>
      <c r="H781" s="4" t="s">
        <v>21</v>
      </c>
      <c r="I781" s="4"/>
      <c r="J781" s="3" t="s">
        <v>21</v>
      </c>
      <c r="K781" s="3" t="s">
        <v>21</v>
      </c>
      <c r="L781" s="3" t="s">
        <v>21</v>
      </c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2.75" x14ac:dyDescent="0.2">
      <c r="A782" s="4" t="s">
        <v>21</v>
      </c>
      <c r="B782" s="5" t="s">
        <v>21</v>
      </c>
      <c r="C782" s="4"/>
      <c r="D782" s="4"/>
      <c r="E782" s="4"/>
      <c r="F782" s="4"/>
      <c r="G782" s="4" t="s">
        <v>21</v>
      </c>
      <c r="H782" s="4" t="s">
        <v>21</v>
      </c>
      <c r="I782" s="4"/>
      <c r="J782" s="3" t="s">
        <v>21</v>
      </c>
      <c r="K782" s="3" t="s">
        <v>21</v>
      </c>
      <c r="L782" s="3" t="s">
        <v>21</v>
      </c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2.75" x14ac:dyDescent="0.2">
      <c r="A783" s="4" t="s">
        <v>21</v>
      </c>
      <c r="B783" s="5" t="s">
        <v>21</v>
      </c>
      <c r="C783" s="4"/>
      <c r="D783" s="4"/>
      <c r="E783" s="4"/>
      <c r="F783" s="4"/>
      <c r="G783" s="4" t="s">
        <v>21</v>
      </c>
      <c r="H783" s="4" t="s">
        <v>21</v>
      </c>
      <c r="I783" s="4"/>
      <c r="J783" s="3" t="s">
        <v>21</v>
      </c>
      <c r="K783" s="3" t="s">
        <v>21</v>
      </c>
      <c r="L783" s="3" t="s">
        <v>21</v>
      </c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2.75" x14ac:dyDescent="0.2">
      <c r="A784" s="4" t="s">
        <v>21</v>
      </c>
      <c r="B784" s="5" t="s">
        <v>21</v>
      </c>
      <c r="C784" s="4"/>
      <c r="D784" s="4"/>
      <c r="E784" s="4"/>
      <c r="F784" s="4"/>
      <c r="G784" s="4" t="s">
        <v>21</v>
      </c>
      <c r="H784" s="4" t="s">
        <v>21</v>
      </c>
      <c r="I784" s="4"/>
      <c r="J784" s="3" t="s">
        <v>21</v>
      </c>
      <c r="K784" s="3" t="s">
        <v>21</v>
      </c>
      <c r="L784" s="3" t="s">
        <v>21</v>
      </c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2.75" x14ac:dyDescent="0.2">
      <c r="A785" s="4" t="s">
        <v>21</v>
      </c>
      <c r="B785" s="5" t="s">
        <v>21</v>
      </c>
      <c r="C785" s="4"/>
      <c r="D785" s="4"/>
      <c r="E785" s="4"/>
      <c r="F785" s="4"/>
      <c r="G785" s="4" t="s">
        <v>21</v>
      </c>
      <c r="H785" s="4" t="s">
        <v>21</v>
      </c>
      <c r="I785" s="4"/>
      <c r="J785" s="3" t="s">
        <v>21</v>
      </c>
      <c r="K785" s="3" t="s">
        <v>21</v>
      </c>
      <c r="L785" s="3" t="s">
        <v>21</v>
      </c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2.75" x14ac:dyDescent="0.2">
      <c r="A786" s="4" t="s">
        <v>21</v>
      </c>
      <c r="B786" s="5" t="s">
        <v>21</v>
      </c>
      <c r="C786" s="4"/>
      <c r="D786" s="4"/>
      <c r="E786" s="4"/>
      <c r="F786" s="4"/>
      <c r="G786" s="4" t="s">
        <v>21</v>
      </c>
      <c r="H786" s="4" t="s">
        <v>21</v>
      </c>
      <c r="I786" s="4"/>
      <c r="J786" s="3" t="s">
        <v>21</v>
      </c>
      <c r="K786" s="3" t="s">
        <v>21</v>
      </c>
      <c r="L786" s="3" t="s">
        <v>21</v>
      </c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2.75" x14ac:dyDescent="0.2">
      <c r="A787" s="4" t="s">
        <v>21</v>
      </c>
      <c r="B787" s="5" t="s">
        <v>21</v>
      </c>
      <c r="C787" s="4"/>
      <c r="D787" s="4"/>
      <c r="E787" s="4"/>
      <c r="F787" s="4"/>
      <c r="G787" s="4" t="s">
        <v>21</v>
      </c>
      <c r="H787" s="4" t="s">
        <v>21</v>
      </c>
      <c r="I787" s="4"/>
      <c r="J787" s="3" t="s">
        <v>21</v>
      </c>
      <c r="K787" s="3" t="s">
        <v>21</v>
      </c>
      <c r="L787" s="3" t="s">
        <v>21</v>
      </c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2.75" x14ac:dyDescent="0.2">
      <c r="A788" s="4" t="s">
        <v>21</v>
      </c>
      <c r="B788" s="5" t="s">
        <v>21</v>
      </c>
      <c r="C788" s="4"/>
      <c r="D788" s="4"/>
      <c r="E788" s="4"/>
      <c r="F788" s="4"/>
      <c r="G788" s="4" t="s">
        <v>21</v>
      </c>
      <c r="H788" s="4" t="s">
        <v>21</v>
      </c>
      <c r="I788" s="4"/>
      <c r="J788" s="3" t="s">
        <v>21</v>
      </c>
      <c r="K788" s="3" t="s">
        <v>21</v>
      </c>
      <c r="L788" s="3" t="s">
        <v>21</v>
      </c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2.75" x14ac:dyDescent="0.2">
      <c r="A789" s="4" t="s">
        <v>21</v>
      </c>
      <c r="B789" s="5" t="s">
        <v>21</v>
      </c>
      <c r="C789" s="4"/>
      <c r="D789" s="4"/>
      <c r="E789" s="4"/>
      <c r="F789" s="4"/>
      <c r="G789" s="4" t="s">
        <v>21</v>
      </c>
      <c r="H789" s="4" t="s">
        <v>21</v>
      </c>
      <c r="I789" s="4"/>
      <c r="J789" s="3" t="s">
        <v>21</v>
      </c>
      <c r="K789" s="3" t="s">
        <v>21</v>
      </c>
      <c r="L789" s="3" t="s">
        <v>21</v>
      </c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2.75" x14ac:dyDescent="0.2">
      <c r="A790" s="4" t="s">
        <v>21</v>
      </c>
      <c r="B790" s="5" t="s">
        <v>21</v>
      </c>
      <c r="C790" s="4"/>
      <c r="D790" s="4"/>
      <c r="E790" s="4"/>
      <c r="F790" s="4"/>
      <c r="G790" s="4" t="s">
        <v>21</v>
      </c>
      <c r="H790" s="4" t="s">
        <v>21</v>
      </c>
      <c r="I790" s="4"/>
      <c r="J790" s="3" t="s">
        <v>21</v>
      </c>
      <c r="K790" s="3" t="s">
        <v>21</v>
      </c>
      <c r="L790" s="3" t="s">
        <v>21</v>
      </c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2.75" x14ac:dyDescent="0.2">
      <c r="A791" s="4" t="s">
        <v>21</v>
      </c>
      <c r="B791" s="5" t="s">
        <v>21</v>
      </c>
      <c r="C791" s="4"/>
      <c r="D791" s="4"/>
      <c r="E791" s="4"/>
      <c r="F791" s="4"/>
      <c r="G791" s="4" t="s">
        <v>21</v>
      </c>
      <c r="H791" s="4" t="s">
        <v>21</v>
      </c>
      <c r="I791" s="4"/>
      <c r="J791" s="3" t="s">
        <v>21</v>
      </c>
      <c r="K791" s="3" t="s">
        <v>21</v>
      </c>
      <c r="L791" s="3" t="s">
        <v>21</v>
      </c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2.75" x14ac:dyDescent="0.2">
      <c r="A792" s="4" t="s">
        <v>21</v>
      </c>
      <c r="B792" s="5" t="s">
        <v>21</v>
      </c>
      <c r="C792" s="4"/>
      <c r="D792" s="4"/>
      <c r="E792" s="4"/>
      <c r="F792" s="4"/>
      <c r="G792" s="4" t="s">
        <v>21</v>
      </c>
      <c r="H792" s="4" t="s">
        <v>21</v>
      </c>
      <c r="I792" s="4"/>
      <c r="J792" s="3" t="s">
        <v>21</v>
      </c>
      <c r="K792" s="3" t="s">
        <v>21</v>
      </c>
      <c r="L792" s="3" t="s">
        <v>21</v>
      </c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2.75" x14ac:dyDescent="0.2">
      <c r="A793" s="4" t="s">
        <v>21</v>
      </c>
      <c r="B793" s="5" t="s">
        <v>21</v>
      </c>
      <c r="C793" s="4"/>
      <c r="D793" s="4"/>
      <c r="E793" s="4"/>
      <c r="F793" s="4"/>
      <c r="G793" s="4" t="s">
        <v>21</v>
      </c>
      <c r="H793" s="4" t="s">
        <v>21</v>
      </c>
      <c r="I793" s="4"/>
      <c r="J793" s="3" t="s">
        <v>21</v>
      </c>
      <c r="K793" s="3" t="s">
        <v>21</v>
      </c>
      <c r="L793" s="3" t="s">
        <v>21</v>
      </c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2.75" x14ac:dyDescent="0.2">
      <c r="A794" s="4" t="s">
        <v>21</v>
      </c>
      <c r="B794" s="5" t="s">
        <v>21</v>
      </c>
      <c r="C794" s="4"/>
      <c r="D794" s="4"/>
      <c r="E794" s="4"/>
      <c r="F794" s="4"/>
      <c r="G794" s="4" t="s">
        <v>21</v>
      </c>
      <c r="H794" s="4" t="s">
        <v>21</v>
      </c>
      <c r="I794" s="4"/>
      <c r="J794" s="3" t="s">
        <v>21</v>
      </c>
      <c r="K794" s="3" t="s">
        <v>21</v>
      </c>
      <c r="L794" s="3" t="s">
        <v>21</v>
      </c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2.75" x14ac:dyDescent="0.2">
      <c r="A795" s="4" t="s">
        <v>21</v>
      </c>
      <c r="B795" s="5" t="s">
        <v>21</v>
      </c>
      <c r="C795" s="4"/>
      <c r="D795" s="4"/>
      <c r="E795" s="4"/>
      <c r="F795" s="4"/>
      <c r="G795" s="4" t="s">
        <v>21</v>
      </c>
      <c r="H795" s="4" t="s">
        <v>21</v>
      </c>
      <c r="I795" s="4"/>
      <c r="J795" s="3" t="s">
        <v>21</v>
      </c>
      <c r="K795" s="3" t="s">
        <v>21</v>
      </c>
      <c r="L795" s="3" t="s">
        <v>21</v>
      </c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2.75" x14ac:dyDescent="0.2">
      <c r="A796" s="4" t="s">
        <v>21</v>
      </c>
      <c r="B796" s="5" t="s">
        <v>21</v>
      </c>
      <c r="C796" s="4"/>
      <c r="D796" s="4"/>
      <c r="E796" s="4"/>
      <c r="F796" s="4"/>
      <c r="G796" s="4" t="s">
        <v>21</v>
      </c>
      <c r="H796" s="4" t="s">
        <v>21</v>
      </c>
      <c r="I796" s="4"/>
      <c r="J796" s="3" t="s">
        <v>21</v>
      </c>
      <c r="K796" s="3" t="s">
        <v>21</v>
      </c>
      <c r="L796" s="3" t="s">
        <v>21</v>
      </c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2.75" x14ac:dyDescent="0.2">
      <c r="A797" s="4" t="s">
        <v>21</v>
      </c>
      <c r="B797" s="5" t="s">
        <v>21</v>
      </c>
      <c r="C797" s="4"/>
      <c r="D797" s="4"/>
      <c r="E797" s="4"/>
      <c r="F797" s="4"/>
      <c r="G797" s="4" t="s">
        <v>21</v>
      </c>
      <c r="H797" s="4" t="s">
        <v>21</v>
      </c>
      <c r="I797" s="4"/>
      <c r="J797" s="3" t="s">
        <v>21</v>
      </c>
      <c r="K797" s="3" t="s">
        <v>21</v>
      </c>
      <c r="L797" s="3" t="s">
        <v>21</v>
      </c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2.75" x14ac:dyDescent="0.2">
      <c r="A798" s="4" t="s">
        <v>21</v>
      </c>
      <c r="B798" s="5" t="s">
        <v>21</v>
      </c>
      <c r="C798" s="4"/>
      <c r="D798" s="4"/>
      <c r="E798" s="4"/>
      <c r="F798" s="4"/>
      <c r="G798" s="4" t="s">
        <v>21</v>
      </c>
      <c r="H798" s="4" t="s">
        <v>21</v>
      </c>
      <c r="I798" s="4"/>
      <c r="J798" s="3" t="s">
        <v>21</v>
      </c>
      <c r="K798" s="3" t="s">
        <v>21</v>
      </c>
      <c r="L798" s="3" t="s">
        <v>21</v>
      </c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2.75" x14ac:dyDescent="0.2">
      <c r="A799" s="4" t="s">
        <v>21</v>
      </c>
      <c r="B799" s="5" t="s">
        <v>21</v>
      </c>
      <c r="C799" s="4"/>
      <c r="D799" s="4"/>
      <c r="E799" s="4"/>
      <c r="F799" s="4"/>
      <c r="G799" s="4" t="s">
        <v>21</v>
      </c>
      <c r="H799" s="4" t="s">
        <v>21</v>
      </c>
      <c r="I799" s="4"/>
      <c r="J799" s="3" t="s">
        <v>21</v>
      </c>
      <c r="K799" s="3" t="s">
        <v>21</v>
      </c>
      <c r="L799" s="3" t="s">
        <v>21</v>
      </c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2.75" x14ac:dyDescent="0.2">
      <c r="A800" s="4" t="s">
        <v>21</v>
      </c>
      <c r="B800" s="5" t="s">
        <v>21</v>
      </c>
      <c r="C800" s="4"/>
      <c r="D800" s="4"/>
      <c r="E800" s="4"/>
      <c r="F800" s="4"/>
      <c r="G800" s="4" t="s">
        <v>21</v>
      </c>
      <c r="H800" s="4" t="s">
        <v>21</v>
      </c>
      <c r="I800" s="4"/>
      <c r="J800" s="3" t="s">
        <v>21</v>
      </c>
      <c r="K800" s="3" t="s">
        <v>21</v>
      </c>
      <c r="L800" s="3" t="s">
        <v>21</v>
      </c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2.75" x14ac:dyDescent="0.2">
      <c r="A801" s="4" t="s">
        <v>21</v>
      </c>
      <c r="B801" s="5" t="s">
        <v>21</v>
      </c>
      <c r="C801" s="4"/>
      <c r="D801" s="4"/>
      <c r="E801" s="4"/>
      <c r="F801" s="4"/>
      <c r="G801" s="4" t="s">
        <v>21</v>
      </c>
      <c r="H801" s="4" t="s">
        <v>21</v>
      </c>
      <c r="I801" s="4"/>
      <c r="J801" s="3" t="s">
        <v>21</v>
      </c>
      <c r="K801" s="3" t="s">
        <v>21</v>
      </c>
      <c r="L801" s="3" t="s">
        <v>21</v>
      </c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2.75" x14ac:dyDescent="0.2">
      <c r="A802" s="4" t="s">
        <v>21</v>
      </c>
      <c r="B802" s="5" t="s">
        <v>21</v>
      </c>
      <c r="C802" s="4"/>
      <c r="D802" s="4"/>
      <c r="E802" s="4"/>
      <c r="F802" s="4"/>
      <c r="G802" s="4" t="s">
        <v>21</v>
      </c>
      <c r="H802" s="4" t="s">
        <v>21</v>
      </c>
      <c r="I802" s="4"/>
      <c r="J802" s="3" t="s">
        <v>21</v>
      </c>
      <c r="K802" s="3" t="s">
        <v>21</v>
      </c>
      <c r="L802" s="3" t="s">
        <v>21</v>
      </c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2.75" x14ac:dyDescent="0.2">
      <c r="A803" s="4" t="s">
        <v>21</v>
      </c>
      <c r="B803" s="5" t="s">
        <v>21</v>
      </c>
      <c r="C803" s="4"/>
      <c r="D803" s="4"/>
      <c r="E803" s="4"/>
      <c r="F803" s="4"/>
      <c r="G803" s="4" t="s">
        <v>21</v>
      </c>
      <c r="H803" s="4" t="s">
        <v>21</v>
      </c>
      <c r="I803" s="4"/>
      <c r="J803" s="3" t="s">
        <v>21</v>
      </c>
      <c r="K803" s="3" t="s">
        <v>21</v>
      </c>
      <c r="L803" s="3" t="s">
        <v>21</v>
      </c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2.75" x14ac:dyDescent="0.2">
      <c r="A804" s="4" t="s">
        <v>21</v>
      </c>
      <c r="B804" s="5" t="s">
        <v>21</v>
      </c>
      <c r="C804" s="4"/>
      <c r="D804" s="4"/>
      <c r="E804" s="4"/>
      <c r="F804" s="4"/>
      <c r="G804" s="4" t="s">
        <v>21</v>
      </c>
      <c r="H804" s="4" t="s">
        <v>21</v>
      </c>
      <c r="I804" s="4"/>
      <c r="J804" s="3" t="s">
        <v>21</v>
      </c>
      <c r="K804" s="3" t="s">
        <v>21</v>
      </c>
      <c r="L804" s="3" t="s">
        <v>21</v>
      </c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2.75" x14ac:dyDescent="0.2">
      <c r="A805" s="4" t="s">
        <v>21</v>
      </c>
      <c r="B805" s="5" t="s">
        <v>21</v>
      </c>
      <c r="C805" s="4"/>
      <c r="D805" s="4"/>
      <c r="E805" s="4"/>
      <c r="F805" s="4"/>
      <c r="G805" s="4" t="s">
        <v>21</v>
      </c>
      <c r="H805" s="4" t="s">
        <v>21</v>
      </c>
      <c r="I805" s="4"/>
      <c r="J805" s="3" t="s">
        <v>21</v>
      </c>
      <c r="K805" s="3" t="s">
        <v>21</v>
      </c>
      <c r="L805" s="3" t="s">
        <v>21</v>
      </c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2.75" x14ac:dyDescent="0.2">
      <c r="A806" s="4" t="s">
        <v>21</v>
      </c>
      <c r="B806" s="5" t="s">
        <v>21</v>
      </c>
      <c r="C806" s="4"/>
      <c r="D806" s="4"/>
      <c r="E806" s="4"/>
      <c r="F806" s="4"/>
      <c r="G806" s="4" t="s">
        <v>21</v>
      </c>
      <c r="H806" s="4" t="s">
        <v>21</v>
      </c>
      <c r="I806" s="4"/>
      <c r="J806" s="3" t="s">
        <v>21</v>
      </c>
      <c r="K806" s="3" t="s">
        <v>21</v>
      </c>
      <c r="L806" s="3" t="s">
        <v>21</v>
      </c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2.75" x14ac:dyDescent="0.2">
      <c r="A807" s="4" t="s">
        <v>21</v>
      </c>
      <c r="B807" s="5" t="s">
        <v>21</v>
      </c>
      <c r="C807" s="4"/>
      <c r="D807" s="4"/>
      <c r="E807" s="4"/>
      <c r="F807" s="4"/>
      <c r="G807" s="4" t="s">
        <v>21</v>
      </c>
      <c r="H807" s="4" t="s">
        <v>21</v>
      </c>
      <c r="I807" s="4"/>
      <c r="J807" s="3" t="s">
        <v>21</v>
      </c>
      <c r="K807" s="3" t="s">
        <v>21</v>
      </c>
      <c r="L807" s="3" t="s">
        <v>21</v>
      </c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2.75" x14ac:dyDescent="0.2">
      <c r="A808" s="4" t="s">
        <v>21</v>
      </c>
      <c r="B808" s="5" t="s">
        <v>21</v>
      </c>
      <c r="C808" s="4"/>
      <c r="D808" s="4"/>
      <c r="E808" s="4"/>
      <c r="F808" s="4"/>
      <c r="G808" s="4" t="s">
        <v>21</v>
      </c>
      <c r="H808" s="4" t="s">
        <v>21</v>
      </c>
      <c r="I808" s="4"/>
      <c r="J808" s="3" t="s">
        <v>21</v>
      </c>
      <c r="K808" s="3" t="s">
        <v>21</v>
      </c>
      <c r="L808" s="3" t="s">
        <v>21</v>
      </c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2.75" x14ac:dyDescent="0.2">
      <c r="A809" s="4" t="s">
        <v>21</v>
      </c>
      <c r="B809" s="5" t="s">
        <v>21</v>
      </c>
      <c r="C809" s="4"/>
      <c r="D809" s="4"/>
      <c r="E809" s="4"/>
      <c r="F809" s="4"/>
      <c r="G809" s="4" t="s">
        <v>21</v>
      </c>
      <c r="H809" s="4" t="s">
        <v>21</v>
      </c>
      <c r="I809" s="4"/>
      <c r="J809" s="3" t="s">
        <v>21</v>
      </c>
      <c r="K809" s="3" t="s">
        <v>21</v>
      </c>
      <c r="L809" s="3" t="s">
        <v>21</v>
      </c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2.75" x14ac:dyDescent="0.2">
      <c r="A810" s="4" t="s">
        <v>21</v>
      </c>
      <c r="B810" s="5" t="s">
        <v>21</v>
      </c>
      <c r="C810" s="4"/>
      <c r="D810" s="4"/>
      <c r="E810" s="4"/>
      <c r="F810" s="4"/>
      <c r="G810" s="4" t="s">
        <v>21</v>
      </c>
      <c r="H810" s="4" t="s">
        <v>21</v>
      </c>
      <c r="I810" s="4"/>
      <c r="J810" s="3" t="s">
        <v>21</v>
      </c>
      <c r="K810" s="3" t="s">
        <v>21</v>
      </c>
      <c r="L810" s="3" t="s">
        <v>21</v>
      </c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2.75" x14ac:dyDescent="0.2">
      <c r="A811" s="4" t="s">
        <v>21</v>
      </c>
      <c r="B811" s="5" t="s">
        <v>21</v>
      </c>
      <c r="C811" s="4"/>
      <c r="D811" s="4"/>
      <c r="E811" s="4"/>
      <c r="F811" s="4"/>
      <c r="G811" s="4" t="s">
        <v>21</v>
      </c>
      <c r="H811" s="4" t="s">
        <v>21</v>
      </c>
      <c r="I811" s="4"/>
      <c r="J811" s="3" t="s">
        <v>21</v>
      </c>
      <c r="K811" s="3" t="s">
        <v>21</v>
      </c>
      <c r="L811" s="3" t="s">
        <v>21</v>
      </c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2.75" x14ac:dyDescent="0.2">
      <c r="A812" s="4" t="s">
        <v>21</v>
      </c>
      <c r="B812" s="5" t="s">
        <v>21</v>
      </c>
      <c r="C812" s="4"/>
      <c r="D812" s="4"/>
      <c r="E812" s="4"/>
      <c r="F812" s="4"/>
      <c r="G812" s="4" t="s">
        <v>21</v>
      </c>
      <c r="H812" s="4" t="s">
        <v>21</v>
      </c>
      <c r="I812" s="4"/>
      <c r="J812" s="3" t="s">
        <v>21</v>
      </c>
      <c r="K812" s="3" t="s">
        <v>21</v>
      </c>
      <c r="L812" s="3" t="s">
        <v>21</v>
      </c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2.75" x14ac:dyDescent="0.2">
      <c r="A813" s="4" t="s">
        <v>21</v>
      </c>
      <c r="B813" s="5" t="s">
        <v>21</v>
      </c>
      <c r="C813" s="4"/>
      <c r="D813" s="4"/>
      <c r="E813" s="4"/>
      <c r="F813" s="4"/>
      <c r="G813" s="4" t="s">
        <v>21</v>
      </c>
      <c r="H813" s="4" t="s">
        <v>21</v>
      </c>
      <c r="I813" s="4"/>
      <c r="J813" s="3" t="s">
        <v>21</v>
      </c>
      <c r="K813" s="3" t="s">
        <v>21</v>
      </c>
      <c r="L813" s="3" t="s">
        <v>21</v>
      </c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2.75" x14ac:dyDescent="0.2">
      <c r="A814" s="4" t="s">
        <v>21</v>
      </c>
      <c r="B814" s="5" t="s">
        <v>21</v>
      </c>
      <c r="C814" s="4"/>
      <c r="D814" s="4"/>
      <c r="E814" s="4"/>
      <c r="F814" s="4"/>
      <c r="G814" s="4" t="s">
        <v>21</v>
      </c>
      <c r="H814" s="4" t="s">
        <v>21</v>
      </c>
      <c r="I814" s="4"/>
      <c r="J814" s="3" t="s">
        <v>21</v>
      </c>
      <c r="K814" s="3" t="s">
        <v>21</v>
      </c>
      <c r="L814" s="3" t="s">
        <v>21</v>
      </c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2.75" x14ac:dyDescent="0.2">
      <c r="A815" s="4" t="s">
        <v>21</v>
      </c>
      <c r="B815" s="5" t="s">
        <v>21</v>
      </c>
      <c r="C815" s="4"/>
      <c r="D815" s="4"/>
      <c r="E815" s="4"/>
      <c r="F815" s="4"/>
      <c r="G815" s="4" t="s">
        <v>21</v>
      </c>
      <c r="H815" s="4" t="s">
        <v>21</v>
      </c>
      <c r="I815" s="4"/>
      <c r="J815" s="3" t="s">
        <v>21</v>
      </c>
      <c r="K815" s="3" t="s">
        <v>21</v>
      </c>
      <c r="L815" s="3" t="s">
        <v>21</v>
      </c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2.75" x14ac:dyDescent="0.2">
      <c r="A816" s="4" t="s">
        <v>21</v>
      </c>
      <c r="B816" s="5" t="s">
        <v>21</v>
      </c>
      <c r="C816" s="4"/>
      <c r="D816" s="4"/>
      <c r="E816" s="4"/>
      <c r="F816" s="4"/>
      <c r="G816" s="4" t="s">
        <v>21</v>
      </c>
      <c r="H816" s="4" t="s">
        <v>21</v>
      </c>
      <c r="I816" s="4"/>
      <c r="J816" s="3" t="s">
        <v>21</v>
      </c>
      <c r="K816" s="3" t="s">
        <v>21</v>
      </c>
      <c r="L816" s="3" t="s">
        <v>21</v>
      </c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2.75" x14ac:dyDescent="0.2">
      <c r="A817" s="4" t="s">
        <v>21</v>
      </c>
      <c r="B817" s="5" t="s">
        <v>21</v>
      </c>
      <c r="C817" s="4"/>
      <c r="D817" s="4"/>
      <c r="E817" s="4"/>
      <c r="F817" s="4"/>
      <c r="G817" s="4" t="s">
        <v>21</v>
      </c>
      <c r="H817" s="4" t="s">
        <v>21</v>
      </c>
      <c r="I817" s="4"/>
      <c r="J817" s="3" t="s">
        <v>21</v>
      </c>
      <c r="K817" s="3" t="s">
        <v>21</v>
      </c>
      <c r="L817" s="3" t="s">
        <v>21</v>
      </c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2.75" x14ac:dyDescent="0.2">
      <c r="A818" s="4" t="s">
        <v>21</v>
      </c>
      <c r="B818" s="5" t="s">
        <v>21</v>
      </c>
      <c r="C818" s="4"/>
      <c r="D818" s="4"/>
      <c r="E818" s="4"/>
      <c r="F818" s="4"/>
      <c r="G818" s="4" t="s">
        <v>21</v>
      </c>
      <c r="H818" s="4" t="s">
        <v>21</v>
      </c>
      <c r="I818" s="4"/>
      <c r="J818" s="3" t="s">
        <v>21</v>
      </c>
      <c r="K818" s="3" t="s">
        <v>21</v>
      </c>
      <c r="L818" s="3" t="s">
        <v>21</v>
      </c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2.75" x14ac:dyDescent="0.2">
      <c r="A819" s="4" t="s">
        <v>21</v>
      </c>
      <c r="B819" s="5" t="s">
        <v>21</v>
      </c>
      <c r="C819" s="4"/>
      <c r="D819" s="4"/>
      <c r="E819" s="4"/>
      <c r="F819" s="4"/>
      <c r="G819" s="4" t="s">
        <v>21</v>
      </c>
      <c r="H819" s="4" t="s">
        <v>21</v>
      </c>
      <c r="I819" s="4"/>
      <c r="J819" s="3" t="s">
        <v>21</v>
      </c>
      <c r="K819" s="3" t="s">
        <v>21</v>
      </c>
      <c r="L819" s="3" t="s">
        <v>21</v>
      </c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2.75" x14ac:dyDescent="0.2">
      <c r="A820" s="4" t="s">
        <v>21</v>
      </c>
      <c r="B820" s="5" t="s">
        <v>21</v>
      </c>
      <c r="C820" s="4"/>
      <c r="D820" s="4"/>
      <c r="E820" s="4"/>
      <c r="F820" s="4"/>
      <c r="G820" s="4" t="s">
        <v>21</v>
      </c>
      <c r="H820" s="4" t="s">
        <v>21</v>
      </c>
      <c r="I820" s="4"/>
      <c r="J820" s="3" t="s">
        <v>21</v>
      </c>
      <c r="K820" s="3" t="s">
        <v>21</v>
      </c>
      <c r="L820" s="3" t="s">
        <v>21</v>
      </c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2.75" x14ac:dyDescent="0.2">
      <c r="A821" s="4" t="s">
        <v>21</v>
      </c>
      <c r="B821" s="5" t="s">
        <v>21</v>
      </c>
      <c r="C821" s="4"/>
      <c r="D821" s="4"/>
      <c r="E821" s="4"/>
      <c r="F821" s="4"/>
      <c r="G821" s="4" t="s">
        <v>21</v>
      </c>
      <c r="H821" s="4" t="s">
        <v>21</v>
      </c>
      <c r="I821" s="4"/>
      <c r="J821" s="3" t="s">
        <v>21</v>
      </c>
      <c r="K821" s="3" t="s">
        <v>21</v>
      </c>
      <c r="L821" s="3" t="s">
        <v>21</v>
      </c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2.75" x14ac:dyDescent="0.2">
      <c r="A822" s="4" t="s">
        <v>21</v>
      </c>
      <c r="B822" s="5" t="s">
        <v>21</v>
      </c>
      <c r="C822" s="4"/>
      <c r="D822" s="4"/>
      <c r="E822" s="4"/>
      <c r="F822" s="4"/>
      <c r="G822" s="4" t="s">
        <v>21</v>
      </c>
      <c r="H822" s="4" t="s">
        <v>21</v>
      </c>
      <c r="I822" s="4"/>
      <c r="J822" s="3" t="s">
        <v>21</v>
      </c>
      <c r="K822" s="3" t="s">
        <v>21</v>
      </c>
      <c r="L822" s="3" t="s">
        <v>21</v>
      </c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2.75" x14ac:dyDescent="0.2">
      <c r="A823" s="4" t="s">
        <v>21</v>
      </c>
      <c r="B823" s="5" t="s">
        <v>21</v>
      </c>
      <c r="C823" s="4"/>
      <c r="D823" s="4"/>
      <c r="E823" s="4"/>
      <c r="F823" s="4"/>
      <c r="G823" s="4" t="s">
        <v>21</v>
      </c>
      <c r="H823" s="4" t="s">
        <v>21</v>
      </c>
      <c r="I823" s="4"/>
      <c r="J823" s="3" t="s">
        <v>21</v>
      </c>
      <c r="K823" s="3" t="s">
        <v>21</v>
      </c>
      <c r="L823" s="3" t="s">
        <v>21</v>
      </c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2.75" x14ac:dyDescent="0.2">
      <c r="A824" s="4" t="s">
        <v>21</v>
      </c>
      <c r="B824" s="5" t="s">
        <v>21</v>
      </c>
      <c r="C824" s="4"/>
      <c r="D824" s="4"/>
      <c r="E824" s="4"/>
      <c r="F824" s="4"/>
      <c r="G824" s="4" t="s">
        <v>21</v>
      </c>
      <c r="H824" s="4" t="s">
        <v>21</v>
      </c>
      <c r="I824" s="4"/>
      <c r="J824" s="3" t="s">
        <v>21</v>
      </c>
      <c r="K824" s="3" t="s">
        <v>21</v>
      </c>
      <c r="L824" s="3" t="s">
        <v>21</v>
      </c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2.75" x14ac:dyDescent="0.2">
      <c r="A825" s="4" t="s">
        <v>21</v>
      </c>
      <c r="B825" s="5" t="s">
        <v>21</v>
      </c>
      <c r="C825" s="4"/>
      <c r="D825" s="4"/>
      <c r="E825" s="4"/>
      <c r="F825" s="4"/>
      <c r="G825" s="4" t="s">
        <v>21</v>
      </c>
      <c r="H825" s="4" t="s">
        <v>21</v>
      </c>
      <c r="I825" s="4"/>
      <c r="J825" s="3" t="s">
        <v>21</v>
      </c>
      <c r="K825" s="3" t="s">
        <v>21</v>
      </c>
      <c r="L825" s="3" t="s">
        <v>21</v>
      </c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2.75" x14ac:dyDescent="0.2">
      <c r="A826" s="4" t="s">
        <v>21</v>
      </c>
      <c r="B826" s="5" t="s">
        <v>21</v>
      </c>
      <c r="C826" s="4"/>
      <c r="D826" s="4"/>
      <c r="E826" s="4"/>
      <c r="F826" s="4"/>
      <c r="G826" s="4" t="s">
        <v>21</v>
      </c>
      <c r="H826" s="4" t="s">
        <v>21</v>
      </c>
      <c r="I826" s="4"/>
      <c r="J826" s="3" t="s">
        <v>21</v>
      </c>
      <c r="K826" s="3" t="s">
        <v>21</v>
      </c>
      <c r="L826" s="3" t="s">
        <v>21</v>
      </c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2.75" x14ac:dyDescent="0.2">
      <c r="A827" s="4" t="s">
        <v>21</v>
      </c>
      <c r="B827" s="5" t="s">
        <v>21</v>
      </c>
      <c r="C827" s="4"/>
      <c r="D827" s="4"/>
      <c r="E827" s="4"/>
      <c r="F827" s="4"/>
      <c r="G827" s="4" t="s">
        <v>21</v>
      </c>
      <c r="H827" s="4" t="s">
        <v>21</v>
      </c>
      <c r="I827" s="4"/>
      <c r="J827" s="3" t="s">
        <v>21</v>
      </c>
      <c r="K827" s="3" t="s">
        <v>21</v>
      </c>
      <c r="L827" s="3" t="s">
        <v>21</v>
      </c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2.75" x14ac:dyDescent="0.2">
      <c r="A828" s="4" t="s">
        <v>21</v>
      </c>
      <c r="B828" s="5" t="s">
        <v>21</v>
      </c>
      <c r="C828" s="4"/>
      <c r="D828" s="4"/>
      <c r="E828" s="4"/>
      <c r="F828" s="4"/>
      <c r="G828" s="4" t="s">
        <v>21</v>
      </c>
      <c r="H828" s="4" t="s">
        <v>21</v>
      </c>
      <c r="I828" s="4"/>
      <c r="J828" s="3" t="s">
        <v>21</v>
      </c>
      <c r="K828" s="3" t="s">
        <v>21</v>
      </c>
      <c r="L828" s="3" t="s">
        <v>21</v>
      </c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2.75" x14ac:dyDescent="0.2">
      <c r="A829" s="4" t="s">
        <v>21</v>
      </c>
      <c r="B829" s="5" t="s">
        <v>21</v>
      </c>
      <c r="C829" s="4"/>
      <c r="D829" s="4"/>
      <c r="E829" s="4"/>
      <c r="F829" s="4"/>
      <c r="G829" s="4" t="s">
        <v>21</v>
      </c>
      <c r="H829" s="4" t="s">
        <v>21</v>
      </c>
      <c r="I829" s="4"/>
      <c r="J829" s="3" t="s">
        <v>21</v>
      </c>
      <c r="K829" s="3" t="s">
        <v>21</v>
      </c>
      <c r="L829" s="3" t="s">
        <v>21</v>
      </c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2.75" x14ac:dyDescent="0.2">
      <c r="A830" s="4" t="s">
        <v>21</v>
      </c>
      <c r="B830" s="5" t="s">
        <v>21</v>
      </c>
      <c r="C830" s="4"/>
      <c r="D830" s="4"/>
      <c r="E830" s="4"/>
      <c r="F830" s="4"/>
      <c r="G830" s="4" t="s">
        <v>21</v>
      </c>
      <c r="H830" s="4" t="s">
        <v>21</v>
      </c>
      <c r="I830" s="4"/>
      <c r="J830" s="3" t="s">
        <v>21</v>
      </c>
      <c r="K830" s="3" t="s">
        <v>21</v>
      </c>
      <c r="L830" s="3" t="s">
        <v>21</v>
      </c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2.75" x14ac:dyDescent="0.2">
      <c r="A831" s="4" t="s">
        <v>21</v>
      </c>
      <c r="B831" s="5" t="s">
        <v>21</v>
      </c>
      <c r="C831" s="4"/>
      <c r="D831" s="4"/>
      <c r="E831" s="4"/>
      <c r="F831" s="4"/>
      <c r="G831" s="4" t="s">
        <v>21</v>
      </c>
      <c r="H831" s="4" t="s">
        <v>21</v>
      </c>
      <c r="I831" s="4"/>
      <c r="J831" s="3" t="s">
        <v>21</v>
      </c>
      <c r="K831" s="3" t="s">
        <v>21</v>
      </c>
      <c r="L831" s="3" t="s">
        <v>21</v>
      </c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2.75" x14ac:dyDescent="0.2">
      <c r="A832" s="4" t="s">
        <v>21</v>
      </c>
      <c r="B832" s="5" t="s">
        <v>21</v>
      </c>
      <c r="C832" s="4"/>
      <c r="D832" s="4"/>
      <c r="E832" s="4"/>
      <c r="F832" s="4"/>
      <c r="G832" s="4" t="s">
        <v>21</v>
      </c>
      <c r="H832" s="4" t="s">
        <v>21</v>
      </c>
      <c r="I832" s="4"/>
      <c r="J832" s="3" t="s">
        <v>21</v>
      </c>
      <c r="K832" s="3" t="s">
        <v>21</v>
      </c>
      <c r="L832" s="3" t="s">
        <v>21</v>
      </c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2.75" x14ac:dyDescent="0.2">
      <c r="A833" s="4" t="s">
        <v>21</v>
      </c>
      <c r="B833" s="5" t="s">
        <v>21</v>
      </c>
      <c r="C833" s="4"/>
      <c r="D833" s="4"/>
      <c r="E833" s="4"/>
      <c r="F833" s="4"/>
      <c r="G833" s="4" t="s">
        <v>21</v>
      </c>
      <c r="H833" s="4" t="s">
        <v>21</v>
      </c>
      <c r="I833" s="4"/>
      <c r="J833" s="3" t="s">
        <v>21</v>
      </c>
      <c r="K833" s="3" t="s">
        <v>21</v>
      </c>
      <c r="L833" s="3" t="s">
        <v>21</v>
      </c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2.75" x14ac:dyDescent="0.2">
      <c r="A834" s="4" t="s">
        <v>21</v>
      </c>
      <c r="B834" s="5" t="s">
        <v>21</v>
      </c>
      <c r="C834" s="4"/>
      <c r="D834" s="4"/>
      <c r="E834" s="4"/>
      <c r="F834" s="4"/>
      <c r="G834" s="4" t="s">
        <v>21</v>
      </c>
      <c r="H834" s="4" t="s">
        <v>21</v>
      </c>
      <c r="I834" s="4"/>
      <c r="J834" s="3" t="s">
        <v>21</v>
      </c>
      <c r="K834" s="3" t="s">
        <v>21</v>
      </c>
      <c r="L834" s="3" t="s">
        <v>21</v>
      </c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2.75" x14ac:dyDescent="0.2">
      <c r="A835" s="4" t="s">
        <v>21</v>
      </c>
      <c r="B835" s="5" t="s">
        <v>21</v>
      </c>
      <c r="C835" s="4"/>
      <c r="D835" s="4"/>
      <c r="E835" s="4"/>
      <c r="F835" s="4"/>
      <c r="G835" s="4" t="s">
        <v>21</v>
      </c>
      <c r="H835" s="4" t="s">
        <v>21</v>
      </c>
      <c r="I835" s="4"/>
      <c r="J835" s="3" t="s">
        <v>21</v>
      </c>
      <c r="K835" s="3" t="s">
        <v>21</v>
      </c>
      <c r="L835" s="3" t="s">
        <v>21</v>
      </c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2.75" x14ac:dyDescent="0.2">
      <c r="A836" s="4" t="s">
        <v>21</v>
      </c>
      <c r="B836" s="5" t="s">
        <v>21</v>
      </c>
      <c r="C836" s="4"/>
      <c r="D836" s="4"/>
      <c r="E836" s="4"/>
      <c r="F836" s="4"/>
      <c r="G836" s="4" t="s">
        <v>21</v>
      </c>
      <c r="H836" s="4" t="s">
        <v>21</v>
      </c>
      <c r="I836" s="4"/>
      <c r="J836" s="3" t="s">
        <v>21</v>
      </c>
      <c r="K836" s="3" t="s">
        <v>21</v>
      </c>
      <c r="L836" s="3" t="s">
        <v>21</v>
      </c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2.75" x14ac:dyDescent="0.2">
      <c r="A837" s="4" t="s">
        <v>21</v>
      </c>
      <c r="B837" s="5" t="s">
        <v>21</v>
      </c>
      <c r="C837" s="4"/>
      <c r="D837" s="4"/>
      <c r="E837" s="4"/>
      <c r="F837" s="4"/>
      <c r="G837" s="4" t="s">
        <v>21</v>
      </c>
      <c r="H837" s="4" t="s">
        <v>21</v>
      </c>
      <c r="I837" s="4"/>
      <c r="J837" s="3" t="s">
        <v>21</v>
      </c>
      <c r="K837" s="3" t="s">
        <v>21</v>
      </c>
      <c r="L837" s="3" t="s">
        <v>21</v>
      </c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2.75" x14ac:dyDescent="0.2">
      <c r="A838" s="4" t="s">
        <v>21</v>
      </c>
      <c r="B838" s="5" t="s">
        <v>21</v>
      </c>
      <c r="C838" s="4"/>
      <c r="D838" s="4"/>
      <c r="E838" s="4"/>
      <c r="F838" s="4"/>
      <c r="G838" s="4" t="s">
        <v>21</v>
      </c>
      <c r="H838" s="4" t="s">
        <v>21</v>
      </c>
      <c r="I838" s="4"/>
      <c r="J838" s="3" t="s">
        <v>21</v>
      </c>
      <c r="K838" s="3" t="s">
        <v>21</v>
      </c>
      <c r="L838" s="3" t="s">
        <v>21</v>
      </c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2.75" x14ac:dyDescent="0.2">
      <c r="A839" s="4" t="s">
        <v>21</v>
      </c>
      <c r="B839" s="5" t="s">
        <v>21</v>
      </c>
      <c r="C839" s="4"/>
      <c r="D839" s="4"/>
      <c r="E839" s="4"/>
      <c r="F839" s="4"/>
      <c r="G839" s="4" t="s">
        <v>21</v>
      </c>
      <c r="H839" s="4" t="s">
        <v>21</v>
      </c>
      <c r="I839" s="4"/>
      <c r="J839" s="3" t="s">
        <v>21</v>
      </c>
      <c r="K839" s="3" t="s">
        <v>21</v>
      </c>
      <c r="L839" s="3" t="s">
        <v>21</v>
      </c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2.75" x14ac:dyDescent="0.2">
      <c r="A840" s="4" t="s">
        <v>21</v>
      </c>
      <c r="B840" s="5" t="s">
        <v>21</v>
      </c>
      <c r="C840" s="4"/>
      <c r="D840" s="4"/>
      <c r="E840" s="4"/>
      <c r="F840" s="4"/>
      <c r="G840" s="4" t="s">
        <v>21</v>
      </c>
      <c r="H840" s="4" t="s">
        <v>21</v>
      </c>
      <c r="I840" s="4"/>
      <c r="J840" s="3" t="s">
        <v>21</v>
      </c>
      <c r="K840" s="3" t="s">
        <v>21</v>
      </c>
      <c r="L840" s="3" t="s">
        <v>21</v>
      </c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2.75" x14ac:dyDescent="0.2">
      <c r="A841" s="4" t="s">
        <v>21</v>
      </c>
      <c r="B841" s="5" t="s">
        <v>21</v>
      </c>
      <c r="C841" s="4"/>
      <c r="D841" s="4"/>
      <c r="E841" s="4"/>
      <c r="F841" s="4"/>
      <c r="G841" s="4" t="s">
        <v>21</v>
      </c>
      <c r="H841" s="4" t="s">
        <v>21</v>
      </c>
      <c r="I841" s="4"/>
      <c r="J841" s="3" t="s">
        <v>21</v>
      </c>
      <c r="K841" s="3" t="s">
        <v>21</v>
      </c>
      <c r="L841" s="3" t="s">
        <v>21</v>
      </c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2.75" x14ac:dyDescent="0.2">
      <c r="A842" s="4" t="s">
        <v>21</v>
      </c>
      <c r="B842" s="5" t="s">
        <v>21</v>
      </c>
      <c r="C842" s="4"/>
      <c r="D842" s="4"/>
      <c r="E842" s="4"/>
      <c r="F842" s="4"/>
      <c r="G842" s="4" t="s">
        <v>21</v>
      </c>
      <c r="H842" s="4" t="s">
        <v>21</v>
      </c>
      <c r="I842" s="4"/>
      <c r="J842" s="3" t="s">
        <v>21</v>
      </c>
      <c r="K842" s="3" t="s">
        <v>21</v>
      </c>
      <c r="L842" s="3" t="s">
        <v>21</v>
      </c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2.75" x14ac:dyDescent="0.2">
      <c r="A843" s="4" t="s">
        <v>21</v>
      </c>
      <c r="B843" s="5" t="s">
        <v>21</v>
      </c>
      <c r="C843" s="4"/>
      <c r="D843" s="4"/>
      <c r="E843" s="4"/>
      <c r="F843" s="4"/>
      <c r="G843" s="4" t="s">
        <v>21</v>
      </c>
      <c r="H843" s="4" t="s">
        <v>21</v>
      </c>
      <c r="I843" s="4"/>
      <c r="J843" s="3" t="s">
        <v>21</v>
      </c>
      <c r="K843" s="3" t="s">
        <v>21</v>
      </c>
      <c r="L843" s="3" t="s">
        <v>21</v>
      </c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2.75" x14ac:dyDescent="0.2">
      <c r="A844" s="4" t="s">
        <v>21</v>
      </c>
      <c r="B844" s="5" t="s">
        <v>21</v>
      </c>
      <c r="C844" s="4"/>
      <c r="D844" s="4"/>
      <c r="E844" s="4"/>
      <c r="F844" s="4"/>
      <c r="G844" s="4" t="s">
        <v>21</v>
      </c>
      <c r="H844" s="4" t="s">
        <v>21</v>
      </c>
      <c r="I844" s="4"/>
      <c r="J844" s="3" t="s">
        <v>21</v>
      </c>
      <c r="K844" s="3" t="s">
        <v>21</v>
      </c>
      <c r="L844" s="3" t="s">
        <v>21</v>
      </c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2.75" x14ac:dyDescent="0.2">
      <c r="A845" s="4" t="s">
        <v>21</v>
      </c>
      <c r="B845" s="5" t="s">
        <v>21</v>
      </c>
      <c r="C845" s="4"/>
      <c r="D845" s="4"/>
      <c r="E845" s="4"/>
      <c r="F845" s="4"/>
      <c r="G845" s="4" t="s">
        <v>21</v>
      </c>
      <c r="H845" s="4" t="s">
        <v>21</v>
      </c>
      <c r="I845" s="4"/>
      <c r="J845" s="3" t="s">
        <v>21</v>
      </c>
      <c r="K845" s="3" t="s">
        <v>21</v>
      </c>
      <c r="L845" s="3" t="s">
        <v>21</v>
      </c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2.75" x14ac:dyDescent="0.2">
      <c r="A846" s="4" t="s">
        <v>21</v>
      </c>
      <c r="B846" s="5" t="s">
        <v>21</v>
      </c>
      <c r="C846" s="4"/>
      <c r="D846" s="4"/>
      <c r="E846" s="4"/>
      <c r="F846" s="4"/>
      <c r="G846" s="4" t="s">
        <v>21</v>
      </c>
      <c r="H846" s="4" t="s">
        <v>21</v>
      </c>
      <c r="I846" s="4"/>
      <c r="J846" s="3" t="s">
        <v>21</v>
      </c>
      <c r="K846" s="3" t="s">
        <v>21</v>
      </c>
      <c r="L846" s="3" t="s">
        <v>21</v>
      </c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2.75" x14ac:dyDescent="0.2">
      <c r="A847" s="4" t="s">
        <v>21</v>
      </c>
      <c r="B847" s="5" t="s">
        <v>21</v>
      </c>
      <c r="C847" s="4"/>
      <c r="D847" s="4"/>
      <c r="E847" s="4"/>
      <c r="F847" s="4"/>
      <c r="G847" s="4" t="s">
        <v>21</v>
      </c>
      <c r="H847" s="4" t="s">
        <v>21</v>
      </c>
      <c r="I847" s="4"/>
      <c r="J847" s="3" t="s">
        <v>21</v>
      </c>
      <c r="K847" s="3" t="s">
        <v>21</v>
      </c>
      <c r="L847" s="3" t="s">
        <v>21</v>
      </c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2.75" x14ac:dyDescent="0.2">
      <c r="A848" s="4" t="s">
        <v>21</v>
      </c>
      <c r="B848" s="5" t="s">
        <v>21</v>
      </c>
      <c r="C848" s="4"/>
      <c r="D848" s="4"/>
      <c r="E848" s="4"/>
      <c r="F848" s="4"/>
      <c r="G848" s="4" t="s">
        <v>21</v>
      </c>
      <c r="H848" s="4" t="s">
        <v>21</v>
      </c>
      <c r="I848" s="4"/>
      <c r="J848" s="3" t="s">
        <v>21</v>
      </c>
      <c r="K848" s="3" t="s">
        <v>21</v>
      </c>
      <c r="L848" s="3" t="s">
        <v>21</v>
      </c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2.75" x14ac:dyDescent="0.2">
      <c r="A849" s="4" t="s">
        <v>21</v>
      </c>
      <c r="B849" s="5" t="s">
        <v>21</v>
      </c>
      <c r="C849" s="4"/>
      <c r="D849" s="4"/>
      <c r="E849" s="4"/>
      <c r="F849" s="4"/>
      <c r="G849" s="4" t="s">
        <v>21</v>
      </c>
      <c r="H849" s="4" t="s">
        <v>21</v>
      </c>
      <c r="I849" s="4"/>
      <c r="J849" s="3" t="s">
        <v>21</v>
      </c>
      <c r="K849" s="3" t="s">
        <v>21</v>
      </c>
      <c r="L849" s="3" t="s">
        <v>21</v>
      </c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2.75" x14ac:dyDescent="0.2">
      <c r="A850" s="4" t="s">
        <v>21</v>
      </c>
      <c r="B850" s="5" t="s">
        <v>21</v>
      </c>
      <c r="C850" s="4"/>
      <c r="D850" s="4"/>
      <c r="E850" s="4"/>
      <c r="F850" s="4"/>
      <c r="G850" s="4" t="s">
        <v>21</v>
      </c>
      <c r="H850" s="4" t="s">
        <v>21</v>
      </c>
      <c r="I850" s="4"/>
      <c r="J850" s="3" t="s">
        <v>21</v>
      </c>
      <c r="K850" s="3" t="s">
        <v>21</v>
      </c>
      <c r="L850" s="3" t="s">
        <v>21</v>
      </c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2.75" x14ac:dyDescent="0.2">
      <c r="A851" s="4" t="s">
        <v>21</v>
      </c>
      <c r="B851" s="5" t="s">
        <v>21</v>
      </c>
      <c r="C851" s="4"/>
      <c r="D851" s="4"/>
      <c r="E851" s="4"/>
      <c r="F851" s="4"/>
      <c r="G851" s="4" t="s">
        <v>21</v>
      </c>
      <c r="H851" s="4" t="s">
        <v>21</v>
      </c>
      <c r="I851" s="4"/>
      <c r="J851" s="3" t="s">
        <v>21</v>
      </c>
      <c r="K851" s="3" t="s">
        <v>21</v>
      </c>
      <c r="L851" s="3" t="s">
        <v>21</v>
      </c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2.75" x14ac:dyDescent="0.2">
      <c r="A852" s="4" t="s">
        <v>21</v>
      </c>
      <c r="B852" s="5" t="s">
        <v>21</v>
      </c>
      <c r="C852" s="4"/>
      <c r="D852" s="4"/>
      <c r="E852" s="4"/>
      <c r="F852" s="4"/>
      <c r="G852" s="4" t="s">
        <v>21</v>
      </c>
      <c r="H852" s="4" t="s">
        <v>21</v>
      </c>
      <c r="I852" s="4"/>
      <c r="J852" s="3" t="s">
        <v>21</v>
      </c>
      <c r="K852" s="3" t="s">
        <v>21</v>
      </c>
      <c r="L852" s="3" t="s">
        <v>21</v>
      </c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2.75" x14ac:dyDescent="0.2">
      <c r="A853" s="4" t="s">
        <v>21</v>
      </c>
      <c r="B853" s="5" t="s">
        <v>21</v>
      </c>
      <c r="C853" s="4"/>
      <c r="D853" s="4"/>
      <c r="E853" s="4"/>
      <c r="F853" s="4"/>
      <c r="G853" s="4" t="s">
        <v>21</v>
      </c>
      <c r="H853" s="4" t="s">
        <v>21</v>
      </c>
      <c r="I853" s="4"/>
      <c r="J853" s="3" t="s">
        <v>21</v>
      </c>
      <c r="K853" s="3" t="s">
        <v>21</v>
      </c>
      <c r="L853" s="3" t="s">
        <v>21</v>
      </c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2.75" x14ac:dyDescent="0.2">
      <c r="A854" s="4" t="s">
        <v>21</v>
      </c>
      <c r="B854" s="5" t="s">
        <v>21</v>
      </c>
      <c r="C854" s="4"/>
      <c r="D854" s="4"/>
      <c r="E854" s="4"/>
      <c r="F854" s="4"/>
      <c r="G854" s="4" t="s">
        <v>21</v>
      </c>
      <c r="H854" s="4" t="s">
        <v>21</v>
      </c>
      <c r="I854" s="4"/>
      <c r="J854" s="3" t="s">
        <v>21</v>
      </c>
      <c r="K854" s="3" t="s">
        <v>21</v>
      </c>
      <c r="L854" s="3" t="s">
        <v>21</v>
      </c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2.75" x14ac:dyDescent="0.2">
      <c r="A855" s="4" t="s">
        <v>21</v>
      </c>
      <c r="B855" s="5" t="s">
        <v>21</v>
      </c>
      <c r="C855" s="4"/>
      <c r="D855" s="4"/>
      <c r="E855" s="4"/>
      <c r="F855" s="4"/>
      <c r="G855" s="4" t="s">
        <v>21</v>
      </c>
      <c r="H855" s="4" t="s">
        <v>21</v>
      </c>
      <c r="I855" s="4"/>
      <c r="J855" s="3" t="s">
        <v>21</v>
      </c>
      <c r="K855" s="3" t="s">
        <v>21</v>
      </c>
      <c r="L855" s="3" t="s">
        <v>21</v>
      </c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2.75" x14ac:dyDescent="0.2">
      <c r="A856" s="4" t="s">
        <v>21</v>
      </c>
      <c r="B856" s="5" t="s">
        <v>21</v>
      </c>
      <c r="C856" s="4"/>
      <c r="D856" s="4"/>
      <c r="E856" s="4"/>
      <c r="F856" s="4"/>
      <c r="G856" s="4" t="s">
        <v>21</v>
      </c>
      <c r="H856" s="4" t="s">
        <v>21</v>
      </c>
      <c r="I856" s="4"/>
      <c r="J856" s="3" t="s">
        <v>21</v>
      </c>
      <c r="K856" s="3" t="s">
        <v>21</v>
      </c>
      <c r="L856" s="3" t="s">
        <v>21</v>
      </c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2.75" x14ac:dyDescent="0.2">
      <c r="A857" s="4" t="s">
        <v>21</v>
      </c>
      <c r="B857" s="5" t="s">
        <v>21</v>
      </c>
      <c r="C857" s="4"/>
      <c r="D857" s="4"/>
      <c r="E857" s="4"/>
      <c r="F857" s="4"/>
      <c r="G857" s="4" t="s">
        <v>21</v>
      </c>
      <c r="H857" s="4" t="s">
        <v>21</v>
      </c>
      <c r="I857" s="4"/>
      <c r="J857" s="3" t="s">
        <v>21</v>
      </c>
      <c r="K857" s="3" t="s">
        <v>21</v>
      </c>
      <c r="L857" s="3" t="s">
        <v>21</v>
      </c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2.75" x14ac:dyDescent="0.2">
      <c r="A858" s="4" t="s">
        <v>21</v>
      </c>
      <c r="B858" s="5" t="s">
        <v>21</v>
      </c>
      <c r="C858" s="4"/>
      <c r="D858" s="4"/>
      <c r="E858" s="4"/>
      <c r="F858" s="4"/>
      <c r="G858" s="4" t="s">
        <v>21</v>
      </c>
      <c r="H858" s="4" t="s">
        <v>21</v>
      </c>
      <c r="I858" s="4"/>
      <c r="J858" s="3" t="s">
        <v>21</v>
      </c>
      <c r="K858" s="3" t="s">
        <v>21</v>
      </c>
      <c r="L858" s="3" t="s">
        <v>21</v>
      </c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2.75" x14ac:dyDescent="0.2">
      <c r="A859" s="4" t="s">
        <v>21</v>
      </c>
      <c r="B859" s="5" t="s">
        <v>21</v>
      </c>
      <c r="C859" s="4"/>
      <c r="D859" s="4"/>
      <c r="E859" s="4"/>
      <c r="F859" s="4"/>
      <c r="G859" s="4" t="s">
        <v>21</v>
      </c>
      <c r="H859" s="4" t="s">
        <v>21</v>
      </c>
      <c r="I859" s="4"/>
      <c r="J859" s="3" t="s">
        <v>21</v>
      </c>
      <c r="K859" s="3" t="s">
        <v>21</v>
      </c>
      <c r="L859" s="3" t="s">
        <v>21</v>
      </c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2.75" x14ac:dyDescent="0.2">
      <c r="A860" s="4" t="s">
        <v>21</v>
      </c>
      <c r="B860" s="5" t="s">
        <v>21</v>
      </c>
      <c r="C860" s="4"/>
      <c r="D860" s="4"/>
      <c r="E860" s="4"/>
      <c r="F860" s="4"/>
      <c r="G860" s="4" t="s">
        <v>21</v>
      </c>
      <c r="H860" s="4" t="s">
        <v>21</v>
      </c>
      <c r="I860" s="4"/>
      <c r="J860" s="3" t="s">
        <v>21</v>
      </c>
      <c r="K860" s="3" t="s">
        <v>21</v>
      </c>
      <c r="L860" s="3" t="s">
        <v>21</v>
      </c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2.75" x14ac:dyDescent="0.2">
      <c r="A861" s="4" t="s">
        <v>21</v>
      </c>
      <c r="B861" s="5" t="s">
        <v>21</v>
      </c>
      <c r="C861" s="4"/>
      <c r="D861" s="4"/>
      <c r="E861" s="4"/>
      <c r="F861" s="4"/>
      <c r="G861" s="4" t="s">
        <v>21</v>
      </c>
      <c r="H861" s="4" t="s">
        <v>21</v>
      </c>
      <c r="I861" s="4"/>
      <c r="J861" s="3" t="s">
        <v>21</v>
      </c>
      <c r="K861" s="3" t="s">
        <v>21</v>
      </c>
      <c r="L861" s="3" t="s">
        <v>21</v>
      </c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2.75" x14ac:dyDescent="0.2">
      <c r="A862" s="4" t="s">
        <v>21</v>
      </c>
      <c r="B862" s="5" t="s">
        <v>21</v>
      </c>
      <c r="C862" s="4"/>
      <c r="D862" s="4"/>
      <c r="E862" s="4"/>
      <c r="F862" s="4"/>
      <c r="G862" s="4" t="s">
        <v>21</v>
      </c>
      <c r="H862" s="4" t="s">
        <v>21</v>
      </c>
      <c r="I862" s="4"/>
      <c r="J862" s="3" t="s">
        <v>21</v>
      </c>
      <c r="K862" s="3" t="s">
        <v>21</v>
      </c>
      <c r="L862" s="3" t="s">
        <v>21</v>
      </c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2.75" x14ac:dyDescent="0.2">
      <c r="A863" s="4" t="s">
        <v>21</v>
      </c>
      <c r="B863" s="5" t="s">
        <v>21</v>
      </c>
      <c r="C863" s="4"/>
      <c r="D863" s="4"/>
      <c r="E863" s="4"/>
      <c r="F863" s="4"/>
      <c r="G863" s="4" t="s">
        <v>21</v>
      </c>
      <c r="H863" s="4" t="s">
        <v>21</v>
      </c>
      <c r="I863" s="4"/>
      <c r="J863" s="3" t="s">
        <v>21</v>
      </c>
      <c r="K863" s="3" t="s">
        <v>21</v>
      </c>
      <c r="L863" s="3" t="s">
        <v>21</v>
      </c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2.75" x14ac:dyDescent="0.2">
      <c r="A864" s="4" t="s">
        <v>21</v>
      </c>
      <c r="B864" s="5" t="s">
        <v>21</v>
      </c>
      <c r="C864" s="4"/>
      <c r="D864" s="4"/>
      <c r="E864" s="4"/>
      <c r="F864" s="4"/>
      <c r="G864" s="4" t="s">
        <v>21</v>
      </c>
      <c r="H864" s="4" t="s">
        <v>21</v>
      </c>
      <c r="I864" s="4"/>
      <c r="J864" s="3" t="s">
        <v>21</v>
      </c>
      <c r="K864" s="3" t="s">
        <v>21</v>
      </c>
      <c r="L864" s="3" t="s">
        <v>21</v>
      </c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2.75" x14ac:dyDescent="0.2">
      <c r="A865" s="4" t="s">
        <v>21</v>
      </c>
      <c r="B865" s="5" t="s">
        <v>21</v>
      </c>
      <c r="C865" s="4"/>
      <c r="D865" s="4"/>
      <c r="E865" s="4"/>
      <c r="F865" s="4"/>
      <c r="G865" s="4" t="s">
        <v>21</v>
      </c>
      <c r="H865" s="4" t="s">
        <v>21</v>
      </c>
      <c r="I865" s="4"/>
      <c r="J865" s="3" t="s">
        <v>21</v>
      </c>
      <c r="K865" s="3" t="s">
        <v>21</v>
      </c>
      <c r="L865" s="3" t="s">
        <v>21</v>
      </c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2.75" x14ac:dyDescent="0.2">
      <c r="A866" s="4" t="s">
        <v>21</v>
      </c>
      <c r="B866" s="5" t="s">
        <v>21</v>
      </c>
      <c r="C866" s="4"/>
      <c r="D866" s="4"/>
      <c r="E866" s="4"/>
      <c r="F866" s="4"/>
      <c r="G866" s="4" t="s">
        <v>21</v>
      </c>
      <c r="H866" s="4" t="s">
        <v>21</v>
      </c>
      <c r="I866" s="4"/>
      <c r="J866" s="3" t="s">
        <v>21</v>
      </c>
      <c r="K866" s="3" t="s">
        <v>21</v>
      </c>
      <c r="L866" s="3" t="s">
        <v>21</v>
      </c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2.75" x14ac:dyDescent="0.2">
      <c r="A867" s="4" t="s">
        <v>21</v>
      </c>
      <c r="B867" s="5" t="s">
        <v>21</v>
      </c>
      <c r="C867" s="4"/>
      <c r="D867" s="4"/>
      <c r="E867" s="4"/>
      <c r="F867" s="4"/>
      <c r="G867" s="4" t="s">
        <v>21</v>
      </c>
      <c r="H867" s="4" t="s">
        <v>21</v>
      </c>
      <c r="I867" s="4"/>
      <c r="J867" s="3" t="s">
        <v>21</v>
      </c>
      <c r="K867" s="3" t="s">
        <v>21</v>
      </c>
      <c r="L867" s="3" t="s">
        <v>21</v>
      </c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2.75" x14ac:dyDescent="0.2">
      <c r="A868" s="4" t="s">
        <v>21</v>
      </c>
      <c r="B868" s="5" t="s">
        <v>21</v>
      </c>
      <c r="C868" s="4"/>
      <c r="D868" s="4"/>
      <c r="E868" s="4"/>
      <c r="F868" s="4"/>
      <c r="G868" s="4" t="s">
        <v>21</v>
      </c>
      <c r="H868" s="4" t="s">
        <v>21</v>
      </c>
      <c r="I868" s="4"/>
      <c r="J868" s="3" t="s">
        <v>21</v>
      </c>
      <c r="K868" s="3" t="s">
        <v>21</v>
      </c>
      <c r="L868" s="3" t="s">
        <v>21</v>
      </c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2.75" x14ac:dyDescent="0.2">
      <c r="A869" s="4" t="s">
        <v>21</v>
      </c>
      <c r="B869" s="5" t="s">
        <v>21</v>
      </c>
      <c r="C869" s="4"/>
      <c r="D869" s="4"/>
      <c r="E869" s="4"/>
      <c r="F869" s="4"/>
      <c r="G869" s="4" t="s">
        <v>21</v>
      </c>
      <c r="H869" s="4" t="s">
        <v>21</v>
      </c>
      <c r="I869" s="4"/>
      <c r="J869" s="3" t="s">
        <v>21</v>
      </c>
      <c r="K869" s="3" t="s">
        <v>21</v>
      </c>
      <c r="L869" s="3" t="s">
        <v>21</v>
      </c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2.75" x14ac:dyDescent="0.2">
      <c r="A870" s="4" t="s">
        <v>21</v>
      </c>
      <c r="B870" s="5" t="s">
        <v>21</v>
      </c>
      <c r="C870" s="4"/>
      <c r="D870" s="4"/>
      <c r="E870" s="4"/>
      <c r="F870" s="4"/>
      <c r="G870" s="4" t="s">
        <v>21</v>
      </c>
      <c r="H870" s="4" t="s">
        <v>21</v>
      </c>
      <c r="I870" s="4"/>
      <c r="J870" s="3" t="s">
        <v>21</v>
      </c>
      <c r="K870" s="3" t="s">
        <v>21</v>
      </c>
      <c r="L870" s="3" t="s">
        <v>21</v>
      </c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2.75" x14ac:dyDescent="0.2">
      <c r="A871" s="4" t="s">
        <v>21</v>
      </c>
      <c r="B871" s="5" t="s">
        <v>21</v>
      </c>
      <c r="C871" s="4"/>
      <c r="D871" s="4"/>
      <c r="E871" s="4"/>
      <c r="F871" s="4"/>
      <c r="G871" s="4" t="s">
        <v>21</v>
      </c>
      <c r="H871" s="4" t="s">
        <v>21</v>
      </c>
      <c r="I871" s="4"/>
      <c r="J871" s="3" t="s">
        <v>21</v>
      </c>
      <c r="K871" s="3" t="s">
        <v>21</v>
      </c>
      <c r="L871" s="3" t="s">
        <v>21</v>
      </c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2.75" x14ac:dyDescent="0.2">
      <c r="A872" s="4" t="s">
        <v>21</v>
      </c>
      <c r="B872" s="5" t="s">
        <v>21</v>
      </c>
      <c r="C872" s="4"/>
      <c r="D872" s="4"/>
      <c r="E872" s="4"/>
      <c r="F872" s="4"/>
      <c r="G872" s="4" t="s">
        <v>21</v>
      </c>
      <c r="H872" s="4" t="s">
        <v>21</v>
      </c>
      <c r="I872" s="4"/>
      <c r="J872" s="3" t="s">
        <v>21</v>
      </c>
      <c r="K872" s="3" t="s">
        <v>21</v>
      </c>
      <c r="L872" s="3" t="s">
        <v>21</v>
      </c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2.75" x14ac:dyDescent="0.2">
      <c r="A873" s="4" t="s">
        <v>21</v>
      </c>
      <c r="B873" s="5" t="s">
        <v>21</v>
      </c>
      <c r="C873" s="4"/>
      <c r="D873" s="4"/>
      <c r="E873" s="4"/>
      <c r="F873" s="4"/>
      <c r="G873" s="4" t="s">
        <v>21</v>
      </c>
      <c r="H873" s="4" t="s">
        <v>21</v>
      </c>
      <c r="I873" s="4"/>
      <c r="J873" s="3" t="s">
        <v>21</v>
      </c>
      <c r="K873" s="3" t="s">
        <v>21</v>
      </c>
      <c r="L873" s="3" t="s">
        <v>21</v>
      </c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2.75" x14ac:dyDescent="0.2">
      <c r="A874" s="4" t="s">
        <v>21</v>
      </c>
      <c r="B874" s="5" t="s">
        <v>21</v>
      </c>
      <c r="C874" s="4"/>
      <c r="D874" s="4"/>
      <c r="E874" s="4"/>
      <c r="F874" s="4"/>
      <c r="G874" s="4" t="s">
        <v>21</v>
      </c>
      <c r="H874" s="4" t="s">
        <v>21</v>
      </c>
      <c r="I874" s="4"/>
      <c r="J874" s="3" t="s">
        <v>21</v>
      </c>
      <c r="K874" s="3" t="s">
        <v>21</v>
      </c>
      <c r="L874" s="3" t="s">
        <v>21</v>
      </c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2.75" x14ac:dyDescent="0.2">
      <c r="A875" s="4" t="s">
        <v>21</v>
      </c>
      <c r="B875" s="5" t="s">
        <v>21</v>
      </c>
      <c r="C875" s="4"/>
      <c r="D875" s="4"/>
      <c r="E875" s="4"/>
      <c r="F875" s="4"/>
      <c r="G875" s="4" t="s">
        <v>21</v>
      </c>
      <c r="H875" s="4" t="s">
        <v>21</v>
      </c>
      <c r="I875" s="4"/>
      <c r="J875" s="3" t="s">
        <v>21</v>
      </c>
      <c r="K875" s="3" t="s">
        <v>21</v>
      </c>
      <c r="L875" s="3" t="s">
        <v>21</v>
      </c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2.75" x14ac:dyDescent="0.2">
      <c r="A876" s="4" t="s">
        <v>21</v>
      </c>
      <c r="B876" s="5" t="s">
        <v>21</v>
      </c>
      <c r="C876" s="4"/>
      <c r="D876" s="4"/>
      <c r="E876" s="4"/>
      <c r="F876" s="4"/>
      <c r="G876" s="4" t="s">
        <v>21</v>
      </c>
      <c r="H876" s="4" t="s">
        <v>21</v>
      </c>
      <c r="I876" s="4"/>
      <c r="J876" s="3" t="s">
        <v>21</v>
      </c>
      <c r="K876" s="3" t="s">
        <v>21</v>
      </c>
      <c r="L876" s="3" t="s">
        <v>21</v>
      </c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2.75" x14ac:dyDescent="0.2">
      <c r="A877" s="4" t="s">
        <v>21</v>
      </c>
      <c r="B877" s="5" t="s">
        <v>21</v>
      </c>
      <c r="C877" s="4"/>
      <c r="D877" s="4"/>
      <c r="E877" s="4"/>
      <c r="F877" s="4"/>
      <c r="G877" s="4" t="s">
        <v>21</v>
      </c>
      <c r="H877" s="4" t="s">
        <v>21</v>
      </c>
      <c r="I877" s="4"/>
      <c r="J877" s="3" t="s">
        <v>21</v>
      </c>
      <c r="K877" s="3" t="s">
        <v>21</v>
      </c>
      <c r="L877" s="3" t="s">
        <v>21</v>
      </c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2.75" x14ac:dyDescent="0.2">
      <c r="A878" s="4" t="s">
        <v>21</v>
      </c>
      <c r="B878" s="5" t="s">
        <v>21</v>
      </c>
      <c r="C878" s="4"/>
      <c r="D878" s="4"/>
      <c r="E878" s="4"/>
      <c r="F878" s="4"/>
      <c r="G878" s="4" t="s">
        <v>21</v>
      </c>
      <c r="H878" s="4" t="s">
        <v>21</v>
      </c>
      <c r="I878" s="4"/>
      <c r="J878" s="3" t="s">
        <v>21</v>
      </c>
      <c r="K878" s="3" t="s">
        <v>21</v>
      </c>
      <c r="L878" s="3" t="s">
        <v>21</v>
      </c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2.75" x14ac:dyDescent="0.2">
      <c r="A879" s="4" t="s">
        <v>21</v>
      </c>
      <c r="B879" s="5" t="s">
        <v>21</v>
      </c>
      <c r="C879" s="4"/>
      <c r="D879" s="4"/>
      <c r="E879" s="4"/>
      <c r="F879" s="4"/>
      <c r="G879" s="4" t="s">
        <v>21</v>
      </c>
      <c r="H879" s="4" t="s">
        <v>21</v>
      </c>
      <c r="I879" s="4"/>
      <c r="J879" s="3" t="s">
        <v>21</v>
      </c>
      <c r="K879" s="3" t="s">
        <v>21</v>
      </c>
      <c r="L879" s="3" t="s">
        <v>21</v>
      </c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2.75" x14ac:dyDescent="0.2">
      <c r="A880" s="4" t="s">
        <v>21</v>
      </c>
      <c r="B880" s="5" t="s">
        <v>21</v>
      </c>
      <c r="C880" s="4"/>
      <c r="D880" s="4"/>
      <c r="E880" s="4"/>
      <c r="F880" s="4"/>
      <c r="G880" s="4" t="s">
        <v>21</v>
      </c>
      <c r="H880" s="4" t="s">
        <v>21</v>
      </c>
      <c r="I880" s="4"/>
      <c r="J880" s="3" t="s">
        <v>21</v>
      </c>
      <c r="K880" s="3" t="s">
        <v>21</v>
      </c>
      <c r="L880" s="3" t="s">
        <v>21</v>
      </c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2.75" x14ac:dyDescent="0.2">
      <c r="A881" s="4" t="s">
        <v>21</v>
      </c>
      <c r="B881" s="5" t="s">
        <v>21</v>
      </c>
      <c r="C881" s="4"/>
      <c r="D881" s="4"/>
      <c r="E881" s="4"/>
      <c r="F881" s="4"/>
      <c r="G881" s="4" t="s">
        <v>21</v>
      </c>
      <c r="H881" s="4" t="s">
        <v>21</v>
      </c>
      <c r="I881" s="4"/>
      <c r="J881" s="3" t="s">
        <v>21</v>
      </c>
      <c r="K881" s="3" t="s">
        <v>21</v>
      </c>
      <c r="L881" s="3" t="s">
        <v>21</v>
      </c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2.75" x14ac:dyDescent="0.2">
      <c r="A882" s="4" t="s">
        <v>21</v>
      </c>
      <c r="B882" s="5" t="s">
        <v>21</v>
      </c>
      <c r="C882" s="4"/>
      <c r="D882" s="4"/>
      <c r="E882" s="4"/>
      <c r="F882" s="4"/>
      <c r="G882" s="4" t="s">
        <v>21</v>
      </c>
      <c r="H882" s="4" t="s">
        <v>21</v>
      </c>
      <c r="I882" s="4"/>
      <c r="J882" s="3" t="s">
        <v>21</v>
      </c>
      <c r="K882" s="3" t="s">
        <v>21</v>
      </c>
      <c r="L882" s="3" t="s">
        <v>21</v>
      </c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2.75" x14ac:dyDescent="0.2">
      <c r="A883" s="4" t="s">
        <v>21</v>
      </c>
      <c r="B883" s="5" t="s">
        <v>21</v>
      </c>
      <c r="C883" s="4"/>
      <c r="D883" s="4"/>
      <c r="E883" s="4"/>
      <c r="F883" s="4"/>
      <c r="G883" s="4" t="s">
        <v>21</v>
      </c>
      <c r="H883" s="4" t="s">
        <v>21</v>
      </c>
      <c r="I883" s="4"/>
      <c r="J883" s="3" t="s">
        <v>21</v>
      </c>
      <c r="K883" s="3" t="s">
        <v>21</v>
      </c>
      <c r="L883" s="3" t="s">
        <v>21</v>
      </c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2.75" x14ac:dyDescent="0.2">
      <c r="A884" s="4" t="s">
        <v>21</v>
      </c>
      <c r="B884" s="5" t="s">
        <v>21</v>
      </c>
      <c r="C884" s="4"/>
      <c r="D884" s="4"/>
      <c r="E884" s="4"/>
      <c r="F884" s="4"/>
      <c r="G884" s="4" t="s">
        <v>21</v>
      </c>
      <c r="H884" s="4" t="s">
        <v>21</v>
      </c>
      <c r="I884" s="4"/>
      <c r="J884" s="3" t="s">
        <v>21</v>
      </c>
      <c r="K884" s="3" t="s">
        <v>21</v>
      </c>
      <c r="L884" s="3" t="s">
        <v>21</v>
      </c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2.75" x14ac:dyDescent="0.2">
      <c r="A885" s="4" t="s">
        <v>21</v>
      </c>
      <c r="B885" s="5" t="s">
        <v>21</v>
      </c>
      <c r="C885" s="4"/>
      <c r="D885" s="4"/>
      <c r="E885" s="4"/>
      <c r="F885" s="4"/>
      <c r="G885" s="4" t="s">
        <v>21</v>
      </c>
      <c r="H885" s="4" t="s">
        <v>21</v>
      </c>
      <c r="I885" s="4"/>
      <c r="J885" s="3" t="s">
        <v>21</v>
      </c>
      <c r="K885" s="3" t="s">
        <v>21</v>
      </c>
      <c r="L885" s="3" t="s">
        <v>21</v>
      </c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2.75" x14ac:dyDescent="0.2">
      <c r="A886" s="4" t="s">
        <v>21</v>
      </c>
      <c r="B886" s="5" t="s">
        <v>21</v>
      </c>
      <c r="C886" s="4"/>
      <c r="D886" s="4"/>
      <c r="E886" s="4"/>
      <c r="F886" s="4"/>
      <c r="G886" s="4" t="s">
        <v>21</v>
      </c>
      <c r="H886" s="4" t="s">
        <v>21</v>
      </c>
      <c r="I886" s="4"/>
      <c r="J886" s="3" t="s">
        <v>21</v>
      </c>
      <c r="K886" s="3" t="s">
        <v>21</v>
      </c>
      <c r="L886" s="3" t="s">
        <v>21</v>
      </c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2.75" x14ac:dyDescent="0.2">
      <c r="A887" s="4" t="s">
        <v>21</v>
      </c>
      <c r="B887" s="5" t="s">
        <v>21</v>
      </c>
      <c r="C887" s="4"/>
      <c r="D887" s="4"/>
      <c r="E887" s="4"/>
      <c r="F887" s="4"/>
      <c r="G887" s="4" t="s">
        <v>21</v>
      </c>
      <c r="H887" s="4" t="s">
        <v>21</v>
      </c>
      <c r="I887" s="4"/>
      <c r="J887" s="3" t="s">
        <v>21</v>
      </c>
      <c r="K887" s="3" t="s">
        <v>21</v>
      </c>
      <c r="L887" s="3" t="s">
        <v>21</v>
      </c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2.75" x14ac:dyDescent="0.2">
      <c r="A888" s="4" t="s">
        <v>21</v>
      </c>
      <c r="B888" s="5" t="s">
        <v>21</v>
      </c>
      <c r="C888" s="4"/>
      <c r="D888" s="4"/>
      <c r="E888" s="4"/>
      <c r="F888" s="4"/>
      <c r="G888" s="4" t="s">
        <v>21</v>
      </c>
      <c r="H888" s="4" t="s">
        <v>21</v>
      </c>
      <c r="I888" s="4"/>
      <c r="J888" s="3" t="s">
        <v>21</v>
      </c>
      <c r="K888" s="3" t="s">
        <v>21</v>
      </c>
      <c r="L888" s="3" t="s">
        <v>21</v>
      </c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2.75" x14ac:dyDescent="0.2">
      <c r="A889" s="4" t="s">
        <v>21</v>
      </c>
      <c r="B889" s="5" t="s">
        <v>21</v>
      </c>
      <c r="C889" s="4"/>
      <c r="D889" s="4"/>
      <c r="E889" s="4"/>
      <c r="F889" s="4"/>
      <c r="G889" s="4" t="s">
        <v>21</v>
      </c>
      <c r="H889" s="4" t="s">
        <v>21</v>
      </c>
      <c r="I889" s="4"/>
      <c r="J889" s="3" t="s">
        <v>21</v>
      </c>
      <c r="K889" s="3" t="s">
        <v>21</v>
      </c>
      <c r="L889" s="3" t="s">
        <v>21</v>
      </c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2.75" x14ac:dyDescent="0.2">
      <c r="A890" s="4" t="s">
        <v>21</v>
      </c>
      <c r="B890" s="5" t="s">
        <v>21</v>
      </c>
      <c r="C890" s="4"/>
      <c r="D890" s="4"/>
      <c r="E890" s="4"/>
      <c r="F890" s="4"/>
      <c r="G890" s="4" t="s">
        <v>21</v>
      </c>
      <c r="H890" s="4" t="s">
        <v>21</v>
      </c>
      <c r="I890" s="4"/>
      <c r="J890" s="3" t="s">
        <v>21</v>
      </c>
      <c r="K890" s="3" t="s">
        <v>21</v>
      </c>
      <c r="L890" s="3" t="s">
        <v>21</v>
      </c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2.75" x14ac:dyDescent="0.2">
      <c r="A891" s="4" t="s">
        <v>21</v>
      </c>
      <c r="B891" s="5" t="s">
        <v>21</v>
      </c>
      <c r="C891" s="4"/>
      <c r="D891" s="4"/>
      <c r="E891" s="4"/>
      <c r="F891" s="4"/>
      <c r="G891" s="4" t="s">
        <v>21</v>
      </c>
      <c r="H891" s="4" t="s">
        <v>21</v>
      </c>
      <c r="I891" s="4"/>
      <c r="J891" s="3" t="s">
        <v>21</v>
      </c>
      <c r="K891" s="3" t="s">
        <v>21</v>
      </c>
      <c r="L891" s="3" t="s">
        <v>21</v>
      </c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2.75" x14ac:dyDescent="0.2">
      <c r="A892" s="4" t="s">
        <v>21</v>
      </c>
      <c r="B892" s="5" t="s">
        <v>21</v>
      </c>
      <c r="C892" s="4"/>
      <c r="D892" s="4"/>
      <c r="E892" s="4"/>
      <c r="F892" s="4"/>
      <c r="G892" s="4" t="s">
        <v>21</v>
      </c>
      <c r="H892" s="4" t="s">
        <v>21</v>
      </c>
      <c r="I892" s="4"/>
      <c r="J892" s="3" t="s">
        <v>21</v>
      </c>
      <c r="K892" s="3" t="s">
        <v>21</v>
      </c>
      <c r="L892" s="3" t="s">
        <v>21</v>
      </c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2.75" x14ac:dyDescent="0.2">
      <c r="A893" s="4" t="s">
        <v>21</v>
      </c>
      <c r="B893" s="5" t="s">
        <v>21</v>
      </c>
      <c r="C893" s="4"/>
      <c r="D893" s="4"/>
      <c r="E893" s="4"/>
      <c r="F893" s="4"/>
      <c r="G893" s="4" t="s">
        <v>21</v>
      </c>
      <c r="H893" s="4" t="s">
        <v>21</v>
      </c>
      <c r="I893" s="4"/>
      <c r="J893" s="3" t="s">
        <v>21</v>
      </c>
      <c r="K893" s="3" t="s">
        <v>21</v>
      </c>
      <c r="L893" s="3" t="s">
        <v>21</v>
      </c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2.75" x14ac:dyDescent="0.2">
      <c r="A894" s="4" t="s">
        <v>21</v>
      </c>
      <c r="B894" s="5" t="s">
        <v>21</v>
      </c>
      <c r="C894" s="4"/>
      <c r="D894" s="4"/>
      <c r="E894" s="4"/>
      <c r="F894" s="4"/>
      <c r="G894" s="4" t="s">
        <v>21</v>
      </c>
      <c r="H894" s="4" t="s">
        <v>21</v>
      </c>
      <c r="I894" s="4"/>
      <c r="J894" s="3" t="s">
        <v>21</v>
      </c>
      <c r="K894" s="3" t="s">
        <v>21</v>
      </c>
      <c r="L894" s="3" t="s">
        <v>21</v>
      </c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2.75" x14ac:dyDescent="0.2">
      <c r="A895" s="4" t="s">
        <v>21</v>
      </c>
      <c r="B895" s="5" t="s">
        <v>21</v>
      </c>
      <c r="C895" s="4"/>
      <c r="D895" s="4"/>
      <c r="E895" s="4"/>
      <c r="F895" s="4"/>
      <c r="G895" s="4" t="s">
        <v>21</v>
      </c>
      <c r="H895" s="4" t="s">
        <v>21</v>
      </c>
      <c r="I895" s="4"/>
      <c r="J895" s="3" t="s">
        <v>21</v>
      </c>
      <c r="K895" s="3" t="s">
        <v>21</v>
      </c>
      <c r="L895" s="3" t="s">
        <v>21</v>
      </c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2.75" x14ac:dyDescent="0.2">
      <c r="A896" s="4" t="s">
        <v>21</v>
      </c>
      <c r="B896" s="5" t="s">
        <v>21</v>
      </c>
      <c r="C896" s="4"/>
      <c r="D896" s="4"/>
      <c r="E896" s="4"/>
      <c r="F896" s="4"/>
      <c r="G896" s="4" t="s">
        <v>21</v>
      </c>
      <c r="H896" s="4" t="s">
        <v>21</v>
      </c>
      <c r="I896" s="4"/>
      <c r="J896" s="3" t="s">
        <v>21</v>
      </c>
      <c r="K896" s="3" t="s">
        <v>21</v>
      </c>
      <c r="L896" s="3" t="s">
        <v>21</v>
      </c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2.75" x14ac:dyDescent="0.2">
      <c r="A897" s="4" t="s">
        <v>21</v>
      </c>
      <c r="B897" s="5" t="s">
        <v>21</v>
      </c>
      <c r="C897" s="4"/>
      <c r="D897" s="4"/>
      <c r="E897" s="4"/>
      <c r="F897" s="4"/>
      <c r="G897" s="4" t="s">
        <v>21</v>
      </c>
      <c r="H897" s="4" t="s">
        <v>21</v>
      </c>
      <c r="I897" s="4"/>
      <c r="J897" s="3" t="s">
        <v>21</v>
      </c>
      <c r="K897" s="3" t="s">
        <v>21</v>
      </c>
      <c r="L897" s="3" t="s">
        <v>21</v>
      </c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2.75" x14ac:dyDescent="0.2">
      <c r="A898" s="4" t="s">
        <v>21</v>
      </c>
      <c r="B898" s="5" t="s">
        <v>21</v>
      </c>
      <c r="C898" s="4"/>
      <c r="D898" s="4"/>
      <c r="E898" s="4"/>
      <c r="F898" s="4"/>
      <c r="G898" s="4" t="s">
        <v>21</v>
      </c>
      <c r="H898" s="4" t="s">
        <v>21</v>
      </c>
      <c r="I898" s="4"/>
      <c r="J898" s="3" t="s">
        <v>21</v>
      </c>
      <c r="K898" s="3" t="s">
        <v>21</v>
      </c>
      <c r="L898" s="3" t="s">
        <v>21</v>
      </c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2.75" x14ac:dyDescent="0.2">
      <c r="A899" s="4" t="s">
        <v>21</v>
      </c>
      <c r="B899" s="5" t="s">
        <v>21</v>
      </c>
      <c r="C899" s="4"/>
      <c r="D899" s="4"/>
      <c r="E899" s="4"/>
      <c r="F899" s="4"/>
      <c r="G899" s="4" t="s">
        <v>21</v>
      </c>
      <c r="H899" s="4" t="s">
        <v>21</v>
      </c>
      <c r="I899" s="4"/>
      <c r="J899" s="3" t="s">
        <v>21</v>
      </c>
      <c r="K899" s="3" t="s">
        <v>21</v>
      </c>
      <c r="L899" s="3" t="s">
        <v>21</v>
      </c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2.75" x14ac:dyDescent="0.2">
      <c r="A900" s="4" t="s">
        <v>21</v>
      </c>
      <c r="B900" s="5" t="s">
        <v>21</v>
      </c>
      <c r="C900" s="4"/>
      <c r="D900" s="4"/>
      <c r="E900" s="4"/>
      <c r="F900" s="4"/>
      <c r="G900" s="4" t="s">
        <v>21</v>
      </c>
      <c r="H900" s="4" t="s">
        <v>21</v>
      </c>
      <c r="I900" s="4"/>
      <c r="J900" s="3" t="s">
        <v>21</v>
      </c>
      <c r="K900" s="3" t="s">
        <v>21</v>
      </c>
      <c r="L900" s="3" t="s">
        <v>21</v>
      </c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2.75" x14ac:dyDescent="0.2">
      <c r="A901" s="4" t="s">
        <v>21</v>
      </c>
      <c r="B901" s="5" t="s">
        <v>21</v>
      </c>
      <c r="C901" s="4"/>
      <c r="D901" s="4"/>
      <c r="E901" s="4"/>
      <c r="F901" s="4"/>
      <c r="G901" s="4" t="s">
        <v>21</v>
      </c>
      <c r="H901" s="4" t="s">
        <v>21</v>
      </c>
      <c r="I901" s="4"/>
      <c r="J901" s="3" t="s">
        <v>21</v>
      </c>
      <c r="K901" s="3" t="s">
        <v>21</v>
      </c>
      <c r="L901" s="3" t="s">
        <v>21</v>
      </c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2.75" x14ac:dyDescent="0.2">
      <c r="A902" s="4" t="s">
        <v>21</v>
      </c>
      <c r="B902" s="5" t="s">
        <v>21</v>
      </c>
      <c r="C902" s="4"/>
      <c r="D902" s="4"/>
      <c r="E902" s="4"/>
      <c r="F902" s="4"/>
      <c r="G902" s="4" t="s">
        <v>21</v>
      </c>
      <c r="H902" s="4" t="s">
        <v>21</v>
      </c>
      <c r="I902" s="4"/>
      <c r="J902" s="3" t="s">
        <v>21</v>
      </c>
      <c r="K902" s="3" t="s">
        <v>21</v>
      </c>
      <c r="L902" s="3" t="s">
        <v>21</v>
      </c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2.75" x14ac:dyDescent="0.2">
      <c r="A903" s="4" t="s">
        <v>21</v>
      </c>
      <c r="B903" s="5" t="s">
        <v>21</v>
      </c>
      <c r="C903" s="4"/>
      <c r="D903" s="4"/>
      <c r="E903" s="4"/>
      <c r="F903" s="4"/>
      <c r="G903" s="4" t="s">
        <v>21</v>
      </c>
      <c r="H903" s="4" t="s">
        <v>21</v>
      </c>
      <c r="I903" s="4"/>
      <c r="J903" s="3" t="s">
        <v>21</v>
      </c>
      <c r="K903" s="3" t="s">
        <v>21</v>
      </c>
      <c r="L903" s="3" t="s">
        <v>21</v>
      </c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2.75" x14ac:dyDescent="0.2">
      <c r="A904" s="4" t="s">
        <v>21</v>
      </c>
      <c r="B904" s="5" t="s">
        <v>21</v>
      </c>
      <c r="C904" s="4"/>
      <c r="D904" s="4"/>
      <c r="E904" s="4"/>
      <c r="F904" s="4"/>
      <c r="G904" s="4" t="s">
        <v>21</v>
      </c>
      <c r="H904" s="4" t="s">
        <v>21</v>
      </c>
      <c r="I904" s="4"/>
      <c r="J904" s="3" t="s">
        <v>21</v>
      </c>
      <c r="K904" s="3" t="s">
        <v>21</v>
      </c>
      <c r="L904" s="3" t="s">
        <v>21</v>
      </c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2.75" x14ac:dyDescent="0.2">
      <c r="A905" s="4" t="s">
        <v>21</v>
      </c>
      <c r="B905" s="5" t="s">
        <v>21</v>
      </c>
      <c r="C905" s="4"/>
      <c r="D905" s="4"/>
      <c r="E905" s="4"/>
      <c r="F905" s="4"/>
      <c r="G905" s="4" t="s">
        <v>21</v>
      </c>
      <c r="H905" s="4" t="s">
        <v>21</v>
      </c>
      <c r="I905" s="4"/>
      <c r="J905" s="3" t="s">
        <v>21</v>
      </c>
      <c r="K905" s="3" t="s">
        <v>21</v>
      </c>
      <c r="L905" s="3" t="s">
        <v>21</v>
      </c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2.75" x14ac:dyDescent="0.2">
      <c r="A906" s="4" t="s">
        <v>21</v>
      </c>
      <c r="B906" s="5" t="s">
        <v>21</v>
      </c>
      <c r="C906" s="4"/>
      <c r="D906" s="4"/>
      <c r="E906" s="4"/>
      <c r="F906" s="4"/>
      <c r="G906" s="4" t="s">
        <v>21</v>
      </c>
      <c r="H906" s="4" t="s">
        <v>21</v>
      </c>
      <c r="I906" s="4"/>
      <c r="J906" s="3" t="s">
        <v>21</v>
      </c>
      <c r="K906" s="3" t="s">
        <v>21</v>
      </c>
      <c r="L906" s="3" t="s">
        <v>21</v>
      </c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2.75" x14ac:dyDescent="0.2">
      <c r="A907" s="4" t="s">
        <v>21</v>
      </c>
      <c r="B907" s="5" t="s">
        <v>21</v>
      </c>
      <c r="C907" s="4"/>
      <c r="D907" s="4"/>
      <c r="E907" s="4"/>
      <c r="F907" s="4"/>
      <c r="G907" s="4" t="s">
        <v>21</v>
      </c>
      <c r="H907" s="4" t="s">
        <v>21</v>
      </c>
      <c r="I907" s="4"/>
      <c r="J907" s="3" t="s">
        <v>21</v>
      </c>
      <c r="K907" s="3" t="s">
        <v>21</v>
      </c>
      <c r="L907" s="3" t="s">
        <v>21</v>
      </c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2.75" x14ac:dyDescent="0.2">
      <c r="A908" s="4" t="s">
        <v>21</v>
      </c>
      <c r="B908" s="5" t="s">
        <v>21</v>
      </c>
      <c r="C908" s="4"/>
      <c r="D908" s="4"/>
      <c r="E908" s="4"/>
      <c r="F908" s="4"/>
      <c r="G908" s="4" t="s">
        <v>21</v>
      </c>
      <c r="H908" s="4" t="s">
        <v>21</v>
      </c>
      <c r="I908" s="4"/>
      <c r="J908" s="3" t="s">
        <v>21</v>
      </c>
      <c r="K908" s="3" t="s">
        <v>21</v>
      </c>
      <c r="L908" s="3" t="s">
        <v>21</v>
      </c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2.75" x14ac:dyDescent="0.2">
      <c r="A909" s="4" t="s">
        <v>21</v>
      </c>
      <c r="B909" s="5" t="s">
        <v>21</v>
      </c>
      <c r="C909" s="4"/>
      <c r="D909" s="4"/>
      <c r="E909" s="4"/>
      <c r="F909" s="4"/>
      <c r="G909" s="4" t="s">
        <v>21</v>
      </c>
      <c r="H909" s="4" t="s">
        <v>21</v>
      </c>
      <c r="I909" s="4"/>
      <c r="J909" s="3" t="s">
        <v>21</v>
      </c>
      <c r="K909" s="3" t="s">
        <v>21</v>
      </c>
      <c r="L909" s="3" t="s">
        <v>21</v>
      </c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2.75" x14ac:dyDescent="0.2">
      <c r="A910" s="4" t="s">
        <v>21</v>
      </c>
      <c r="B910" s="5" t="s">
        <v>21</v>
      </c>
      <c r="C910" s="4"/>
      <c r="D910" s="4"/>
      <c r="E910" s="4"/>
      <c r="F910" s="4"/>
      <c r="G910" s="4" t="s">
        <v>21</v>
      </c>
      <c r="H910" s="4" t="s">
        <v>21</v>
      </c>
      <c r="I910" s="4"/>
      <c r="J910" s="3" t="s">
        <v>21</v>
      </c>
      <c r="K910" s="3" t="s">
        <v>21</v>
      </c>
      <c r="L910" s="3" t="s">
        <v>21</v>
      </c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2.75" x14ac:dyDescent="0.2">
      <c r="A911" s="4" t="s">
        <v>21</v>
      </c>
      <c r="B911" s="5" t="s">
        <v>21</v>
      </c>
      <c r="C911" s="4"/>
      <c r="D911" s="4"/>
      <c r="E911" s="4"/>
      <c r="F911" s="4"/>
      <c r="G911" s="4" t="s">
        <v>21</v>
      </c>
      <c r="H911" s="4" t="s">
        <v>21</v>
      </c>
      <c r="I911" s="4"/>
      <c r="J911" s="3" t="s">
        <v>21</v>
      </c>
      <c r="K911" s="3" t="s">
        <v>21</v>
      </c>
      <c r="L911" s="3" t="s">
        <v>21</v>
      </c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2.75" x14ac:dyDescent="0.2">
      <c r="A912" s="4" t="s">
        <v>21</v>
      </c>
      <c r="B912" s="5" t="s">
        <v>21</v>
      </c>
      <c r="C912" s="4"/>
      <c r="D912" s="4"/>
      <c r="E912" s="4"/>
      <c r="F912" s="4"/>
      <c r="G912" s="4" t="s">
        <v>21</v>
      </c>
      <c r="H912" s="4" t="s">
        <v>21</v>
      </c>
      <c r="I912" s="4"/>
      <c r="J912" s="3" t="s">
        <v>21</v>
      </c>
      <c r="K912" s="3" t="s">
        <v>21</v>
      </c>
      <c r="L912" s="3" t="s">
        <v>21</v>
      </c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2.75" x14ac:dyDescent="0.2">
      <c r="A913" s="4" t="s">
        <v>21</v>
      </c>
      <c r="B913" s="5" t="s">
        <v>21</v>
      </c>
      <c r="C913" s="4"/>
      <c r="D913" s="4"/>
      <c r="E913" s="4"/>
      <c r="F913" s="4"/>
      <c r="G913" s="4" t="s">
        <v>21</v>
      </c>
      <c r="H913" s="4" t="s">
        <v>21</v>
      </c>
      <c r="I913" s="4"/>
      <c r="J913" s="3" t="s">
        <v>21</v>
      </c>
      <c r="K913" s="3" t="s">
        <v>21</v>
      </c>
      <c r="L913" s="3" t="s">
        <v>21</v>
      </c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2.75" x14ac:dyDescent="0.2">
      <c r="A914" s="4" t="s">
        <v>21</v>
      </c>
      <c r="B914" s="5" t="s">
        <v>21</v>
      </c>
      <c r="C914" s="4"/>
      <c r="D914" s="4"/>
      <c r="E914" s="4"/>
      <c r="F914" s="4"/>
      <c r="G914" s="4" t="s">
        <v>21</v>
      </c>
      <c r="H914" s="4" t="s">
        <v>21</v>
      </c>
      <c r="I914" s="4"/>
      <c r="J914" s="3" t="s">
        <v>21</v>
      </c>
      <c r="K914" s="3" t="s">
        <v>21</v>
      </c>
      <c r="L914" s="3" t="s">
        <v>21</v>
      </c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2.75" x14ac:dyDescent="0.2">
      <c r="A915" s="4" t="s">
        <v>21</v>
      </c>
      <c r="B915" s="5" t="s">
        <v>21</v>
      </c>
      <c r="C915" s="4"/>
      <c r="D915" s="4"/>
      <c r="E915" s="4"/>
      <c r="F915" s="4"/>
      <c r="G915" s="4" t="s">
        <v>21</v>
      </c>
      <c r="H915" s="4" t="s">
        <v>21</v>
      </c>
      <c r="I915" s="4"/>
      <c r="J915" s="3" t="s">
        <v>21</v>
      </c>
      <c r="K915" s="3" t="s">
        <v>21</v>
      </c>
      <c r="L915" s="3" t="s">
        <v>21</v>
      </c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2.75" x14ac:dyDescent="0.2">
      <c r="A916" s="4" t="s">
        <v>21</v>
      </c>
      <c r="B916" s="5" t="s">
        <v>21</v>
      </c>
      <c r="C916" s="4"/>
      <c r="D916" s="4"/>
      <c r="E916" s="4"/>
      <c r="F916" s="4"/>
      <c r="G916" s="4" t="s">
        <v>21</v>
      </c>
      <c r="H916" s="4" t="s">
        <v>21</v>
      </c>
      <c r="I916" s="4"/>
      <c r="J916" s="3" t="s">
        <v>21</v>
      </c>
      <c r="K916" s="3" t="s">
        <v>21</v>
      </c>
      <c r="L916" s="3" t="s">
        <v>21</v>
      </c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2.75" x14ac:dyDescent="0.2">
      <c r="A917" s="4" t="s">
        <v>21</v>
      </c>
      <c r="B917" s="5" t="s">
        <v>21</v>
      </c>
      <c r="C917" s="4"/>
      <c r="D917" s="4"/>
      <c r="E917" s="4"/>
      <c r="F917" s="4"/>
      <c r="G917" s="4" t="s">
        <v>21</v>
      </c>
      <c r="H917" s="4" t="s">
        <v>21</v>
      </c>
      <c r="I917" s="4"/>
      <c r="J917" s="3" t="s">
        <v>21</v>
      </c>
      <c r="K917" s="3" t="s">
        <v>21</v>
      </c>
      <c r="L917" s="3" t="s">
        <v>21</v>
      </c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2.75" x14ac:dyDescent="0.2">
      <c r="A918" s="4" t="s">
        <v>21</v>
      </c>
      <c r="B918" s="5" t="s">
        <v>21</v>
      </c>
      <c r="C918" s="4"/>
      <c r="D918" s="4"/>
      <c r="E918" s="4"/>
      <c r="F918" s="4"/>
      <c r="G918" s="4" t="s">
        <v>21</v>
      </c>
      <c r="H918" s="4" t="s">
        <v>21</v>
      </c>
      <c r="I918" s="4"/>
      <c r="J918" s="3" t="s">
        <v>21</v>
      </c>
      <c r="K918" s="3" t="s">
        <v>21</v>
      </c>
      <c r="L918" s="3" t="s">
        <v>21</v>
      </c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2.75" x14ac:dyDescent="0.2">
      <c r="A919" s="4" t="s">
        <v>21</v>
      </c>
      <c r="B919" s="5" t="s">
        <v>21</v>
      </c>
      <c r="C919" s="4"/>
      <c r="D919" s="4"/>
      <c r="E919" s="4"/>
      <c r="F919" s="4"/>
      <c r="G919" s="4" t="s">
        <v>21</v>
      </c>
      <c r="H919" s="4" t="s">
        <v>21</v>
      </c>
      <c r="I919" s="4"/>
      <c r="J919" s="3" t="s">
        <v>21</v>
      </c>
      <c r="K919" s="3" t="s">
        <v>21</v>
      </c>
      <c r="L919" s="3" t="s">
        <v>21</v>
      </c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2.75" x14ac:dyDescent="0.2">
      <c r="A920" s="4" t="s">
        <v>21</v>
      </c>
      <c r="B920" s="5" t="s">
        <v>21</v>
      </c>
      <c r="C920" s="4"/>
      <c r="D920" s="4"/>
      <c r="E920" s="4"/>
      <c r="F920" s="4"/>
      <c r="G920" s="4" t="s">
        <v>21</v>
      </c>
      <c r="H920" s="4" t="s">
        <v>21</v>
      </c>
      <c r="I920" s="4"/>
      <c r="J920" s="3" t="s">
        <v>21</v>
      </c>
      <c r="K920" s="3" t="s">
        <v>21</v>
      </c>
      <c r="L920" s="3" t="s">
        <v>21</v>
      </c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2.75" x14ac:dyDescent="0.2">
      <c r="A921" s="4" t="s">
        <v>21</v>
      </c>
      <c r="B921" s="5" t="s">
        <v>21</v>
      </c>
      <c r="C921" s="4"/>
      <c r="D921" s="4"/>
      <c r="E921" s="4"/>
      <c r="F921" s="4"/>
      <c r="G921" s="4" t="s">
        <v>21</v>
      </c>
      <c r="H921" s="4" t="s">
        <v>21</v>
      </c>
      <c r="I921" s="4"/>
      <c r="J921" s="3" t="s">
        <v>21</v>
      </c>
      <c r="K921" s="3" t="s">
        <v>21</v>
      </c>
      <c r="L921" s="3" t="s">
        <v>21</v>
      </c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2.75" x14ac:dyDescent="0.2">
      <c r="A922" s="4" t="s">
        <v>21</v>
      </c>
      <c r="B922" s="5" t="s">
        <v>21</v>
      </c>
      <c r="C922" s="4"/>
      <c r="D922" s="4"/>
      <c r="E922" s="4"/>
      <c r="F922" s="4"/>
      <c r="G922" s="4" t="s">
        <v>21</v>
      </c>
      <c r="H922" s="4" t="s">
        <v>21</v>
      </c>
      <c r="I922" s="4"/>
      <c r="J922" s="3" t="s">
        <v>21</v>
      </c>
      <c r="K922" s="3" t="s">
        <v>21</v>
      </c>
      <c r="L922" s="3" t="s">
        <v>21</v>
      </c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2.75" x14ac:dyDescent="0.2">
      <c r="A923" s="4" t="s">
        <v>21</v>
      </c>
      <c r="B923" s="5" t="s">
        <v>21</v>
      </c>
      <c r="C923" s="4"/>
      <c r="D923" s="4"/>
      <c r="E923" s="4"/>
      <c r="F923" s="4"/>
      <c r="G923" s="4" t="s">
        <v>21</v>
      </c>
      <c r="H923" s="4" t="s">
        <v>21</v>
      </c>
      <c r="I923" s="4"/>
      <c r="J923" s="3" t="s">
        <v>21</v>
      </c>
      <c r="K923" s="3" t="s">
        <v>21</v>
      </c>
      <c r="L923" s="3" t="s">
        <v>21</v>
      </c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2.75" x14ac:dyDescent="0.2">
      <c r="A924" s="4" t="s">
        <v>21</v>
      </c>
      <c r="B924" s="5" t="s">
        <v>21</v>
      </c>
      <c r="C924" s="4"/>
      <c r="D924" s="4"/>
      <c r="E924" s="4"/>
      <c r="F924" s="4"/>
      <c r="G924" s="4" t="s">
        <v>21</v>
      </c>
      <c r="H924" s="4" t="s">
        <v>21</v>
      </c>
      <c r="I924" s="4"/>
      <c r="J924" s="3" t="s">
        <v>21</v>
      </c>
      <c r="K924" s="3" t="s">
        <v>21</v>
      </c>
      <c r="L924" s="3" t="s">
        <v>21</v>
      </c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2.75" x14ac:dyDescent="0.2">
      <c r="A925" s="4" t="s">
        <v>21</v>
      </c>
      <c r="B925" s="5" t="s">
        <v>21</v>
      </c>
      <c r="C925" s="4"/>
      <c r="D925" s="4"/>
      <c r="E925" s="4"/>
      <c r="F925" s="4"/>
      <c r="G925" s="4" t="s">
        <v>21</v>
      </c>
      <c r="H925" s="4" t="s">
        <v>21</v>
      </c>
      <c r="I925" s="4"/>
      <c r="J925" s="3" t="s">
        <v>21</v>
      </c>
      <c r="K925" s="3" t="s">
        <v>21</v>
      </c>
      <c r="L925" s="3" t="s">
        <v>21</v>
      </c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2.75" x14ac:dyDescent="0.2">
      <c r="A926" s="4" t="s">
        <v>21</v>
      </c>
      <c r="B926" s="5" t="s">
        <v>21</v>
      </c>
      <c r="C926" s="4"/>
      <c r="D926" s="4"/>
      <c r="E926" s="4"/>
      <c r="F926" s="4"/>
      <c r="G926" s="4" t="s">
        <v>21</v>
      </c>
      <c r="H926" s="4" t="s">
        <v>21</v>
      </c>
      <c r="I926" s="4"/>
      <c r="J926" s="3" t="s">
        <v>21</v>
      </c>
      <c r="K926" s="3" t="s">
        <v>21</v>
      </c>
      <c r="L926" s="3" t="s">
        <v>21</v>
      </c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2.75" x14ac:dyDescent="0.2">
      <c r="A927" s="4" t="s">
        <v>21</v>
      </c>
      <c r="B927" s="5" t="s">
        <v>21</v>
      </c>
      <c r="C927" s="4"/>
      <c r="D927" s="4"/>
      <c r="E927" s="4"/>
      <c r="F927" s="4"/>
      <c r="G927" s="4" t="s">
        <v>21</v>
      </c>
      <c r="H927" s="4" t="s">
        <v>21</v>
      </c>
      <c r="I927" s="4"/>
      <c r="J927" s="3" t="s">
        <v>21</v>
      </c>
      <c r="K927" s="3" t="s">
        <v>21</v>
      </c>
      <c r="L927" s="3" t="s">
        <v>21</v>
      </c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2.75" x14ac:dyDescent="0.2">
      <c r="A928" s="4" t="s">
        <v>21</v>
      </c>
      <c r="B928" s="5" t="s">
        <v>21</v>
      </c>
      <c r="C928" s="4"/>
      <c r="D928" s="4"/>
      <c r="E928" s="4"/>
      <c r="F928" s="4"/>
      <c r="G928" s="4" t="s">
        <v>21</v>
      </c>
      <c r="H928" s="4" t="s">
        <v>21</v>
      </c>
      <c r="I928" s="4"/>
      <c r="J928" s="3" t="s">
        <v>21</v>
      </c>
      <c r="K928" s="3" t="s">
        <v>21</v>
      </c>
      <c r="L928" s="3" t="s">
        <v>21</v>
      </c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2.75" x14ac:dyDescent="0.2">
      <c r="A929" s="4" t="s">
        <v>21</v>
      </c>
      <c r="B929" s="5" t="s">
        <v>21</v>
      </c>
      <c r="C929" s="4"/>
      <c r="D929" s="4"/>
      <c r="E929" s="4"/>
      <c r="F929" s="4"/>
      <c r="G929" s="4" t="s">
        <v>21</v>
      </c>
      <c r="H929" s="4" t="s">
        <v>21</v>
      </c>
      <c r="I929" s="4"/>
      <c r="J929" s="3" t="s">
        <v>21</v>
      </c>
      <c r="K929" s="3" t="s">
        <v>21</v>
      </c>
      <c r="L929" s="3" t="s">
        <v>21</v>
      </c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2.75" x14ac:dyDescent="0.2">
      <c r="A930" s="4" t="s">
        <v>21</v>
      </c>
      <c r="B930" s="5" t="s">
        <v>21</v>
      </c>
      <c r="C930" s="4"/>
      <c r="D930" s="4"/>
      <c r="E930" s="4"/>
      <c r="F930" s="4"/>
      <c r="G930" s="4" t="s">
        <v>21</v>
      </c>
      <c r="H930" s="4" t="s">
        <v>21</v>
      </c>
      <c r="I930" s="4"/>
      <c r="J930" s="3" t="s">
        <v>21</v>
      </c>
      <c r="K930" s="3" t="s">
        <v>21</v>
      </c>
      <c r="L930" s="3" t="s">
        <v>21</v>
      </c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2.75" x14ac:dyDescent="0.2">
      <c r="A931" s="4" t="s">
        <v>21</v>
      </c>
      <c r="B931" s="5" t="s">
        <v>21</v>
      </c>
      <c r="C931" s="4"/>
      <c r="D931" s="4"/>
      <c r="E931" s="4"/>
      <c r="F931" s="4"/>
      <c r="G931" s="4" t="s">
        <v>21</v>
      </c>
      <c r="H931" s="4" t="s">
        <v>21</v>
      </c>
      <c r="I931" s="4"/>
      <c r="J931" s="3" t="s">
        <v>21</v>
      </c>
      <c r="K931" s="3" t="s">
        <v>21</v>
      </c>
      <c r="L931" s="3" t="s">
        <v>21</v>
      </c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2.75" x14ac:dyDescent="0.2">
      <c r="A932" s="4" t="s">
        <v>21</v>
      </c>
      <c r="B932" s="5" t="s">
        <v>21</v>
      </c>
      <c r="C932" s="4"/>
      <c r="D932" s="4"/>
      <c r="E932" s="4"/>
      <c r="F932" s="4"/>
      <c r="G932" s="4" t="s">
        <v>21</v>
      </c>
      <c r="H932" s="4" t="s">
        <v>21</v>
      </c>
      <c r="I932" s="4"/>
      <c r="J932" s="3" t="s">
        <v>21</v>
      </c>
      <c r="K932" s="3" t="s">
        <v>21</v>
      </c>
      <c r="L932" s="3" t="s">
        <v>21</v>
      </c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2.75" x14ac:dyDescent="0.2">
      <c r="A933" s="4" t="s">
        <v>21</v>
      </c>
      <c r="B933" s="5" t="s">
        <v>21</v>
      </c>
      <c r="C933" s="4"/>
      <c r="D933" s="4"/>
      <c r="E933" s="4"/>
      <c r="F933" s="4"/>
      <c r="G933" s="4" t="s">
        <v>21</v>
      </c>
      <c r="H933" s="4" t="s">
        <v>21</v>
      </c>
      <c r="I933" s="4"/>
      <c r="J933" s="3" t="s">
        <v>21</v>
      </c>
      <c r="K933" s="3" t="s">
        <v>21</v>
      </c>
      <c r="L933" s="3" t="s">
        <v>21</v>
      </c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2.75" x14ac:dyDescent="0.2">
      <c r="A934" s="4" t="s">
        <v>21</v>
      </c>
      <c r="B934" s="5" t="s">
        <v>21</v>
      </c>
      <c r="C934" s="4"/>
      <c r="D934" s="4"/>
      <c r="E934" s="4"/>
      <c r="F934" s="4"/>
      <c r="G934" s="4" t="s">
        <v>21</v>
      </c>
      <c r="H934" s="4" t="s">
        <v>21</v>
      </c>
      <c r="I934" s="4"/>
      <c r="J934" s="3" t="s">
        <v>21</v>
      </c>
      <c r="K934" s="3" t="s">
        <v>21</v>
      </c>
      <c r="L934" s="3" t="s">
        <v>21</v>
      </c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2.75" x14ac:dyDescent="0.2">
      <c r="A935" s="4" t="s">
        <v>21</v>
      </c>
      <c r="B935" s="5" t="s">
        <v>21</v>
      </c>
      <c r="C935" s="4"/>
      <c r="D935" s="4"/>
      <c r="E935" s="4"/>
      <c r="F935" s="4"/>
      <c r="G935" s="4" t="s">
        <v>21</v>
      </c>
      <c r="H935" s="4" t="s">
        <v>21</v>
      </c>
      <c r="I935" s="4"/>
      <c r="J935" s="3" t="s">
        <v>21</v>
      </c>
      <c r="K935" s="3" t="s">
        <v>21</v>
      </c>
      <c r="L935" s="3" t="s">
        <v>21</v>
      </c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2.75" x14ac:dyDescent="0.2">
      <c r="A936" s="4" t="s">
        <v>21</v>
      </c>
      <c r="B936" s="5" t="s">
        <v>21</v>
      </c>
      <c r="C936" s="4"/>
      <c r="D936" s="4"/>
      <c r="E936" s="4"/>
      <c r="F936" s="4"/>
      <c r="G936" s="4" t="s">
        <v>21</v>
      </c>
      <c r="H936" s="4" t="s">
        <v>21</v>
      </c>
      <c r="I936" s="4"/>
      <c r="J936" s="3" t="s">
        <v>21</v>
      </c>
      <c r="K936" s="3" t="s">
        <v>21</v>
      </c>
      <c r="L936" s="3" t="s">
        <v>21</v>
      </c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2.75" x14ac:dyDescent="0.2">
      <c r="A937" s="4" t="s">
        <v>21</v>
      </c>
      <c r="B937" s="5" t="s">
        <v>21</v>
      </c>
      <c r="C937" s="4"/>
      <c r="D937" s="4"/>
      <c r="E937" s="4"/>
      <c r="F937" s="4"/>
      <c r="G937" s="4" t="s">
        <v>21</v>
      </c>
      <c r="H937" s="4" t="s">
        <v>21</v>
      </c>
      <c r="I937" s="4"/>
      <c r="J937" s="3" t="s">
        <v>21</v>
      </c>
      <c r="K937" s="3" t="s">
        <v>21</v>
      </c>
      <c r="L937" s="3" t="s">
        <v>21</v>
      </c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2.75" x14ac:dyDescent="0.2">
      <c r="A938" s="4" t="s">
        <v>21</v>
      </c>
      <c r="B938" s="5" t="s">
        <v>21</v>
      </c>
      <c r="C938" s="4"/>
      <c r="D938" s="4"/>
      <c r="E938" s="4"/>
      <c r="F938" s="4"/>
      <c r="G938" s="4" t="s">
        <v>21</v>
      </c>
      <c r="H938" s="4" t="s">
        <v>21</v>
      </c>
      <c r="I938" s="4"/>
      <c r="J938" s="3" t="s">
        <v>21</v>
      </c>
      <c r="K938" s="3" t="s">
        <v>21</v>
      </c>
      <c r="L938" s="3" t="s">
        <v>21</v>
      </c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2.75" x14ac:dyDescent="0.2">
      <c r="A939" s="4" t="s">
        <v>21</v>
      </c>
      <c r="B939" s="5" t="s">
        <v>21</v>
      </c>
      <c r="C939" s="4"/>
      <c r="D939" s="4"/>
      <c r="E939" s="4"/>
      <c r="F939" s="4"/>
      <c r="G939" s="4" t="s">
        <v>21</v>
      </c>
      <c r="H939" s="4" t="s">
        <v>21</v>
      </c>
      <c r="I939" s="4"/>
      <c r="J939" s="3" t="s">
        <v>21</v>
      </c>
      <c r="K939" s="3" t="s">
        <v>21</v>
      </c>
      <c r="L939" s="3" t="s">
        <v>21</v>
      </c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2.75" x14ac:dyDescent="0.2">
      <c r="A940" s="4" t="s">
        <v>21</v>
      </c>
      <c r="B940" s="5" t="s">
        <v>21</v>
      </c>
      <c r="C940" s="4"/>
      <c r="D940" s="4"/>
      <c r="E940" s="4"/>
      <c r="F940" s="4"/>
      <c r="G940" s="4" t="s">
        <v>21</v>
      </c>
      <c r="H940" s="4" t="s">
        <v>21</v>
      </c>
      <c r="I940" s="4"/>
      <c r="J940" s="3" t="s">
        <v>21</v>
      </c>
      <c r="K940" s="3" t="s">
        <v>21</v>
      </c>
      <c r="L940" s="3" t="s">
        <v>21</v>
      </c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2.75" x14ac:dyDescent="0.2">
      <c r="A941" s="4" t="s">
        <v>21</v>
      </c>
      <c r="B941" s="5" t="s">
        <v>21</v>
      </c>
      <c r="C941" s="4"/>
      <c r="D941" s="4"/>
      <c r="E941" s="4"/>
      <c r="F941" s="4"/>
      <c r="G941" s="4" t="s">
        <v>21</v>
      </c>
      <c r="H941" s="4" t="s">
        <v>21</v>
      </c>
      <c r="I941" s="4"/>
      <c r="J941" s="3" t="s">
        <v>21</v>
      </c>
      <c r="K941" s="3" t="s">
        <v>21</v>
      </c>
      <c r="L941" s="3" t="s">
        <v>21</v>
      </c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2.75" x14ac:dyDescent="0.2">
      <c r="A942" s="4" t="s">
        <v>21</v>
      </c>
      <c r="B942" s="5" t="s">
        <v>21</v>
      </c>
      <c r="C942" s="4"/>
      <c r="D942" s="4"/>
      <c r="E942" s="4"/>
      <c r="F942" s="4"/>
      <c r="G942" s="4" t="s">
        <v>21</v>
      </c>
      <c r="H942" s="4" t="s">
        <v>21</v>
      </c>
      <c r="I942" s="4"/>
      <c r="J942" s="3" t="s">
        <v>21</v>
      </c>
      <c r="K942" s="3" t="s">
        <v>21</v>
      </c>
      <c r="L942" s="3" t="s">
        <v>21</v>
      </c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2.75" x14ac:dyDescent="0.2">
      <c r="A943" s="4" t="s">
        <v>21</v>
      </c>
      <c r="B943" s="5" t="s">
        <v>21</v>
      </c>
      <c r="C943" s="4"/>
      <c r="D943" s="4"/>
      <c r="E943" s="4"/>
      <c r="F943" s="4"/>
      <c r="G943" s="4" t="s">
        <v>21</v>
      </c>
      <c r="H943" s="4" t="s">
        <v>21</v>
      </c>
      <c r="I943" s="4"/>
      <c r="J943" s="3" t="s">
        <v>21</v>
      </c>
      <c r="K943" s="3" t="s">
        <v>21</v>
      </c>
      <c r="L943" s="3" t="s">
        <v>21</v>
      </c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2.75" x14ac:dyDescent="0.2">
      <c r="A944" s="4" t="s">
        <v>21</v>
      </c>
      <c r="B944" s="5" t="s">
        <v>21</v>
      </c>
      <c r="C944" s="4"/>
      <c r="D944" s="4"/>
      <c r="E944" s="4"/>
      <c r="F944" s="4"/>
      <c r="G944" s="4" t="s">
        <v>21</v>
      </c>
      <c r="H944" s="4" t="s">
        <v>21</v>
      </c>
      <c r="I944" s="4"/>
      <c r="J944" s="3" t="s">
        <v>21</v>
      </c>
      <c r="K944" s="3" t="s">
        <v>21</v>
      </c>
      <c r="L944" s="3" t="s">
        <v>21</v>
      </c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2.75" x14ac:dyDescent="0.2">
      <c r="A945" s="4" t="s">
        <v>21</v>
      </c>
      <c r="B945" s="5" t="s">
        <v>21</v>
      </c>
      <c r="C945" s="4"/>
      <c r="D945" s="4"/>
      <c r="E945" s="4"/>
      <c r="F945" s="4"/>
      <c r="G945" s="4" t="s">
        <v>21</v>
      </c>
      <c r="H945" s="4" t="s">
        <v>21</v>
      </c>
      <c r="I945" s="4"/>
      <c r="J945" s="3" t="s">
        <v>21</v>
      </c>
      <c r="K945" s="3" t="s">
        <v>21</v>
      </c>
      <c r="L945" s="3" t="s">
        <v>21</v>
      </c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2.75" x14ac:dyDescent="0.2">
      <c r="A946" s="4" t="s">
        <v>21</v>
      </c>
      <c r="B946" s="5" t="s">
        <v>21</v>
      </c>
      <c r="C946" s="4"/>
      <c r="D946" s="4"/>
      <c r="E946" s="4"/>
      <c r="F946" s="4"/>
      <c r="G946" s="4" t="s">
        <v>21</v>
      </c>
      <c r="H946" s="4" t="s">
        <v>21</v>
      </c>
      <c r="I946" s="4"/>
      <c r="J946" s="3" t="s">
        <v>21</v>
      </c>
      <c r="K946" s="3" t="s">
        <v>21</v>
      </c>
      <c r="L946" s="3" t="s">
        <v>21</v>
      </c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2.75" x14ac:dyDescent="0.2">
      <c r="A947" s="4" t="s">
        <v>21</v>
      </c>
      <c r="B947" s="5" t="s">
        <v>21</v>
      </c>
      <c r="C947" s="4"/>
      <c r="D947" s="4"/>
      <c r="E947" s="4"/>
      <c r="F947" s="4"/>
      <c r="G947" s="4" t="s">
        <v>21</v>
      </c>
      <c r="H947" s="4" t="s">
        <v>21</v>
      </c>
      <c r="I947" s="4"/>
      <c r="J947" s="3" t="s">
        <v>21</v>
      </c>
      <c r="K947" s="3" t="s">
        <v>21</v>
      </c>
      <c r="L947" s="3" t="s">
        <v>21</v>
      </c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2.75" x14ac:dyDescent="0.2">
      <c r="A948" s="4" t="s">
        <v>21</v>
      </c>
      <c r="B948" s="5" t="s">
        <v>21</v>
      </c>
      <c r="C948" s="4"/>
      <c r="D948" s="4"/>
      <c r="E948" s="4"/>
      <c r="F948" s="4"/>
      <c r="G948" s="4" t="s">
        <v>21</v>
      </c>
      <c r="H948" s="4" t="s">
        <v>21</v>
      </c>
      <c r="I948" s="4"/>
      <c r="J948" s="3" t="s">
        <v>21</v>
      </c>
      <c r="K948" s="3" t="s">
        <v>21</v>
      </c>
      <c r="L948" s="3" t="s">
        <v>21</v>
      </c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2.75" x14ac:dyDescent="0.2">
      <c r="A949" s="4" t="s">
        <v>21</v>
      </c>
      <c r="B949" s="5" t="s">
        <v>21</v>
      </c>
      <c r="C949" s="4"/>
      <c r="D949" s="4"/>
      <c r="E949" s="4"/>
      <c r="F949" s="4"/>
      <c r="G949" s="4" t="s">
        <v>21</v>
      </c>
      <c r="H949" s="4" t="s">
        <v>21</v>
      </c>
      <c r="I949" s="4"/>
      <c r="J949" s="3" t="s">
        <v>21</v>
      </c>
      <c r="K949" s="3" t="s">
        <v>21</v>
      </c>
      <c r="L949" s="3" t="s">
        <v>21</v>
      </c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2.75" x14ac:dyDescent="0.2">
      <c r="A950" s="4" t="s">
        <v>21</v>
      </c>
      <c r="B950" s="5" t="s">
        <v>21</v>
      </c>
      <c r="C950" s="4"/>
      <c r="D950" s="4"/>
      <c r="E950" s="4"/>
      <c r="F950" s="4"/>
      <c r="G950" s="4" t="s">
        <v>21</v>
      </c>
      <c r="H950" s="4" t="s">
        <v>21</v>
      </c>
      <c r="I950" s="4"/>
      <c r="J950" s="3" t="s">
        <v>21</v>
      </c>
      <c r="K950" s="3" t="s">
        <v>21</v>
      </c>
      <c r="L950" s="3" t="s">
        <v>21</v>
      </c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2.75" x14ac:dyDescent="0.2">
      <c r="A951" s="4" t="s">
        <v>21</v>
      </c>
      <c r="B951" s="5" t="s">
        <v>21</v>
      </c>
      <c r="C951" s="4"/>
      <c r="D951" s="4"/>
      <c r="E951" s="4"/>
      <c r="F951" s="4"/>
      <c r="G951" s="4" t="s">
        <v>21</v>
      </c>
      <c r="H951" s="4" t="s">
        <v>21</v>
      </c>
      <c r="I951" s="4"/>
      <c r="J951" s="3" t="s">
        <v>21</v>
      </c>
      <c r="K951" s="3" t="s">
        <v>21</v>
      </c>
      <c r="L951" s="3" t="s">
        <v>21</v>
      </c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2.75" x14ac:dyDescent="0.2">
      <c r="A952" s="4" t="s">
        <v>21</v>
      </c>
      <c r="B952" s="5" t="s">
        <v>21</v>
      </c>
      <c r="C952" s="4"/>
      <c r="D952" s="4"/>
      <c r="E952" s="4"/>
      <c r="F952" s="4"/>
      <c r="G952" s="4" t="s">
        <v>21</v>
      </c>
      <c r="H952" s="4" t="s">
        <v>21</v>
      </c>
      <c r="I952" s="4"/>
      <c r="J952" s="3" t="s">
        <v>21</v>
      </c>
      <c r="K952" s="3" t="s">
        <v>21</v>
      </c>
      <c r="L952" s="3" t="s">
        <v>21</v>
      </c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2.75" x14ac:dyDescent="0.2">
      <c r="A953" s="4" t="s">
        <v>21</v>
      </c>
      <c r="B953" s="5" t="s">
        <v>21</v>
      </c>
      <c r="C953" s="4"/>
      <c r="D953" s="4"/>
      <c r="E953" s="4"/>
      <c r="F953" s="4"/>
      <c r="G953" s="4" t="s">
        <v>21</v>
      </c>
      <c r="H953" s="4" t="s">
        <v>21</v>
      </c>
      <c r="I953" s="4"/>
      <c r="J953" s="3" t="s">
        <v>21</v>
      </c>
      <c r="K953" s="3" t="s">
        <v>21</v>
      </c>
      <c r="L953" s="3" t="s">
        <v>21</v>
      </c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2.75" x14ac:dyDescent="0.2">
      <c r="A954" s="4" t="s">
        <v>21</v>
      </c>
      <c r="B954" s="5" t="s">
        <v>21</v>
      </c>
      <c r="C954" s="4"/>
      <c r="D954" s="4"/>
      <c r="E954" s="4"/>
      <c r="F954" s="4"/>
      <c r="G954" s="4" t="s">
        <v>21</v>
      </c>
      <c r="H954" s="4" t="s">
        <v>21</v>
      </c>
      <c r="I954" s="4"/>
      <c r="J954" s="3" t="s">
        <v>21</v>
      </c>
      <c r="K954" s="3" t="s">
        <v>21</v>
      </c>
      <c r="L954" s="3" t="s">
        <v>21</v>
      </c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2.75" x14ac:dyDescent="0.2">
      <c r="A955" s="4" t="s">
        <v>21</v>
      </c>
      <c r="B955" s="5" t="s">
        <v>21</v>
      </c>
      <c r="C955" s="4"/>
      <c r="D955" s="4"/>
      <c r="E955" s="4"/>
      <c r="F955" s="4"/>
      <c r="G955" s="4" t="s">
        <v>21</v>
      </c>
      <c r="H955" s="4" t="s">
        <v>21</v>
      </c>
      <c r="I955" s="4"/>
      <c r="J955" s="3" t="s">
        <v>21</v>
      </c>
      <c r="K955" s="3" t="s">
        <v>21</v>
      </c>
      <c r="L955" s="3" t="s">
        <v>21</v>
      </c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2.75" x14ac:dyDescent="0.2">
      <c r="A956" s="4" t="s">
        <v>21</v>
      </c>
      <c r="B956" s="5" t="s">
        <v>21</v>
      </c>
      <c r="C956" s="4"/>
      <c r="D956" s="4"/>
      <c r="E956" s="4"/>
      <c r="F956" s="4"/>
      <c r="G956" s="4" t="s">
        <v>21</v>
      </c>
      <c r="H956" s="4" t="s">
        <v>21</v>
      </c>
      <c r="I956" s="4"/>
      <c r="J956" s="3" t="s">
        <v>21</v>
      </c>
      <c r="K956" s="3" t="s">
        <v>21</v>
      </c>
      <c r="L956" s="3" t="s">
        <v>21</v>
      </c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2.75" x14ac:dyDescent="0.2">
      <c r="A957" s="4" t="s">
        <v>21</v>
      </c>
      <c r="B957" s="5" t="s">
        <v>21</v>
      </c>
      <c r="C957" s="4"/>
      <c r="D957" s="4"/>
      <c r="E957" s="4"/>
      <c r="F957" s="4"/>
      <c r="G957" s="4" t="s">
        <v>21</v>
      </c>
      <c r="H957" s="4" t="s">
        <v>21</v>
      </c>
      <c r="I957" s="4"/>
      <c r="J957" s="3" t="s">
        <v>21</v>
      </c>
      <c r="K957" s="3" t="s">
        <v>21</v>
      </c>
      <c r="L957" s="3" t="s">
        <v>21</v>
      </c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2.75" x14ac:dyDescent="0.2">
      <c r="A958" s="4" t="s">
        <v>21</v>
      </c>
      <c r="B958" s="5" t="s">
        <v>21</v>
      </c>
      <c r="C958" s="4"/>
      <c r="D958" s="4"/>
      <c r="E958" s="4"/>
      <c r="F958" s="4"/>
      <c r="G958" s="4" t="s">
        <v>21</v>
      </c>
      <c r="H958" s="4" t="s">
        <v>21</v>
      </c>
      <c r="I958" s="4"/>
      <c r="J958" s="3" t="s">
        <v>21</v>
      </c>
      <c r="K958" s="3" t="s">
        <v>21</v>
      </c>
      <c r="L958" s="3" t="s">
        <v>21</v>
      </c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2.75" x14ac:dyDescent="0.2">
      <c r="A959" s="4" t="s">
        <v>21</v>
      </c>
      <c r="B959" s="5" t="s">
        <v>21</v>
      </c>
      <c r="C959" s="4"/>
      <c r="D959" s="4"/>
      <c r="E959" s="4"/>
      <c r="F959" s="4"/>
      <c r="G959" s="4" t="s">
        <v>21</v>
      </c>
      <c r="H959" s="4" t="s">
        <v>21</v>
      </c>
      <c r="I959" s="4"/>
      <c r="J959" s="3" t="s">
        <v>21</v>
      </c>
      <c r="K959" s="3" t="s">
        <v>21</v>
      </c>
      <c r="L959" s="3" t="s">
        <v>21</v>
      </c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2.75" x14ac:dyDescent="0.2">
      <c r="A960" s="4" t="s">
        <v>21</v>
      </c>
      <c r="B960" s="5" t="s">
        <v>21</v>
      </c>
      <c r="C960" s="4"/>
      <c r="D960" s="4"/>
      <c r="E960" s="4"/>
      <c r="F960" s="4"/>
      <c r="G960" s="4" t="s">
        <v>21</v>
      </c>
      <c r="H960" s="4" t="s">
        <v>21</v>
      </c>
      <c r="I960" s="4"/>
      <c r="J960" s="3" t="s">
        <v>21</v>
      </c>
      <c r="K960" s="3" t="s">
        <v>21</v>
      </c>
      <c r="L960" s="3" t="s">
        <v>21</v>
      </c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2.75" x14ac:dyDescent="0.2">
      <c r="A961" s="4" t="s">
        <v>21</v>
      </c>
      <c r="B961" s="5" t="s">
        <v>21</v>
      </c>
      <c r="C961" s="4"/>
      <c r="D961" s="4"/>
      <c r="E961" s="4"/>
      <c r="F961" s="4"/>
      <c r="G961" s="4" t="s">
        <v>21</v>
      </c>
      <c r="H961" s="4" t="s">
        <v>21</v>
      </c>
      <c r="I961" s="4"/>
      <c r="J961" s="3" t="s">
        <v>21</v>
      </c>
      <c r="K961" s="3" t="s">
        <v>21</v>
      </c>
      <c r="L961" s="3" t="s">
        <v>21</v>
      </c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2.75" x14ac:dyDescent="0.2">
      <c r="A962" s="4" t="s">
        <v>21</v>
      </c>
      <c r="B962" s="5" t="s">
        <v>21</v>
      </c>
      <c r="C962" s="4"/>
      <c r="D962" s="4"/>
      <c r="E962" s="4"/>
      <c r="F962" s="4"/>
      <c r="G962" s="4" t="s">
        <v>21</v>
      </c>
      <c r="H962" s="4" t="s">
        <v>21</v>
      </c>
      <c r="I962" s="4"/>
      <c r="J962" s="3" t="s">
        <v>21</v>
      </c>
      <c r="K962" s="3" t="s">
        <v>21</v>
      </c>
      <c r="L962" s="3" t="s">
        <v>21</v>
      </c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2.75" x14ac:dyDescent="0.2">
      <c r="A963" s="4" t="s">
        <v>21</v>
      </c>
      <c r="B963" s="5" t="s">
        <v>21</v>
      </c>
      <c r="C963" s="4"/>
      <c r="D963" s="4"/>
      <c r="E963" s="4"/>
      <c r="F963" s="4"/>
      <c r="G963" s="4" t="s">
        <v>21</v>
      </c>
      <c r="H963" s="4" t="s">
        <v>21</v>
      </c>
      <c r="I963" s="4"/>
      <c r="J963" s="3" t="s">
        <v>21</v>
      </c>
      <c r="K963" s="3" t="s">
        <v>21</v>
      </c>
      <c r="L963" s="3" t="s">
        <v>21</v>
      </c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2.75" x14ac:dyDescent="0.2">
      <c r="A964" s="4" t="s">
        <v>21</v>
      </c>
      <c r="B964" s="5" t="s">
        <v>21</v>
      </c>
      <c r="C964" s="4"/>
      <c r="D964" s="4"/>
      <c r="E964" s="4"/>
      <c r="F964" s="4"/>
      <c r="G964" s="4" t="s">
        <v>21</v>
      </c>
      <c r="H964" s="4" t="s">
        <v>21</v>
      </c>
      <c r="I964" s="4"/>
      <c r="J964" s="3" t="s">
        <v>21</v>
      </c>
      <c r="K964" s="3" t="s">
        <v>21</v>
      </c>
      <c r="L964" s="3" t="s">
        <v>21</v>
      </c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2.75" x14ac:dyDescent="0.2">
      <c r="A965" s="4" t="s">
        <v>21</v>
      </c>
      <c r="B965" s="5" t="s">
        <v>21</v>
      </c>
      <c r="C965" s="4"/>
      <c r="D965" s="4"/>
      <c r="E965" s="4"/>
      <c r="F965" s="4"/>
      <c r="G965" s="4" t="s">
        <v>21</v>
      </c>
      <c r="H965" s="4" t="s">
        <v>21</v>
      </c>
      <c r="I965" s="4"/>
      <c r="J965" s="3" t="s">
        <v>21</v>
      </c>
      <c r="K965" s="3" t="s">
        <v>21</v>
      </c>
      <c r="L965" s="3" t="s">
        <v>21</v>
      </c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2.75" x14ac:dyDescent="0.2">
      <c r="A966" s="4" t="s">
        <v>21</v>
      </c>
      <c r="B966" s="5" t="s">
        <v>21</v>
      </c>
      <c r="C966" s="4"/>
      <c r="D966" s="4"/>
      <c r="E966" s="4"/>
      <c r="F966" s="4"/>
      <c r="G966" s="4" t="s">
        <v>21</v>
      </c>
      <c r="H966" s="4" t="s">
        <v>21</v>
      </c>
      <c r="I966" s="4"/>
      <c r="J966" s="3" t="s">
        <v>21</v>
      </c>
      <c r="K966" s="3" t="s">
        <v>21</v>
      </c>
      <c r="L966" s="3" t="s">
        <v>21</v>
      </c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2.75" x14ac:dyDescent="0.2">
      <c r="A967" s="4" t="s">
        <v>21</v>
      </c>
      <c r="B967" s="5" t="s">
        <v>21</v>
      </c>
      <c r="C967" s="4"/>
      <c r="D967" s="4"/>
      <c r="E967" s="4"/>
      <c r="F967" s="4"/>
      <c r="G967" s="4" t="s">
        <v>21</v>
      </c>
      <c r="H967" s="4" t="s">
        <v>21</v>
      </c>
      <c r="I967" s="4"/>
      <c r="J967" s="3" t="s">
        <v>21</v>
      </c>
      <c r="K967" s="3" t="s">
        <v>21</v>
      </c>
      <c r="L967" s="3" t="s">
        <v>21</v>
      </c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2.75" x14ac:dyDescent="0.2">
      <c r="A968" s="4" t="s">
        <v>21</v>
      </c>
      <c r="B968" s="5" t="s">
        <v>21</v>
      </c>
      <c r="C968" s="4"/>
      <c r="D968" s="4"/>
      <c r="E968" s="4"/>
      <c r="F968" s="4"/>
      <c r="G968" s="4" t="s">
        <v>21</v>
      </c>
      <c r="H968" s="4" t="s">
        <v>21</v>
      </c>
      <c r="I968" s="4"/>
      <c r="J968" s="3" t="s">
        <v>21</v>
      </c>
      <c r="K968" s="3" t="s">
        <v>21</v>
      </c>
      <c r="L968" s="3" t="s">
        <v>21</v>
      </c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2.75" x14ac:dyDescent="0.2">
      <c r="A969" s="4" t="s">
        <v>21</v>
      </c>
      <c r="B969" s="5" t="s">
        <v>21</v>
      </c>
      <c r="C969" s="4"/>
      <c r="D969" s="4"/>
      <c r="E969" s="4"/>
      <c r="F969" s="4"/>
      <c r="G969" s="4" t="s">
        <v>21</v>
      </c>
      <c r="H969" s="4" t="s">
        <v>21</v>
      </c>
      <c r="I969" s="4"/>
      <c r="J969" s="3" t="s">
        <v>21</v>
      </c>
      <c r="K969" s="3" t="s">
        <v>21</v>
      </c>
      <c r="L969" s="3" t="s">
        <v>21</v>
      </c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2.75" x14ac:dyDescent="0.2">
      <c r="A970" s="4" t="s">
        <v>21</v>
      </c>
      <c r="B970" s="5" t="s">
        <v>21</v>
      </c>
      <c r="C970" s="4"/>
      <c r="D970" s="4"/>
      <c r="E970" s="4"/>
      <c r="F970" s="4"/>
      <c r="G970" s="4" t="s">
        <v>21</v>
      </c>
      <c r="H970" s="4" t="s">
        <v>21</v>
      </c>
      <c r="I970" s="4"/>
      <c r="J970" s="3" t="s">
        <v>21</v>
      </c>
      <c r="K970" s="3" t="s">
        <v>21</v>
      </c>
      <c r="L970" s="3" t="s">
        <v>21</v>
      </c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2.75" x14ac:dyDescent="0.2">
      <c r="A971" s="4" t="s">
        <v>21</v>
      </c>
      <c r="B971" s="5" t="s">
        <v>21</v>
      </c>
      <c r="C971" s="4"/>
      <c r="D971" s="4"/>
      <c r="E971" s="4"/>
      <c r="F971" s="4"/>
      <c r="G971" s="4" t="s">
        <v>21</v>
      </c>
      <c r="H971" s="4" t="s">
        <v>21</v>
      </c>
      <c r="I971" s="4"/>
      <c r="J971" s="3" t="s">
        <v>21</v>
      </c>
      <c r="K971" s="3" t="s">
        <v>21</v>
      </c>
      <c r="L971" s="3" t="s">
        <v>21</v>
      </c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2.75" x14ac:dyDescent="0.2">
      <c r="A972" s="4" t="s">
        <v>21</v>
      </c>
      <c r="B972" s="5" t="s">
        <v>21</v>
      </c>
      <c r="C972" s="4"/>
      <c r="D972" s="4"/>
      <c r="E972" s="4"/>
      <c r="F972" s="4"/>
      <c r="G972" s="4" t="s">
        <v>21</v>
      </c>
      <c r="H972" s="4" t="s">
        <v>21</v>
      </c>
      <c r="I972" s="4"/>
      <c r="J972" s="3" t="s">
        <v>21</v>
      </c>
      <c r="K972" s="3" t="s">
        <v>21</v>
      </c>
      <c r="L972" s="3" t="s">
        <v>21</v>
      </c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2.75" x14ac:dyDescent="0.2">
      <c r="A973" s="4" t="s">
        <v>21</v>
      </c>
      <c r="B973" s="5" t="s">
        <v>21</v>
      </c>
      <c r="C973" s="4"/>
      <c r="D973" s="4"/>
      <c r="E973" s="4"/>
      <c r="F973" s="4"/>
      <c r="G973" s="4" t="s">
        <v>21</v>
      </c>
      <c r="H973" s="4" t="s">
        <v>21</v>
      </c>
      <c r="I973" s="4"/>
      <c r="J973" s="3" t="s">
        <v>21</v>
      </c>
      <c r="K973" s="3" t="s">
        <v>21</v>
      </c>
      <c r="L973" s="3" t="s">
        <v>21</v>
      </c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2.75" x14ac:dyDescent="0.2">
      <c r="A974" s="4" t="s">
        <v>21</v>
      </c>
      <c r="B974" s="5" t="s">
        <v>21</v>
      </c>
      <c r="C974" s="4"/>
      <c r="D974" s="4"/>
      <c r="E974" s="4"/>
      <c r="F974" s="4"/>
      <c r="G974" s="4" t="s">
        <v>21</v>
      </c>
      <c r="H974" s="4" t="s">
        <v>21</v>
      </c>
      <c r="I974" s="4"/>
      <c r="J974" s="3" t="s">
        <v>21</v>
      </c>
      <c r="K974" s="3" t="s">
        <v>21</v>
      </c>
      <c r="L974" s="3" t="s">
        <v>21</v>
      </c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2.75" x14ac:dyDescent="0.2">
      <c r="A975" s="4" t="s">
        <v>21</v>
      </c>
      <c r="B975" s="5" t="s">
        <v>21</v>
      </c>
      <c r="C975" s="4"/>
      <c r="D975" s="4"/>
      <c r="E975" s="4"/>
      <c r="F975" s="4"/>
      <c r="G975" s="4" t="s">
        <v>21</v>
      </c>
      <c r="H975" s="4" t="s">
        <v>21</v>
      </c>
      <c r="I975" s="4"/>
      <c r="J975" s="3" t="s">
        <v>21</v>
      </c>
      <c r="K975" s="3" t="s">
        <v>21</v>
      </c>
      <c r="L975" s="3" t="s">
        <v>21</v>
      </c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2.75" x14ac:dyDescent="0.2">
      <c r="A976" s="4" t="s">
        <v>21</v>
      </c>
      <c r="B976" s="5" t="s">
        <v>21</v>
      </c>
      <c r="C976" s="4"/>
      <c r="D976" s="4"/>
      <c r="E976" s="4"/>
      <c r="F976" s="4"/>
      <c r="G976" s="4" t="s">
        <v>21</v>
      </c>
      <c r="H976" s="4" t="s">
        <v>21</v>
      </c>
      <c r="I976" s="4"/>
      <c r="J976" s="3" t="s">
        <v>21</v>
      </c>
      <c r="K976" s="3" t="s">
        <v>21</v>
      </c>
      <c r="L976" s="3" t="s">
        <v>21</v>
      </c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2.75" x14ac:dyDescent="0.2">
      <c r="A977" s="4" t="s">
        <v>21</v>
      </c>
      <c r="B977" s="5" t="s">
        <v>21</v>
      </c>
      <c r="C977" s="4"/>
      <c r="D977" s="4"/>
      <c r="E977" s="4"/>
      <c r="F977" s="4"/>
      <c r="G977" s="4" t="s">
        <v>21</v>
      </c>
      <c r="H977" s="4" t="s">
        <v>21</v>
      </c>
      <c r="I977" s="4"/>
      <c r="J977" s="3" t="s">
        <v>21</v>
      </c>
      <c r="K977" s="3" t="s">
        <v>21</v>
      </c>
      <c r="L977" s="3" t="s">
        <v>21</v>
      </c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2.75" x14ac:dyDescent="0.2">
      <c r="A978" s="4" t="s">
        <v>21</v>
      </c>
      <c r="B978" s="5" t="s">
        <v>21</v>
      </c>
      <c r="C978" s="4"/>
      <c r="D978" s="4"/>
      <c r="E978" s="4"/>
      <c r="F978" s="4"/>
      <c r="G978" s="4" t="s">
        <v>21</v>
      </c>
      <c r="H978" s="4" t="s">
        <v>21</v>
      </c>
      <c r="I978" s="4"/>
      <c r="J978" s="3" t="s">
        <v>21</v>
      </c>
      <c r="K978" s="3" t="s">
        <v>21</v>
      </c>
      <c r="L978" s="3" t="s">
        <v>21</v>
      </c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2.75" x14ac:dyDescent="0.2">
      <c r="A979" s="4" t="s">
        <v>21</v>
      </c>
      <c r="B979" s="5" t="s">
        <v>21</v>
      </c>
      <c r="C979" s="4"/>
      <c r="D979" s="4"/>
      <c r="E979" s="4"/>
      <c r="F979" s="4"/>
      <c r="G979" s="4" t="s">
        <v>21</v>
      </c>
      <c r="H979" s="4" t="s">
        <v>21</v>
      </c>
      <c r="I979" s="4"/>
      <c r="J979" s="3" t="s">
        <v>21</v>
      </c>
      <c r="K979" s="3" t="s">
        <v>21</v>
      </c>
      <c r="L979" s="3" t="s">
        <v>21</v>
      </c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2.75" x14ac:dyDescent="0.2">
      <c r="A980" s="4" t="s">
        <v>21</v>
      </c>
      <c r="B980" s="5" t="s">
        <v>21</v>
      </c>
      <c r="C980" s="4"/>
      <c r="D980" s="4"/>
      <c r="E980" s="4"/>
      <c r="F980" s="4"/>
      <c r="G980" s="4" t="s">
        <v>21</v>
      </c>
      <c r="H980" s="4" t="s">
        <v>21</v>
      </c>
      <c r="I980" s="4"/>
      <c r="J980" s="3" t="s">
        <v>21</v>
      </c>
      <c r="K980" s="3" t="s">
        <v>21</v>
      </c>
      <c r="L980" s="3" t="s">
        <v>21</v>
      </c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2.75" x14ac:dyDescent="0.2">
      <c r="A981" s="4" t="s">
        <v>21</v>
      </c>
      <c r="B981" s="5" t="s">
        <v>21</v>
      </c>
      <c r="C981" s="4"/>
      <c r="D981" s="4"/>
      <c r="E981" s="4"/>
      <c r="F981" s="4"/>
      <c r="G981" s="4" t="s">
        <v>21</v>
      </c>
      <c r="H981" s="4" t="s">
        <v>21</v>
      </c>
      <c r="I981" s="4"/>
      <c r="J981" s="3" t="s">
        <v>21</v>
      </c>
      <c r="K981" s="3" t="s">
        <v>21</v>
      </c>
      <c r="L981" s="3" t="s">
        <v>21</v>
      </c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2.75" x14ac:dyDescent="0.2">
      <c r="A982" s="4" t="s">
        <v>21</v>
      </c>
      <c r="B982" s="5" t="s">
        <v>21</v>
      </c>
      <c r="C982" s="4"/>
      <c r="D982" s="4"/>
      <c r="E982" s="4"/>
      <c r="F982" s="4"/>
      <c r="G982" s="4" t="s">
        <v>21</v>
      </c>
      <c r="H982" s="4" t="s">
        <v>21</v>
      </c>
      <c r="I982" s="4"/>
      <c r="J982" s="3" t="s">
        <v>21</v>
      </c>
      <c r="K982" s="3" t="s">
        <v>21</v>
      </c>
      <c r="L982" s="3" t="s">
        <v>21</v>
      </c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2.75" x14ac:dyDescent="0.2">
      <c r="A983" s="4" t="s">
        <v>21</v>
      </c>
      <c r="B983" s="5" t="s">
        <v>21</v>
      </c>
      <c r="C983" s="4"/>
      <c r="D983" s="4"/>
      <c r="E983" s="4"/>
      <c r="F983" s="4"/>
      <c r="G983" s="4" t="s">
        <v>21</v>
      </c>
      <c r="H983" s="4" t="s">
        <v>21</v>
      </c>
      <c r="I983" s="4"/>
      <c r="J983" s="3" t="s">
        <v>21</v>
      </c>
      <c r="K983" s="3" t="s">
        <v>21</v>
      </c>
      <c r="L983" s="3" t="s">
        <v>21</v>
      </c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2.75" x14ac:dyDescent="0.2">
      <c r="A984" s="4" t="s">
        <v>21</v>
      </c>
      <c r="B984" s="5" t="s">
        <v>21</v>
      </c>
      <c r="C984" s="4"/>
      <c r="D984" s="4"/>
      <c r="E984" s="4"/>
      <c r="F984" s="4"/>
      <c r="G984" s="4" t="s">
        <v>21</v>
      </c>
      <c r="H984" s="4" t="s">
        <v>21</v>
      </c>
      <c r="I984" s="4"/>
      <c r="J984" s="3" t="s">
        <v>21</v>
      </c>
      <c r="K984" s="3" t="s">
        <v>21</v>
      </c>
      <c r="L984" s="3" t="s">
        <v>21</v>
      </c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2.75" x14ac:dyDescent="0.2">
      <c r="A985" s="4" t="s">
        <v>21</v>
      </c>
      <c r="B985" s="5" t="s">
        <v>21</v>
      </c>
      <c r="C985" s="4"/>
      <c r="D985" s="4"/>
      <c r="E985" s="4"/>
      <c r="F985" s="4"/>
      <c r="G985" s="4" t="s">
        <v>21</v>
      </c>
      <c r="H985" s="4" t="s">
        <v>21</v>
      </c>
      <c r="I985" s="4"/>
      <c r="J985" s="3" t="s">
        <v>21</v>
      </c>
      <c r="K985" s="3" t="s">
        <v>21</v>
      </c>
      <c r="L985" s="3" t="s">
        <v>21</v>
      </c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2.75" x14ac:dyDescent="0.2">
      <c r="A986" s="4" t="s">
        <v>21</v>
      </c>
      <c r="B986" s="5" t="s">
        <v>21</v>
      </c>
      <c r="C986" s="4"/>
      <c r="D986" s="4"/>
      <c r="E986" s="4"/>
      <c r="F986" s="4"/>
      <c r="G986" s="4" t="s">
        <v>21</v>
      </c>
      <c r="H986" s="4" t="s">
        <v>21</v>
      </c>
      <c r="I986" s="4"/>
      <c r="J986" s="3" t="s">
        <v>21</v>
      </c>
      <c r="K986" s="3" t="s">
        <v>21</v>
      </c>
      <c r="L986" s="3" t="s">
        <v>21</v>
      </c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2.75" x14ac:dyDescent="0.2">
      <c r="A987" s="4" t="s">
        <v>21</v>
      </c>
      <c r="B987" s="5" t="s">
        <v>21</v>
      </c>
      <c r="C987" s="4"/>
      <c r="D987" s="4"/>
      <c r="E987" s="4"/>
      <c r="F987" s="4"/>
      <c r="G987" s="4" t="s">
        <v>21</v>
      </c>
      <c r="H987" s="4" t="s">
        <v>21</v>
      </c>
      <c r="I987" s="4"/>
      <c r="J987" s="3" t="s">
        <v>21</v>
      </c>
      <c r="K987" s="3" t="s">
        <v>21</v>
      </c>
      <c r="L987" s="3" t="s">
        <v>21</v>
      </c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2.75" x14ac:dyDescent="0.2">
      <c r="A988" s="4" t="s">
        <v>21</v>
      </c>
      <c r="B988" s="5" t="s">
        <v>21</v>
      </c>
      <c r="C988" s="4"/>
      <c r="D988" s="4"/>
      <c r="E988" s="4"/>
      <c r="F988" s="4"/>
      <c r="G988" s="4" t="s">
        <v>21</v>
      </c>
      <c r="H988" s="4" t="s">
        <v>21</v>
      </c>
      <c r="I988" s="4"/>
      <c r="J988" s="3" t="s">
        <v>21</v>
      </c>
      <c r="K988" s="3" t="s">
        <v>21</v>
      </c>
      <c r="L988" s="3" t="s">
        <v>21</v>
      </c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2.75" x14ac:dyDescent="0.2">
      <c r="A989" s="4" t="s">
        <v>21</v>
      </c>
      <c r="B989" s="5" t="s">
        <v>21</v>
      </c>
      <c r="C989" s="4"/>
      <c r="D989" s="4"/>
      <c r="E989" s="4"/>
      <c r="F989" s="4"/>
      <c r="G989" s="4" t="s">
        <v>21</v>
      </c>
      <c r="H989" s="4" t="s">
        <v>21</v>
      </c>
      <c r="I989" s="4"/>
      <c r="J989" s="3" t="s">
        <v>21</v>
      </c>
      <c r="K989" s="3" t="s">
        <v>21</v>
      </c>
      <c r="L989" s="3" t="s">
        <v>21</v>
      </c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2.75" x14ac:dyDescent="0.2">
      <c r="A990" s="4" t="s">
        <v>21</v>
      </c>
      <c r="B990" s="5" t="s">
        <v>21</v>
      </c>
      <c r="C990" s="4"/>
      <c r="D990" s="4"/>
      <c r="E990" s="4"/>
      <c r="F990" s="4"/>
      <c r="G990" s="4" t="s">
        <v>21</v>
      </c>
      <c r="H990" s="4" t="s">
        <v>21</v>
      </c>
      <c r="I990" s="4"/>
      <c r="J990" s="3" t="s">
        <v>21</v>
      </c>
      <c r="K990" s="3" t="s">
        <v>21</v>
      </c>
      <c r="L990" s="3" t="s">
        <v>21</v>
      </c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2.75" x14ac:dyDescent="0.2">
      <c r="A991" s="4" t="s">
        <v>21</v>
      </c>
      <c r="B991" s="5" t="s">
        <v>21</v>
      </c>
      <c r="C991" s="4"/>
      <c r="D991" s="4"/>
      <c r="E991" s="4"/>
      <c r="F991" s="4"/>
      <c r="G991" s="4" t="s">
        <v>21</v>
      </c>
      <c r="H991" s="4" t="s">
        <v>21</v>
      </c>
      <c r="I991" s="4"/>
      <c r="J991" s="3" t="s">
        <v>21</v>
      </c>
      <c r="K991" s="3" t="s">
        <v>21</v>
      </c>
      <c r="L991" s="3" t="s">
        <v>21</v>
      </c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2.75" x14ac:dyDescent="0.2">
      <c r="A992" s="4" t="s">
        <v>21</v>
      </c>
      <c r="B992" s="5" t="s">
        <v>21</v>
      </c>
      <c r="C992" s="4"/>
      <c r="D992" s="4"/>
      <c r="E992" s="4"/>
      <c r="F992" s="4"/>
      <c r="G992" s="4" t="s">
        <v>21</v>
      </c>
      <c r="H992" s="4" t="s">
        <v>21</v>
      </c>
      <c r="I992" s="4"/>
      <c r="J992" s="3" t="s">
        <v>21</v>
      </c>
      <c r="K992" s="3" t="s">
        <v>21</v>
      </c>
      <c r="L992" s="3" t="s">
        <v>21</v>
      </c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2.75" x14ac:dyDescent="0.2">
      <c r="A993" s="4" t="s">
        <v>21</v>
      </c>
      <c r="B993" s="5" t="s">
        <v>21</v>
      </c>
      <c r="C993" s="4"/>
      <c r="D993" s="4"/>
      <c r="E993" s="4"/>
      <c r="F993" s="4"/>
      <c r="G993" s="4" t="s">
        <v>21</v>
      </c>
      <c r="H993" s="4" t="s">
        <v>21</v>
      </c>
      <c r="I993" s="4"/>
      <c r="J993" s="3" t="s">
        <v>21</v>
      </c>
      <c r="K993" s="3" t="s">
        <v>21</v>
      </c>
      <c r="L993" s="3" t="s">
        <v>21</v>
      </c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2.75" x14ac:dyDescent="0.2">
      <c r="A994" s="4" t="s">
        <v>21</v>
      </c>
      <c r="B994" s="5" t="s">
        <v>21</v>
      </c>
      <c r="C994" s="4"/>
      <c r="D994" s="4"/>
      <c r="E994" s="4"/>
      <c r="F994" s="4"/>
      <c r="G994" s="4" t="s">
        <v>21</v>
      </c>
      <c r="H994" s="4" t="s">
        <v>21</v>
      </c>
      <c r="I994" s="4"/>
      <c r="J994" s="3" t="s">
        <v>21</v>
      </c>
      <c r="K994" s="3" t="s">
        <v>21</v>
      </c>
      <c r="L994" s="3" t="s">
        <v>21</v>
      </c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2.75" x14ac:dyDescent="0.2">
      <c r="A995" s="4" t="s">
        <v>21</v>
      </c>
      <c r="B995" s="5" t="s">
        <v>21</v>
      </c>
      <c r="C995" s="4"/>
      <c r="D995" s="4"/>
      <c r="E995" s="4"/>
      <c r="F995" s="4"/>
      <c r="G995" s="4" t="s">
        <v>21</v>
      </c>
      <c r="H995" s="4" t="s">
        <v>21</v>
      </c>
      <c r="I995" s="4"/>
      <c r="J995" s="3" t="s">
        <v>21</v>
      </c>
      <c r="K995" s="3" t="s">
        <v>21</v>
      </c>
      <c r="L995" s="3" t="s">
        <v>21</v>
      </c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2.75" x14ac:dyDescent="0.2">
      <c r="A996" s="4" t="s">
        <v>21</v>
      </c>
      <c r="B996" s="5" t="s">
        <v>21</v>
      </c>
      <c r="C996" s="4"/>
      <c r="D996" s="4"/>
      <c r="E996" s="4"/>
      <c r="F996" s="4"/>
      <c r="G996" s="4" t="s">
        <v>21</v>
      </c>
      <c r="H996" s="4" t="s">
        <v>21</v>
      </c>
      <c r="I996" s="4"/>
      <c r="J996" s="3" t="s">
        <v>21</v>
      </c>
      <c r="K996" s="3" t="s">
        <v>21</v>
      </c>
      <c r="L996" s="3" t="s">
        <v>21</v>
      </c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2.75" x14ac:dyDescent="0.2">
      <c r="A997" s="4" t="s">
        <v>21</v>
      </c>
      <c r="B997" s="5" t="s">
        <v>21</v>
      </c>
      <c r="C997" s="4"/>
      <c r="D997" s="4"/>
      <c r="E997" s="4"/>
      <c r="F997" s="4"/>
      <c r="G997" s="4" t="s">
        <v>21</v>
      </c>
      <c r="H997" s="4" t="s">
        <v>21</v>
      </c>
      <c r="I997" s="4"/>
      <c r="J997" s="3" t="s">
        <v>21</v>
      </c>
      <c r="K997" s="3" t="s">
        <v>21</v>
      </c>
      <c r="L997" s="3" t="s">
        <v>21</v>
      </c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2.75" x14ac:dyDescent="0.2">
      <c r="A998" s="4" t="s">
        <v>21</v>
      </c>
      <c r="B998" s="5" t="s">
        <v>21</v>
      </c>
      <c r="C998" s="4"/>
      <c r="D998" s="4"/>
      <c r="E998" s="4"/>
      <c r="F998" s="4"/>
      <c r="G998" s="4" t="s">
        <v>21</v>
      </c>
      <c r="H998" s="4" t="s">
        <v>21</v>
      </c>
      <c r="I998" s="4"/>
      <c r="J998" s="3" t="s">
        <v>21</v>
      </c>
      <c r="K998" s="3" t="s">
        <v>21</v>
      </c>
      <c r="L998" s="3" t="s">
        <v>21</v>
      </c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2.75" x14ac:dyDescent="0.2">
      <c r="A999" s="4" t="s">
        <v>21</v>
      </c>
      <c r="B999" s="5" t="s">
        <v>21</v>
      </c>
      <c r="C999" s="4"/>
      <c r="D999" s="4"/>
      <c r="E999" s="4"/>
      <c r="F999" s="4"/>
      <c r="G999" s="4" t="s">
        <v>21</v>
      </c>
      <c r="H999" s="4" t="s">
        <v>21</v>
      </c>
      <c r="I999" s="4"/>
      <c r="J999" s="3" t="s">
        <v>21</v>
      </c>
      <c r="K999" s="3" t="s">
        <v>21</v>
      </c>
      <c r="L999" s="3" t="s">
        <v>21</v>
      </c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2.75" x14ac:dyDescent="0.2">
      <c r="A1000" s="4" t="s">
        <v>21</v>
      </c>
      <c r="B1000" s="5" t="s">
        <v>21</v>
      </c>
      <c r="C1000" s="4"/>
      <c r="D1000" s="4"/>
      <c r="E1000" s="4"/>
      <c r="F1000" s="4"/>
      <c r="G1000" s="4" t="s">
        <v>21</v>
      </c>
      <c r="H1000" s="4" t="s">
        <v>21</v>
      </c>
      <c r="I1000" s="4"/>
      <c r="J1000" s="3" t="s">
        <v>21</v>
      </c>
      <c r="K1000" s="3" t="s">
        <v>21</v>
      </c>
      <c r="L1000" s="3" t="s">
        <v>21</v>
      </c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</sheetData>
  <phoneticPr fontId="7" type="noConversion"/>
  <conditionalFormatting sqref="A2:I1000">
    <cfRule type="expression" dxfId="2" priority="1">
      <formula>$I2="클릭로그"</formula>
    </cfRule>
    <cfRule type="expression" dxfId="1" priority="2">
      <formula>$I2="중복DB"</formula>
    </cfRule>
    <cfRule type="expression" dxfId="0" priority="3">
      <formula>$I2="정상DB"</formula>
    </cfRule>
  </conditionalFormatting>
  <dataValidations count="1">
    <dataValidation type="list" allowBlank="1" showErrorMessage="1" sqref="I2:I1000" xr:uid="{00000000-0002-0000-0200-000000000000}">
      <formula1>"정상DB,중복DB,클릭로그"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workbookViewId="0"/>
  </sheetViews>
  <sheetFormatPr defaultColWidth="12.5703125" defaultRowHeight="15.75" customHeight="1" x14ac:dyDescent="0.2"/>
  <sheetData>
    <row r="1" spans="1:10" x14ac:dyDescent="0.2">
      <c r="A1" s="6" t="str">
        <f ca="1">IFERROR(__xludf.DUMMYFUNCTION("{
""No"",""유입일시"",""이름"",""연락처"",""상담경로"",""유입매체"",""랜딩페이지"",""inType"",""키워드"",""세부상담경로"";
ARRAYFORMULA(IF(RAW!A2:A1000="""","""",
{
ROW(RAW!A2:A1000)-1,
RAW!A2:A1000,
RAW!B2:B1000,
RAW!C2:C1000,
IF(REGEXMATCH(RAW!E2:E1000,""ai_diagnosis|mobile_fixed_bot"&amp;"tom|pc_fixed_bottom|main_top_form""),""상담신청"",IF(REGEXMATCH(RAW!E2:E1000,""kakao_click""),""카카오톡"",IF(REGEXMATCH(RAW!E2:E1000,""naver_talk_click""),""네이버톡톡"",IF(REGEXMATCH(RAW!E2:E1000,""naver_res_click""),""네이버예약"",IF(REGEXMATCH(RAW!E2:E1000,""call_click"&amp;"""),""전화"",""기타""))))),
IF(RAW!N2:N1000="""",""유입확인불가"",IF(REGEXMATCH(LOWER(RAW!N2:N1000),""[?&amp;]intype=(nim|nip)""),""배너"",IF((REGEXMATCH(LOWER(RAW!N2:N1000),""[?&amp;]intype=nk""))+(REGEXMATCH(RAW!N2:N1000,""[?&amp;](n_query|query)=[^&amp;]+""))&gt;0,""검색"",""유입확인불가"")"&amp;")),
RAW!N2:N1000,
IFNA(REGEXEXTRACT(RAW!N2:N1000,""[?&amp;]inType=([^&amp;]+)""),""""),
IFNA(REGEXEXTRACT(RAW!N2:N1000,""[?&amp;](?:n_query|query)=([^&amp;]+)""),""""),
IF(REGEXMATCH(RAW!E2:E1000,""mobile_fixed_bottom""),""모바일 하단 상담폼"",IF(REGEXMATCH(RAW!E2:E1000,""pc_fix"&amp;"ed_bottom""),""PC 하단 상담폼"",IF(REGEXMATCH(RAW!E2:E1000,""main_top_form""),""메인 상단 상담폼"",IF(REGEXMATCH(RAW!E2:E1000,""ai_diagnosis""),""AI 진단"",IF(REGEXMATCH(RAW!E2:E1000,""kakao_click""),""카카오톡"",IF(REGEXMATCH(RAW!E2:E1000,""naver_talk_click""),""네이버 톡톡"","&amp;"IF(REGEXMATCH(RAW!E2:E1000,""naver_res_click""),""네이버 예약"",IF(REGEXMATCH(RAW!E2:E1000,""call_click""),""전화 문의"",""""))))))))
}
))
}"),"No")</f>
        <v>No</v>
      </c>
      <c r="B1" s="6" t="str">
        <f ca="1">IFERROR(__xludf.DUMMYFUNCTION("""COMPUTED_VALUE"""),"유입일시")</f>
        <v>유입일시</v>
      </c>
      <c r="C1" s="6" t="str">
        <f ca="1">IFERROR(__xludf.DUMMYFUNCTION("""COMPUTED_VALUE"""),"이름")</f>
        <v>이름</v>
      </c>
      <c r="D1" s="6" t="str">
        <f ca="1">IFERROR(__xludf.DUMMYFUNCTION("""COMPUTED_VALUE"""),"연락처")</f>
        <v>연락처</v>
      </c>
      <c r="E1" s="6" t="str">
        <f ca="1">IFERROR(__xludf.DUMMYFUNCTION("""COMPUTED_VALUE"""),"상담경로")</f>
        <v>상담경로</v>
      </c>
      <c r="F1" s="6" t="str">
        <f ca="1">IFERROR(__xludf.DUMMYFUNCTION("""COMPUTED_VALUE"""),"유입매체")</f>
        <v>유입매체</v>
      </c>
      <c r="G1" s="6" t="str">
        <f ca="1">IFERROR(__xludf.DUMMYFUNCTION("""COMPUTED_VALUE"""),"랜딩페이지")</f>
        <v>랜딩페이지</v>
      </c>
      <c r="H1" s="6" t="str">
        <f ca="1">IFERROR(__xludf.DUMMYFUNCTION("""COMPUTED_VALUE"""),"inType")</f>
        <v>inType</v>
      </c>
      <c r="I1" s="6" t="str">
        <f ca="1">IFERROR(__xludf.DUMMYFUNCTION("""COMPUTED_VALUE"""),"키워드")</f>
        <v>키워드</v>
      </c>
      <c r="J1" s="6" t="str">
        <f ca="1">IFERROR(__xludf.DUMMYFUNCTION("""COMPUTED_VALUE"""),"세부상담경로")</f>
        <v>세부상담경로</v>
      </c>
    </row>
    <row r="2" spans="1:10" x14ac:dyDescent="0.2">
      <c r="A2" s="6">
        <f ca="1">IFERROR(__xludf.DUMMYFUNCTION("""COMPUTED_VALUE"""),1)</f>
        <v>1</v>
      </c>
      <c r="B2" s="6">
        <f ca="1">IFERROR(__xludf.DUMMYFUNCTION("""COMPUTED_VALUE"""),46174.018912037)</f>
        <v>46174.018912036998</v>
      </c>
      <c r="C2" s="6" t="str">
        <f ca="1">IFERROR(__xludf.DUMMYFUNCTION("""COMPUTED_VALUE"""),"14.33.225.131")</f>
        <v>14.33.225.131</v>
      </c>
      <c r="D2" s="6" t="str">
        <f ca="1">IFERROR(__xludf.DUMMYFUNCTION("""COMPUTED_VALUE"""),"네이버예약")</f>
        <v>네이버예약</v>
      </c>
      <c r="E2" s="6" t="str">
        <f ca="1">IFERROR(__xludf.DUMMYFUNCTION("""COMPUTED_VALUE"""),"네이버예약")</f>
        <v>네이버예약</v>
      </c>
      <c r="F2" s="6" t="str">
        <f ca="1">IFERROR(__xludf.DUMMYFUNCTION("""COMPUTED_VALUE"""),"검색")</f>
        <v>검색</v>
      </c>
      <c r="G2" s="7" t="str">
        <f ca="1">IFERROR(__xludf.DUMMYFUNCTION("""COMPUTED_VALUE"""),"https://newstart-law.com/?n_media=8753&amp;n_query=파산신청&amp;n_rank=1&amp;n_ad_group=grp-a001-01-000000063065674&amp;n_ad=nad-a001-01-000000485213839&amp;n_keyword_id=nkw-a001-01-000007951811266&amp;n_keyword=파산신청&amp;n_campaign_type=1&amp;n_ad_group_type=1&amp;n_match=1&amp;NaPm=ct=mptxly87|ci="&amp;"ERfa9929cf-5d04-11f1-a285-5e52d0db692c|tr=sa|hk=90f30f94682fc794caf20a63593a91b7458a46f0|nacn=wN0DBgwQY7yU#success")</f>
        <v>https://newstart-law.com/?n_media=8753&amp;n_query=파산신청&amp;n_rank=1&amp;n_ad_group=grp-a001-01-000000063065674&amp;n_ad=nad-a001-01-000000485213839&amp;n_keyword_id=nkw-a001-01-000007951811266&amp;n_keyword=파산신청&amp;n_campaign_type=1&amp;n_ad_group_type=1&amp;n_match=1&amp;NaPm=ct=mptxly87|ci=ERfa9929cf-5d04-11f1-a285-5e52d0db692c|tr=sa|hk=90f30f94682fc794caf20a63593a91b7458a46f0|nacn=wN0DBgwQY7yU#success</v>
      </c>
      <c r="H2" s="6" t="str">
        <f ca="1">IFERROR(__xludf.DUMMYFUNCTION("""COMPUTED_VALUE"""),"")</f>
        <v/>
      </c>
      <c r="I2" s="6" t="str">
        <f ca="1">IFERROR(__xludf.DUMMYFUNCTION("""COMPUTED_VALUE"""),"파산신청")</f>
        <v>파산신청</v>
      </c>
      <c r="J2" s="6" t="str">
        <f ca="1">IFERROR(__xludf.DUMMYFUNCTION("""COMPUTED_VALUE"""),"네이버 예약")</f>
        <v>네이버 예약</v>
      </c>
    </row>
    <row r="3" spans="1:10" x14ac:dyDescent="0.2">
      <c r="A3" s="6">
        <f ca="1">IFERROR(__xludf.DUMMYFUNCTION("""COMPUTED_VALUE"""),2)</f>
        <v>2</v>
      </c>
      <c r="B3" s="6">
        <f ca="1">IFERROR(__xludf.DUMMYFUNCTION("""COMPUTED_VALUE"""),46174.4662268518)</f>
        <v>46174.4662268518</v>
      </c>
      <c r="C3" s="6" t="str">
        <f ca="1">IFERROR(__xludf.DUMMYFUNCTION("""COMPUTED_VALUE"""),"최희철")</f>
        <v>최희철</v>
      </c>
      <c r="D3" s="6">
        <f ca="1">IFERROR(__xludf.DUMMYFUNCTION("""COMPUTED_VALUE"""),1022653045)</f>
        <v>1022653045</v>
      </c>
      <c r="E3" s="6" t="str">
        <f ca="1">IFERROR(__xludf.DUMMYFUNCTION("""COMPUTED_VALUE"""),"상담신청")</f>
        <v>상담신청</v>
      </c>
      <c r="F3" s="6" t="str">
        <f ca="1">IFERROR(__xludf.DUMMYFUNCTION("""COMPUTED_VALUE"""),"배너")</f>
        <v>배너</v>
      </c>
      <c r="G3" s="7" t="str">
        <f ca="1">IFERROR(__xludf.DUMMYFUNCTION("""COMPUTED_VALUE"""),"http://newstart-law.com/?inType=nim003&amp;NaPm=ci=61BhQFH_6rS22WViWLT7N2cg|tr=gfa|ct=mpukkf83|hk=f905a13446ce27fece0b0618b27be4bd03b82568|nacn=rVz5BkgLBscx")</f>
        <v>http://newstart-law.com/?inType=nim003&amp;NaPm=ci=61BhQFH_6rS22WViWLT7N2cg|tr=gfa|ct=mpukkf83|hk=f905a13446ce27fece0b0618b27be4bd03b82568|nacn=rVz5BkgLBscx</v>
      </c>
      <c r="H3" s="6" t="str">
        <f ca="1">IFERROR(__xludf.DUMMYFUNCTION("""COMPUTED_VALUE"""),"nim003")</f>
        <v>nim003</v>
      </c>
      <c r="I3" s="6" t="str">
        <f ca="1">IFERROR(__xludf.DUMMYFUNCTION("""COMPUTED_VALUE"""),"")</f>
        <v/>
      </c>
      <c r="J3" s="6" t="str">
        <f ca="1">IFERROR(__xludf.DUMMYFUNCTION("""COMPUTED_VALUE"""),"모바일 하단 상담폼")</f>
        <v>모바일 하단 상담폼</v>
      </c>
    </row>
    <row r="4" spans="1:10" x14ac:dyDescent="0.2">
      <c r="A4" s="6">
        <f ca="1">IFERROR(__xludf.DUMMYFUNCTION("""COMPUTED_VALUE"""),3)</f>
        <v>3</v>
      </c>
      <c r="B4" s="6">
        <f ca="1">IFERROR(__xludf.DUMMYFUNCTION("""COMPUTED_VALUE"""),46174.5049074074)</f>
        <v>46174.504907407398</v>
      </c>
      <c r="C4" s="6" t="str">
        <f ca="1">IFERROR(__xludf.DUMMYFUNCTION("""COMPUTED_VALUE"""),"배남택")</f>
        <v>배남택</v>
      </c>
      <c r="D4" s="6">
        <f ca="1">IFERROR(__xludf.DUMMYFUNCTION("""COMPUTED_VALUE"""),1090937595)</f>
        <v>1090937595</v>
      </c>
      <c r="E4" s="6" t="str">
        <f ca="1">IFERROR(__xludf.DUMMYFUNCTION("""COMPUTED_VALUE"""),"상담신청")</f>
        <v>상담신청</v>
      </c>
      <c r="F4" s="6" t="str">
        <f ca="1">IFERROR(__xludf.DUMMYFUNCTION("""COMPUTED_VALUE"""),"배너")</f>
        <v>배너</v>
      </c>
      <c r="G4" s="7" t="str">
        <f ca="1">IFERROR(__xludf.DUMMYFUNCTION("""COMPUTED_VALUE"""),"https://newstart-law.com/?inType=NIP002&amp;NaPm=ci=61VeGKQqDvSByCmCUW-B-CuQ|tr=gfa|ct=mpumc6ib|hk=0d591e6920bf4307ea7a7d5a4ac539e14794c996|nacn=b8eGDACcBQx7B")</f>
        <v>https://newstart-law.com/?inType=NIP002&amp;NaPm=ci=61VeGKQqDvSByCmCUW-B-CuQ|tr=gfa|ct=mpumc6ib|hk=0d591e6920bf4307ea7a7d5a4ac539e14794c996|nacn=b8eGDACcBQx7B</v>
      </c>
      <c r="H4" s="6" t="str">
        <f ca="1">IFERROR(__xludf.DUMMYFUNCTION("""COMPUTED_VALUE"""),"NIP002")</f>
        <v>NIP002</v>
      </c>
      <c r="I4" s="6" t="str">
        <f ca="1">IFERROR(__xludf.DUMMYFUNCTION("""COMPUTED_VALUE"""),"")</f>
        <v/>
      </c>
      <c r="J4" s="6" t="str">
        <f ca="1">IFERROR(__xludf.DUMMYFUNCTION("""COMPUTED_VALUE"""),"AI 진단")</f>
        <v>AI 진단</v>
      </c>
    </row>
    <row r="5" spans="1:10" x14ac:dyDescent="0.2">
      <c r="A5" s="6">
        <f ca="1">IFERROR(__xludf.DUMMYFUNCTION("""COMPUTED_VALUE"""),4)</f>
        <v>4</v>
      </c>
      <c r="B5" s="6">
        <f ca="1">IFERROR(__xludf.DUMMYFUNCTION("""COMPUTED_VALUE"""),46174.5432986111)</f>
        <v>46174.543298611097</v>
      </c>
      <c r="C5" s="6" t="str">
        <f ca="1">IFERROR(__xludf.DUMMYFUNCTION("""COMPUTED_VALUE"""),"김상현")</f>
        <v>김상현</v>
      </c>
      <c r="D5" s="6">
        <f ca="1">IFERROR(__xludf.DUMMYFUNCTION("""COMPUTED_VALUE"""),1052852789)</f>
        <v>1052852789</v>
      </c>
      <c r="E5" s="6" t="str">
        <f ca="1">IFERROR(__xludf.DUMMYFUNCTION("""COMPUTED_VALUE"""),"상담신청")</f>
        <v>상담신청</v>
      </c>
      <c r="F5" s="6" t="str">
        <f ca="1">IFERROR(__xludf.DUMMYFUNCTION("""COMPUTED_VALUE"""),"배너")</f>
        <v>배너</v>
      </c>
      <c r="G5" s="7" t="str">
        <f ca="1">IFERROR(__xludf.DUMMYFUNCTION("""COMPUTED_VALUE"""),"https://newstart-law.com/?inType=NIP002&amp;NaPm=ci=61RGSrvtWST-OeDBu_e6qzgg|tr=gfa|ct=mpunmfhx|hk=c83d18aa4b138f3f1e63ddccb81f750f2011216a|nacn=PHqOBogkoA2A")</f>
        <v>https://newstart-law.com/?inType=NIP002&amp;NaPm=ci=61RGSrvtWST-OeDBu_e6qzgg|tr=gfa|ct=mpunmfhx|hk=c83d18aa4b138f3f1e63ddccb81f750f2011216a|nacn=PHqOBogkoA2A</v>
      </c>
      <c r="H5" s="6" t="str">
        <f ca="1">IFERROR(__xludf.DUMMYFUNCTION("""COMPUTED_VALUE"""),"NIP002")</f>
        <v>NIP002</v>
      </c>
      <c r="I5" s="6" t="str">
        <f ca="1">IFERROR(__xludf.DUMMYFUNCTION("""COMPUTED_VALUE"""),"")</f>
        <v/>
      </c>
      <c r="J5" s="6" t="str">
        <f ca="1">IFERROR(__xludf.DUMMYFUNCTION("""COMPUTED_VALUE"""),"PC 하단 상담폼")</f>
        <v>PC 하단 상담폼</v>
      </c>
    </row>
    <row r="6" spans="1:10" x14ac:dyDescent="0.2">
      <c r="A6" s="6">
        <f ca="1">IFERROR(__xludf.DUMMYFUNCTION("""COMPUTED_VALUE"""),5)</f>
        <v>5</v>
      </c>
      <c r="B6" s="6">
        <f ca="1">IFERROR(__xludf.DUMMYFUNCTION("""COMPUTED_VALUE"""),46174.6583449074)</f>
        <v>46174.658344907402</v>
      </c>
      <c r="C6" s="6" t="str">
        <f ca="1">IFERROR(__xludf.DUMMYFUNCTION("""COMPUTED_VALUE"""),".")</f>
        <v>.</v>
      </c>
      <c r="D6" s="6" t="str">
        <f ca="1">IFERROR(__xludf.DUMMYFUNCTION("""COMPUTED_VALUE"""),"`01000000000")</f>
        <v>`01000000000</v>
      </c>
      <c r="E6" s="6" t="str">
        <f ca="1">IFERROR(__xludf.DUMMYFUNCTION("""COMPUTED_VALUE"""),"상담신청")</f>
        <v>상담신청</v>
      </c>
      <c r="F6" s="6" t="str">
        <f ca="1">IFERROR(__xludf.DUMMYFUNCTION("""COMPUTED_VALUE"""),"배너")</f>
        <v>배너</v>
      </c>
      <c r="G6" s="7" t="str">
        <f ca="1">IFERROR(__xludf.DUMMYFUNCTION("""COMPUTED_VALUE"""),"https://newstart-law.com/?inType=NIP002&amp;NaPm=ci=61LJoODq38TfGxhhCs3eFxRA|tr=gfa|ct=mpuujyhj|hk=a88b52aeac58f682a3d4bd818254b58b5d66f741|nacn=yTfrCIifm51KA")</f>
        <v>https://newstart-law.com/?inType=NIP002&amp;NaPm=ci=61LJoODq38TfGxhhCs3eFxRA|tr=gfa|ct=mpuujyhj|hk=a88b52aeac58f682a3d4bd818254b58b5d66f741|nacn=yTfrCIifm51KA</v>
      </c>
      <c r="H6" s="6" t="str">
        <f ca="1">IFERROR(__xludf.DUMMYFUNCTION("""COMPUTED_VALUE"""),"NIP002")</f>
        <v>NIP002</v>
      </c>
      <c r="I6" s="6" t="str">
        <f ca="1">IFERROR(__xludf.DUMMYFUNCTION("""COMPUTED_VALUE"""),"")</f>
        <v/>
      </c>
      <c r="J6" s="6" t="str">
        <f ca="1">IFERROR(__xludf.DUMMYFUNCTION("""COMPUTED_VALUE"""),"메인 상단 상담폼")</f>
        <v>메인 상단 상담폼</v>
      </c>
    </row>
    <row r="7" spans="1:10" x14ac:dyDescent="0.2">
      <c r="A7" s="6">
        <f ca="1">IFERROR(__xludf.DUMMYFUNCTION("""COMPUTED_VALUE"""),6)</f>
        <v>6</v>
      </c>
      <c r="B7" s="6">
        <f ca="1">IFERROR(__xludf.DUMMYFUNCTION("""COMPUTED_VALUE"""),46174.6584143518)</f>
        <v>46174.658414351798</v>
      </c>
      <c r="C7" s="6" t="str">
        <f ca="1">IFERROR(__xludf.DUMMYFUNCTION("""COMPUTED_VALUE"""),".")</f>
        <v>.</v>
      </c>
      <c r="D7" s="6">
        <f ca="1">IFERROR(__xludf.DUMMYFUNCTION("""COMPUTED_VALUE"""),1000000000)</f>
        <v>1000000000</v>
      </c>
      <c r="E7" s="6" t="str">
        <f ca="1">IFERROR(__xludf.DUMMYFUNCTION("""COMPUTED_VALUE"""),"상담신청")</f>
        <v>상담신청</v>
      </c>
      <c r="F7" s="6" t="str">
        <f ca="1">IFERROR(__xludf.DUMMYFUNCTION("""COMPUTED_VALUE"""),"배너")</f>
        <v>배너</v>
      </c>
      <c r="G7" s="7" t="str">
        <f ca="1">IFERROR(__xludf.DUMMYFUNCTION("""COMPUTED_VALUE"""),"https://newstart-law.com/?inType=NIP002&amp;NaPm=ci=61LJoODq38TfGxhhCs3eFxRA|tr=gfa|ct=mpuujyhj|hk=a88b52aeac58f682a3d4bd818254b58b5d66f741|nacn=yTfrCIifm51KA")</f>
        <v>https://newstart-law.com/?inType=NIP002&amp;NaPm=ci=61LJoODq38TfGxhhCs3eFxRA|tr=gfa|ct=mpuujyhj|hk=a88b52aeac58f682a3d4bd818254b58b5d66f741|nacn=yTfrCIifm51KA</v>
      </c>
      <c r="H7" s="6" t="str">
        <f ca="1">IFERROR(__xludf.DUMMYFUNCTION("""COMPUTED_VALUE"""),"NIP002")</f>
        <v>NIP002</v>
      </c>
      <c r="I7" s="6" t="str">
        <f ca="1">IFERROR(__xludf.DUMMYFUNCTION("""COMPUTED_VALUE"""),"")</f>
        <v/>
      </c>
      <c r="J7" s="6" t="str">
        <f ca="1">IFERROR(__xludf.DUMMYFUNCTION("""COMPUTED_VALUE"""),"메인 상단 상담폼")</f>
        <v>메인 상단 상담폼</v>
      </c>
    </row>
    <row r="8" spans="1:10" x14ac:dyDescent="0.2">
      <c r="A8" s="6">
        <f ca="1">IFERROR(__xludf.DUMMYFUNCTION("""COMPUTED_VALUE"""),7)</f>
        <v>7</v>
      </c>
      <c r="B8" s="6">
        <f ca="1">IFERROR(__xludf.DUMMYFUNCTION("""COMPUTED_VALUE"""),46174.8396296296)</f>
        <v>46174.839629629598</v>
      </c>
      <c r="C8" s="6" t="str">
        <f ca="1">IFERROR(__xludf.DUMMYFUNCTION("""COMPUTED_VALUE"""),"정희")</f>
        <v>정희</v>
      </c>
      <c r="D8" s="6">
        <f ca="1">IFERROR(__xludf.DUMMYFUNCTION("""COMPUTED_VALUE"""),1075177171)</f>
        <v>1075177171</v>
      </c>
      <c r="E8" s="6" t="str">
        <f ca="1">IFERROR(__xludf.DUMMYFUNCTION("""COMPUTED_VALUE"""),"상담신청")</f>
        <v>상담신청</v>
      </c>
      <c r="F8" s="6" t="str">
        <f ca="1">IFERROR(__xludf.DUMMYFUNCTION("""COMPUTED_VALUE"""),"검색")</f>
        <v>검색</v>
      </c>
      <c r="G8" s="7" t="str">
        <f ca="1">IFERROR(__xludf.DUMMYFUNCTION("""COMPUTED_VALUE"""),"https://newstart-law.com/?n_media=8753&amp;n_query=개인파산신청자격&amp;n_rank=2&amp;n_ad_group=grp-a001-01-000000063065674&amp;n_ad=nad-a001-01-000000495460351&amp;n_keyword_id=nkw-a001-01-000007951811267&amp;n_keyword=개인파산신청자격&amp;n_campaign_type=1&amp;n_ad_group_type=1&amp;n_match=1&amp;NaPm=ct=mpv3"&amp;"shbr|ci=ERefa17d02-5da9-11f1-89b7-5a79859463aa|tr=sa|hk=6d43391c2d6bd96212529fc6a6eb70bd3f8369e")</f>
        <v>https://newstart-law.com/?n_media=8753&amp;n_query=개인파산신청자격&amp;n_rank=2&amp;n_ad_group=grp-a001-01-000000063065674&amp;n_ad=nad-a001-01-000000495460351&amp;n_keyword_id=nkw-a001-01-000007951811267&amp;n_keyword=개인파산신청자격&amp;n_campaign_type=1&amp;n_ad_group_type=1&amp;n_match=1&amp;NaPm=ct=mpv3shbr|ci=ERefa17d02-5da9-11f1-89b7-5a79859463aa|tr=sa|hk=6d43391c2d6bd96212529fc6a6eb70bd3f8369e</v>
      </c>
      <c r="H8" s="6" t="str">
        <f ca="1">IFERROR(__xludf.DUMMYFUNCTION("""COMPUTED_VALUE"""),"")</f>
        <v/>
      </c>
      <c r="I8" s="6" t="str">
        <f ca="1">IFERROR(__xludf.DUMMYFUNCTION("""COMPUTED_VALUE"""),"개인파산신청자격")</f>
        <v>개인파산신청자격</v>
      </c>
      <c r="J8" s="6" t="str">
        <f ca="1">IFERROR(__xludf.DUMMYFUNCTION("""COMPUTED_VALUE"""),"모바일 하단 상담폼")</f>
        <v>모바일 하단 상담폼</v>
      </c>
    </row>
    <row r="9" spans="1:10" x14ac:dyDescent="0.2">
      <c r="A9" s="6">
        <f ca="1">IFERROR(__xludf.DUMMYFUNCTION("""COMPUTED_VALUE"""),8)</f>
        <v>8</v>
      </c>
      <c r="B9" s="6">
        <f ca="1">IFERROR(__xludf.DUMMYFUNCTION("""COMPUTED_VALUE"""),46174.9149074074)</f>
        <v>46174.914907407401</v>
      </c>
      <c r="C9" s="6" t="str">
        <f ca="1">IFERROR(__xludf.DUMMYFUNCTION("""COMPUTED_VALUE"""),"정재혁")</f>
        <v>정재혁</v>
      </c>
      <c r="D9" s="6">
        <f ca="1">IFERROR(__xludf.DUMMYFUNCTION("""COMPUTED_VALUE"""),1049265568)</f>
        <v>1049265568</v>
      </c>
      <c r="E9" s="6" t="str">
        <f ca="1">IFERROR(__xludf.DUMMYFUNCTION("""COMPUTED_VALUE"""),"상담신청")</f>
        <v>상담신청</v>
      </c>
      <c r="F9" s="6" t="str">
        <f ca="1">IFERROR(__xludf.DUMMYFUNCTION("""COMPUTED_VALUE"""),"검색")</f>
        <v>검색</v>
      </c>
      <c r="G9" s="7" t="str">
        <f ca="1">IFERROR(__xludf.DUMMYFUNCTION("""COMPUTED_VALUE"""),"https://www.newstart-law.com/?inType=NK&amp;n_media=8753&amp;n_query=개인회생&amp;n_rank=8&amp;n_ad_group=grp-a001-01-000000063063767&amp;n_ad=nad-a001-01-000000485213831&amp;n_keyword_id=nkw-a001-01-000007934680459&amp;n_keyword=개인회생&amp;n_campaign_type=1&amp;n_ad_group_type=1&amp;n_match=1&amp;NaPm=c"&amp;"t=mpv7pqrp|ci=ER4803b030-5db9-11f1-a5fc-82ec60f2b278|tr=sa|hk=d9f6b1d9ecb8fe9a1d6f01a7bd6638031db623aa|nacn=ZqEmB0gpkCRfB")</f>
        <v>https://www.newstart-law.com/?inType=NK&amp;n_media=8753&amp;n_query=개인회생&amp;n_rank=8&amp;n_ad_group=grp-a001-01-000000063063767&amp;n_ad=nad-a001-01-000000485213831&amp;n_keyword_id=nkw-a001-01-000007934680459&amp;n_keyword=개인회생&amp;n_campaign_type=1&amp;n_ad_group_type=1&amp;n_match=1&amp;NaPm=ct=mpv7pqrp|ci=ER4803b030-5db9-11f1-a5fc-82ec60f2b278|tr=sa|hk=d9f6b1d9ecb8fe9a1d6f01a7bd6638031db623aa|nacn=ZqEmB0gpkCRfB</v>
      </c>
      <c r="H9" s="6" t="str">
        <f ca="1">IFERROR(__xludf.DUMMYFUNCTION("""COMPUTED_VALUE"""),"NK")</f>
        <v>NK</v>
      </c>
      <c r="I9" s="6" t="str">
        <f ca="1">IFERROR(__xludf.DUMMYFUNCTION("""COMPUTED_VALUE"""),"개인회생")</f>
        <v>개인회생</v>
      </c>
      <c r="J9" s="6" t="str">
        <f ca="1">IFERROR(__xludf.DUMMYFUNCTION("""COMPUTED_VALUE"""),"모바일 하단 상담폼")</f>
        <v>모바일 하단 상담폼</v>
      </c>
    </row>
    <row r="10" spans="1:10" x14ac:dyDescent="0.2">
      <c r="A10" s="6">
        <f ca="1">IFERROR(__xludf.DUMMYFUNCTION("""COMPUTED_VALUE"""),9)</f>
        <v>9</v>
      </c>
      <c r="B10" s="6">
        <f ca="1">IFERROR(__xludf.DUMMYFUNCTION("""COMPUTED_VALUE"""),46175.423599537)</f>
        <v>46175.423599537004</v>
      </c>
      <c r="C10" s="6" t="str">
        <f ca="1">IFERROR(__xludf.DUMMYFUNCTION("""COMPUTED_VALUE"""),"전경범")</f>
        <v>전경범</v>
      </c>
      <c r="D10" s="6">
        <f ca="1">IFERROR(__xludf.DUMMYFUNCTION("""COMPUTED_VALUE"""),1038641100)</f>
        <v>1038641100</v>
      </c>
      <c r="E10" s="6" t="str">
        <f ca="1">IFERROR(__xludf.DUMMYFUNCTION("""COMPUTED_VALUE"""),"상담신청")</f>
        <v>상담신청</v>
      </c>
      <c r="F10" s="6" t="str">
        <f ca="1">IFERROR(__xludf.DUMMYFUNCTION("""COMPUTED_VALUE"""),"배너")</f>
        <v>배너</v>
      </c>
      <c r="G10" s="7" t="str">
        <f ca="1">IFERROR(__xludf.DUMMYFUNCTION("""COMPUTED_VALUE"""),"https://newstart-law.com/?inType=NIP002&amp;NaPm=ci=62-DwAjoljS42vywnfnErAdA|tr=gfa|ct=mpvxp3wh|hk=8ddcc8987cc178e0edda7639814be26eeb173eb1|nacn=OfiJDoBPzEjpB")</f>
        <v>https://newstart-law.com/?inType=NIP002&amp;NaPm=ci=62-DwAjoljS42vywnfnErAdA|tr=gfa|ct=mpvxp3wh|hk=8ddcc8987cc178e0edda7639814be26eeb173eb1|nacn=OfiJDoBPzEjpB</v>
      </c>
      <c r="H10" s="6" t="str">
        <f ca="1">IFERROR(__xludf.DUMMYFUNCTION("""COMPUTED_VALUE"""),"NIP002")</f>
        <v>NIP002</v>
      </c>
      <c r="I10" s="6" t="str">
        <f ca="1">IFERROR(__xludf.DUMMYFUNCTION("""COMPUTED_VALUE"""),"")</f>
        <v/>
      </c>
      <c r="J10" s="6" t="str">
        <f ca="1">IFERROR(__xludf.DUMMYFUNCTION("""COMPUTED_VALUE"""),"메인 상단 상담폼")</f>
        <v>메인 상단 상담폼</v>
      </c>
    </row>
    <row r="11" spans="1:10" x14ac:dyDescent="0.2">
      <c r="A11" s="6">
        <f ca="1">IFERROR(__xludf.DUMMYFUNCTION("""COMPUTED_VALUE"""),10)</f>
        <v>10</v>
      </c>
      <c r="B11" s="6">
        <f ca="1">IFERROR(__xludf.DUMMYFUNCTION("""COMPUTED_VALUE"""),46175.4359953703)</f>
        <v>46175.435995370302</v>
      </c>
      <c r="C11" s="6" t="str">
        <f ca="1">IFERROR(__xludf.DUMMYFUNCTION("""COMPUTED_VALUE"""),"류정미")</f>
        <v>류정미</v>
      </c>
      <c r="D11" s="6">
        <f ca="1">IFERROR(__xludf.DUMMYFUNCTION("""COMPUTED_VALUE"""),1033149258)</f>
        <v>1033149258</v>
      </c>
      <c r="E11" s="6" t="str">
        <f ca="1">IFERROR(__xludf.DUMMYFUNCTION("""COMPUTED_VALUE"""),"상담신청")</f>
        <v>상담신청</v>
      </c>
      <c r="F11" s="6" t="str">
        <f ca="1">IFERROR(__xludf.DUMMYFUNCTION("""COMPUTED_VALUE"""),"배너")</f>
        <v>배너</v>
      </c>
      <c r="G11" s="7" t="str">
        <f ca="1">IFERROR(__xludf.DUMMYFUNCTION("""COMPUTED_VALUE"""),"https://newstart-law.com/?inType=NIP002&amp;NaPm=ci=62MuaHCKA4QZ-JxBZXyZQLkQ|tr=gfa|ct=mpvyg3nr|hk=931f5e8d97540cd44108497c5c16cfacd0f4575b|nacn=dwMoB0QOE0Ov")</f>
        <v>https://newstart-law.com/?inType=NIP002&amp;NaPm=ci=62MuaHCKA4QZ-JxBZXyZQLkQ|tr=gfa|ct=mpvyg3nr|hk=931f5e8d97540cd44108497c5c16cfacd0f4575b|nacn=dwMoB0QOE0Ov</v>
      </c>
      <c r="H11" s="6" t="str">
        <f ca="1">IFERROR(__xludf.DUMMYFUNCTION("""COMPUTED_VALUE"""),"NIP002")</f>
        <v>NIP002</v>
      </c>
      <c r="I11" s="6" t="str">
        <f ca="1">IFERROR(__xludf.DUMMYFUNCTION("""COMPUTED_VALUE"""),"")</f>
        <v/>
      </c>
      <c r="J11" s="6" t="str">
        <f ca="1">IFERROR(__xludf.DUMMYFUNCTION("""COMPUTED_VALUE"""),"AI 진단")</f>
        <v>AI 진단</v>
      </c>
    </row>
    <row r="12" spans="1:10" x14ac:dyDescent="0.2">
      <c r="A12" s="6">
        <f ca="1">IFERROR(__xludf.DUMMYFUNCTION("""COMPUTED_VALUE"""),11)</f>
        <v>11</v>
      </c>
      <c r="B12" s="6">
        <f ca="1">IFERROR(__xludf.DUMMYFUNCTION("""COMPUTED_VALUE"""),46175.4671412037)</f>
        <v>46175.467141203699</v>
      </c>
      <c r="C12" s="6" t="str">
        <f ca="1">IFERROR(__xludf.DUMMYFUNCTION("""COMPUTED_VALUE"""),"118.235.88.239")</f>
        <v>118.235.88.239</v>
      </c>
      <c r="D12" s="6" t="str">
        <f ca="1">IFERROR(__xludf.DUMMYFUNCTION("""COMPUTED_VALUE"""),"네이버톡톡")</f>
        <v>네이버톡톡</v>
      </c>
      <c r="E12" s="6" t="str">
        <f ca="1">IFERROR(__xludf.DUMMYFUNCTION("""COMPUTED_VALUE"""),"네이버톡톡")</f>
        <v>네이버톡톡</v>
      </c>
      <c r="F12" s="6" t="str">
        <f ca="1">IFERROR(__xludf.DUMMYFUNCTION("""COMPUTED_VALUE"""),"배너")</f>
        <v>배너</v>
      </c>
      <c r="G12" s="7" t="str">
        <f ca="1">IFERROR(__xludf.DUMMYFUNCTION("""COMPUTED_VALUE"""),"http://newstart-law.com/?inType=nim003&amp;NaPm=ci=62m0lq8g7wT5OeLIh97Chr3g|tr=gfa|ct=mpw05tmj|hk=d54e69ffb48e4a143cb5c1d9ac20565f57df2d92|nacn=JTFfCACFnSGfB")</f>
        <v>http://newstart-law.com/?inType=nim003&amp;NaPm=ci=62m0lq8g7wT5OeLIh97Chr3g|tr=gfa|ct=mpw05tmj|hk=d54e69ffb48e4a143cb5c1d9ac20565f57df2d92|nacn=JTFfCACFnSGfB</v>
      </c>
      <c r="H12" s="6" t="str">
        <f ca="1">IFERROR(__xludf.DUMMYFUNCTION("""COMPUTED_VALUE"""),"nim003")</f>
        <v>nim003</v>
      </c>
      <c r="I12" s="6" t="str">
        <f ca="1">IFERROR(__xludf.DUMMYFUNCTION("""COMPUTED_VALUE"""),"")</f>
        <v/>
      </c>
      <c r="J12" s="6" t="str">
        <f ca="1">IFERROR(__xludf.DUMMYFUNCTION("""COMPUTED_VALUE"""),"네이버 톡톡")</f>
        <v>네이버 톡톡</v>
      </c>
    </row>
    <row r="13" spans="1:10" x14ac:dyDescent="0.2">
      <c r="A13" s="6">
        <f ca="1">IFERROR(__xludf.DUMMYFUNCTION("""COMPUTED_VALUE"""),12)</f>
        <v>12</v>
      </c>
      <c r="B13" s="6">
        <f ca="1">IFERROR(__xludf.DUMMYFUNCTION("""COMPUTED_VALUE"""),46175.5107175925)</f>
        <v>46175.5107175925</v>
      </c>
      <c r="C13" s="6" t="str">
        <f ca="1">IFERROR(__xludf.DUMMYFUNCTION("""COMPUTED_VALUE"""),"220.90.181.68")</f>
        <v>220.90.181.68</v>
      </c>
      <c r="D13" s="6" t="str">
        <f ca="1">IFERROR(__xludf.DUMMYFUNCTION("""COMPUTED_VALUE"""),"카카오")</f>
        <v>카카오</v>
      </c>
      <c r="E13" s="6" t="str">
        <f ca="1">IFERROR(__xludf.DUMMYFUNCTION("""COMPUTED_VALUE"""),"카카오톡")</f>
        <v>카카오톡</v>
      </c>
      <c r="F13" s="6" t="str">
        <f ca="1">IFERROR(__xludf.DUMMYFUNCTION("""COMPUTED_VALUE"""),"배너")</f>
        <v>배너</v>
      </c>
      <c r="G13" s="7" t="str">
        <f ca="1">IFERROR(__xludf.DUMMYFUNCTION("""COMPUTED_VALUE"""),"http://newstart-law.com/?inType=nim003&amp;NaPm=ci=62uQ9O8OEtTNidjJPZLo2EEA|tr=gfa|ct=mpw2dwff|hk=bc1309493d5e84593d18d3a481355b21d1aecc36|nacn=jDqaBsgZT0s5")</f>
        <v>http://newstart-law.com/?inType=nim003&amp;NaPm=ci=62uQ9O8OEtTNidjJPZLo2EEA|tr=gfa|ct=mpw2dwff|hk=bc1309493d5e84593d18d3a481355b21d1aecc36|nacn=jDqaBsgZT0s5</v>
      </c>
      <c r="H13" s="6" t="str">
        <f ca="1">IFERROR(__xludf.DUMMYFUNCTION("""COMPUTED_VALUE"""),"nim003")</f>
        <v>nim003</v>
      </c>
      <c r="I13" s="6" t="str">
        <f ca="1">IFERROR(__xludf.DUMMYFUNCTION("""COMPUTED_VALUE"""),"")</f>
        <v/>
      </c>
      <c r="J13" s="6" t="str">
        <f ca="1">IFERROR(__xludf.DUMMYFUNCTION("""COMPUTED_VALUE"""),"카카오톡")</f>
        <v>카카오톡</v>
      </c>
    </row>
    <row r="14" spans="1:10" x14ac:dyDescent="0.2">
      <c r="A14" s="6">
        <f ca="1">IFERROR(__xludf.DUMMYFUNCTION("""COMPUTED_VALUE"""),13)</f>
        <v>13</v>
      </c>
      <c r="B14" s="6">
        <f ca="1">IFERROR(__xludf.DUMMYFUNCTION("""COMPUTED_VALUE"""),46175.5110879629)</f>
        <v>46175.511087962899</v>
      </c>
      <c r="C14" s="6" t="str">
        <f ca="1">IFERROR(__xludf.DUMMYFUNCTION("""COMPUTED_VALUE"""),"220.90.181.68")</f>
        <v>220.90.181.68</v>
      </c>
      <c r="D14" s="6" t="str">
        <f ca="1">IFERROR(__xludf.DUMMYFUNCTION("""COMPUTED_VALUE"""),"네이버톡톡")</f>
        <v>네이버톡톡</v>
      </c>
      <c r="E14" s="6" t="str">
        <f ca="1">IFERROR(__xludf.DUMMYFUNCTION("""COMPUTED_VALUE"""),"네이버톡톡")</f>
        <v>네이버톡톡</v>
      </c>
      <c r="F14" s="6" t="str">
        <f ca="1">IFERROR(__xludf.DUMMYFUNCTION("""COMPUTED_VALUE"""),"유입확인불가")</f>
        <v>유입확인불가</v>
      </c>
      <c r="G14" s="7" t="str">
        <f ca="1">IFERROR(__xludf.DUMMYFUNCTION("""COMPUTED_VALUE"""),"http://newstart-law.com/")</f>
        <v>http://newstart-law.com/</v>
      </c>
      <c r="H14" s="6" t="str">
        <f ca="1">IFERROR(__xludf.DUMMYFUNCTION("""COMPUTED_VALUE"""),"")</f>
        <v/>
      </c>
      <c r="I14" s="6" t="str">
        <f ca="1">IFERROR(__xludf.DUMMYFUNCTION("""COMPUTED_VALUE"""),"")</f>
        <v/>
      </c>
      <c r="J14" s="6" t="str">
        <f ca="1">IFERROR(__xludf.DUMMYFUNCTION("""COMPUTED_VALUE"""),"네이버 톡톡")</f>
        <v>네이버 톡톡</v>
      </c>
    </row>
    <row r="15" spans="1:10" x14ac:dyDescent="0.2">
      <c r="A15" s="6">
        <f ca="1">IFERROR(__xludf.DUMMYFUNCTION("""COMPUTED_VALUE"""),14)</f>
        <v>14</v>
      </c>
      <c r="B15" s="6">
        <f ca="1">IFERROR(__xludf.DUMMYFUNCTION("""COMPUTED_VALUE"""),46175.5775925925)</f>
        <v>46175.577592592497</v>
      </c>
      <c r="C15" s="6" t="str">
        <f ca="1">IFERROR(__xludf.DUMMYFUNCTION("""COMPUTED_VALUE"""),"정수지")</f>
        <v>정수지</v>
      </c>
      <c r="D15" s="6">
        <f ca="1">IFERROR(__xludf.DUMMYFUNCTION("""COMPUTED_VALUE"""),1064864114)</f>
        <v>1064864114</v>
      </c>
      <c r="E15" s="6" t="str">
        <f ca="1">IFERROR(__xludf.DUMMYFUNCTION("""COMPUTED_VALUE"""),"상담신청")</f>
        <v>상담신청</v>
      </c>
      <c r="F15" s="6" t="str">
        <f ca="1">IFERROR(__xludf.DUMMYFUNCTION("""COMPUTED_VALUE"""),"배너")</f>
        <v>배너</v>
      </c>
      <c r="G15" s="7" t="str">
        <f ca="1">IFERROR(__xludf.DUMMYFUNCTION("""COMPUTED_VALUE"""),"http://newstart-law.com/?inType=nim003&amp;NaPm=ci=62Pjm_2DOnRRmtwe8uFi2GqQ|tr=gfa|ct=mpw5s77p|hk=5ee502016f4f04bb395d4cbc8a229e4dc59219f6|nacn=lfR0DIif0WBIB")</f>
        <v>http://newstart-law.com/?inType=nim003&amp;NaPm=ci=62Pjm_2DOnRRmtwe8uFi2GqQ|tr=gfa|ct=mpw5s77p|hk=5ee502016f4f04bb395d4cbc8a229e4dc59219f6|nacn=lfR0DIif0WBIB</v>
      </c>
      <c r="H15" s="6" t="str">
        <f ca="1">IFERROR(__xludf.DUMMYFUNCTION("""COMPUTED_VALUE"""),"nim003")</f>
        <v>nim003</v>
      </c>
      <c r="I15" s="6" t="str">
        <f ca="1">IFERROR(__xludf.DUMMYFUNCTION("""COMPUTED_VALUE"""),"")</f>
        <v/>
      </c>
      <c r="J15" s="6" t="str">
        <f ca="1">IFERROR(__xludf.DUMMYFUNCTION("""COMPUTED_VALUE"""),"AI 진단")</f>
        <v>AI 진단</v>
      </c>
    </row>
    <row r="16" spans="1:10" x14ac:dyDescent="0.2">
      <c r="A16" s="6">
        <f ca="1">IFERROR(__xludf.DUMMYFUNCTION("""COMPUTED_VALUE"""),15)</f>
        <v>15</v>
      </c>
      <c r="B16" s="6">
        <f ca="1">IFERROR(__xludf.DUMMYFUNCTION("""COMPUTED_VALUE"""),46175.6885185185)</f>
        <v>46175.688518518502</v>
      </c>
      <c r="C16" s="6" t="str">
        <f ca="1">IFERROR(__xludf.DUMMYFUNCTION("""COMPUTED_VALUE"""),"106.101.65.214")</f>
        <v>106.101.65.214</v>
      </c>
      <c r="D16" s="6" t="str">
        <f ca="1">IFERROR(__xludf.DUMMYFUNCTION("""COMPUTED_VALUE"""),"카카오")</f>
        <v>카카오</v>
      </c>
      <c r="E16" s="6" t="str">
        <f ca="1">IFERROR(__xludf.DUMMYFUNCTION("""COMPUTED_VALUE"""),"카카오톡")</f>
        <v>카카오톡</v>
      </c>
      <c r="F16" s="6" t="str">
        <f ca="1">IFERROR(__xludf.DUMMYFUNCTION("""COMPUTED_VALUE"""),"배너")</f>
        <v>배너</v>
      </c>
      <c r="G16" s="7" t="str">
        <f ca="1">IFERROR(__xludf.DUMMYFUNCTION("""COMPUTED_VALUE"""),"http://newstart-law.com/?inType=nim003&amp;NaPm=ci=62OvHkhRFmQieE1HmrLH4edw|tr=gfa|ct=mpwbj73l|hk=529e4d0ca7b77a4c3df595166adef90d118d98ea|nacn=icX7B0QvhcOY")</f>
        <v>http://newstart-law.com/?inType=nim003&amp;NaPm=ci=62OvHkhRFmQieE1HmrLH4edw|tr=gfa|ct=mpwbj73l|hk=529e4d0ca7b77a4c3df595166adef90d118d98ea|nacn=icX7B0QvhcOY</v>
      </c>
      <c r="H16" s="6" t="str">
        <f ca="1">IFERROR(__xludf.DUMMYFUNCTION("""COMPUTED_VALUE"""),"nim003")</f>
        <v>nim003</v>
      </c>
      <c r="I16" s="6" t="str">
        <f ca="1">IFERROR(__xludf.DUMMYFUNCTION("""COMPUTED_VALUE"""),"")</f>
        <v/>
      </c>
      <c r="J16" s="6" t="str">
        <f ca="1">IFERROR(__xludf.DUMMYFUNCTION("""COMPUTED_VALUE"""),"카카오톡")</f>
        <v>카카오톡</v>
      </c>
    </row>
    <row r="17" spans="1:10" x14ac:dyDescent="0.2">
      <c r="A17" s="6">
        <f ca="1">IFERROR(__xludf.DUMMYFUNCTION("""COMPUTED_VALUE"""),16)</f>
        <v>16</v>
      </c>
      <c r="B17" s="6">
        <f ca="1">IFERROR(__xludf.DUMMYFUNCTION("""COMPUTED_VALUE"""),46175.706412037)</f>
        <v>46175.706412036998</v>
      </c>
      <c r="C17" s="6" t="str">
        <f ca="1">IFERROR(__xludf.DUMMYFUNCTION("""COMPUTED_VALUE"""),"115.23.153.18")</f>
        <v>115.23.153.18</v>
      </c>
      <c r="D17" s="6" t="str">
        <f ca="1">IFERROR(__xludf.DUMMYFUNCTION("""COMPUTED_VALUE"""),"카카오")</f>
        <v>카카오</v>
      </c>
      <c r="E17" s="6" t="str">
        <f ca="1">IFERROR(__xludf.DUMMYFUNCTION("""COMPUTED_VALUE"""),"카카오톡")</f>
        <v>카카오톡</v>
      </c>
      <c r="F17" s="6" t="str">
        <f ca="1">IFERROR(__xludf.DUMMYFUNCTION("""COMPUTED_VALUE"""),"배너")</f>
        <v>배너</v>
      </c>
      <c r="G17" s="7" t="str">
        <f ca="1">IFERROR(__xludf.DUMMYFUNCTION("""COMPUTED_VALUE"""),"http://newstart-law.com/?inType=nim003&amp;NaPm=ci=626VP5h2A-SY2U8VXeH0J9ng|tr=gfa|ct=mpwcgx2t|hk=bee70ab55f4370a2791f999154f7da6c38aead6b|nacn=0eRSCgBbQtozA")</f>
        <v>http://newstart-law.com/?inType=nim003&amp;NaPm=ci=626VP5h2A-SY2U8VXeH0J9ng|tr=gfa|ct=mpwcgx2t|hk=bee70ab55f4370a2791f999154f7da6c38aead6b|nacn=0eRSCgBbQtozA</v>
      </c>
      <c r="H17" s="6" t="str">
        <f ca="1">IFERROR(__xludf.DUMMYFUNCTION("""COMPUTED_VALUE"""),"nim003")</f>
        <v>nim003</v>
      </c>
      <c r="I17" s="6" t="str">
        <f ca="1">IFERROR(__xludf.DUMMYFUNCTION("""COMPUTED_VALUE"""),"")</f>
        <v/>
      </c>
      <c r="J17" s="6" t="str">
        <f ca="1">IFERROR(__xludf.DUMMYFUNCTION("""COMPUTED_VALUE"""),"카카오톡")</f>
        <v>카카오톡</v>
      </c>
    </row>
    <row r="18" spans="1:10" x14ac:dyDescent="0.2">
      <c r="A18" s="6">
        <f ca="1">IFERROR(__xludf.DUMMYFUNCTION("""COMPUTED_VALUE"""),17)</f>
        <v>17</v>
      </c>
      <c r="B18" s="6">
        <f ca="1">IFERROR(__xludf.DUMMYFUNCTION("""COMPUTED_VALUE"""),46175.7541550925)</f>
        <v>46175.754155092502</v>
      </c>
      <c r="C18" s="6" t="str">
        <f ca="1">IFERROR(__xludf.DUMMYFUNCTION("""COMPUTED_VALUE"""),"박하나")</f>
        <v>박하나</v>
      </c>
      <c r="D18" s="6">
        <f ca="1">IFERROR(__xludf.DUMMYFUNCTION("""COMPUTED_VALUE"""),1077344054)</f>
        <v>1077344054</v>
      </c>
      <c r="E18" s="6" t="str">
        <f ca="1">IFERROR(__xludf.DUMMYFUNCTION("""COMPUTED_VALUE"""),"상담신청")</f>
        <v>상담신청</v>
      </c>
      <c r="F18" s="6" t="str">
        <f ca="1">IFERROR(__xludf.DUMMYFUNCTION("""COMPUTED_VALUE"""),"배너")</f>
        <v>배너</v>
      </c>
      <c r="G18" s="7" t="str">
        <f ca="1">IFERROR(__xludf.DUMMYFUNCTION("""COMPUTED_VALUE"""),"http://newstart-law.com/?inType=NIM001&amp;NaPm=ci=62uotRnDyfSwOjJo-EKBtsJw|tr=gfa|ct=mpwew242|hk=343e2ebee342ccd82e75fc14e0ca9da652f4c057|nacn=5mkpBMAOx03E")</f>
        <v>http://newstart-law.com/?inType=NIM001&amp;NaPm=ci=62uotRnDyfSwOjJo-EKBtsJw|tr=gfa|ct=mpwew242|hk=343e2ebee342ccd82e75fc14e0ca9da652f4c057|nacn=5mkpBMAOx03E</v>
      </c>
      <c r="H18" s="6" t="str">
        <f ca="1">IFERROR(__xludf.DUMMYFUNCTION("""COMPUTED_VALUE"""),"NIM001")</f>
        <v>NIM001</v>
      </c>
      <c r="I18" s="6" t="str">
        <f ca="1">IFERROR(__xludf.DUMMYFUNCTION("""COMPUTED_VALUE"""),"")</f>
        <v/>
      </c>
      <c r="J18" s="6" t="str">
        <f ca="1">IFERROR(__xludf.DUMMYFUNCTION("""COMPUTED_VALUE"""),"AI 진단")</f>
        <v>AI 진단</v>
      </c>
    </row>
    <row r="19" spans="1:10" x14ac:dyDescent="0.2">
      <c r="A19" s="6">
        <f ca="1">IFERROR(__xludf.DUMMYFUNCTION("""COMPUTED_VALUE"""),18)</f>
        <v>18</v>
      </c>
      <c r="B19" s="6">
        <f ca="1">IFERROR(__xludf.DUMMYFUNCTION("""COMPUTED_VALUE"""),46175.8490625)</f>
        <v>46175.849062499998</v>
      </c>
      <c r="C19" s="6" t="str">
        <f ca="1">IFERROR(__xludf.DUMMYFUNCTION("""COMPUTED_VALUE"""),"118.235.74.37")</f>
        <v>118.235.74.37</v>
      </c>
      <c r="D19" s="6" t="str">
        <f ca="1">IFERROR(__xludf.DUMMYFUNCTION("""COMPUTED_VALUE"""),"카카오")</f>
        <v>카카오</v>
      </c>
      <c r="E19" s="6" t="str">
        <f ca="1">IFERROR(__xludf.DUMMYFUNCTION("""COMPUTED_VALUE"""),"카카오톡")</f>
        <v>카카오톡</v>
      </c>
      <c r="F19" s="6" t="str">
        <f ca="1">IFERROR(__xludf.DUMMYFUNCTION("""COMPUTED_VALUE"""),"검색")</f>
        <v>검색</v>
      </c>
      <c r="G19" s="7" t="str">
        <f ca="1">IFERROR(__xludf.DUMMYFUNCTION("""COMPUTED_VALUE"""),"https://www.newstart-law.com/?inType=NK&amp;n_media=8753&amp;n_query=개인회생상담&amp;n_rank=4&amp;n_ad_group=grp-a001-01-000000063065632&amp;n_ad=nad-a001-01-000000485213835&amp;n_keyword_id=nkw-a001-01-000007951806239&amp;n_keyword=개인회생상담&amp;n_campaign_type=1&amp;n_ad_group_type=1&amp;n_match=1&amp;Na"&amp;"Pm=ct=mpwjswnf|ci=ER562f21bf-5e75-11f1-8ec2-3a1d4f158d1b|tr=sa|hk=6ec69752968c24c26bd59c9bbea4ae01aa8b5084|nacn=KccYBABGDw9")</f>
        <v>https://www.newstart-law.com/?inType=NK&amp;n_media=8753&amp;n_query=개인회생상담&amp;n_rank=4&amp;n_ad_group=grp-a001-01-000000063065632&amp;n_ad=nad-a001-01-000000485213835&amp;n_keyword_id=nkw-a001-01-000007951806239&amp;n_keyword=개인회생상담&amp;n_campaign_type=1&amp;n_ad_group_type=1&amp;n_match=1&amp;NaPm=ct=mpwjswnf|ci=ER562f21bf-5e75-11f1-8ec2-3a1d4f158d1b|tr=sa|hk=6ec69752968c24c26bd59c9bbea4ae01aa8b5084|nacn=KccYBABGDw9</v>
      </c>
      <c r="H19" s="6" t="str">
        <f ca="1">IFERROR(__xludf.DUMMYFUNCTION("""COMPUTED_VALUE"""),"NK")</f>
        <v>NK</v>
      </c>
      <c r="I19" s="6" t="str">
        <f ca="1">IFERROR(__xludf.DUMMYFUNCTION("""COMPUTED_VALUE"""),"개인회생상담")</f>
        <v>개인회생상담</v>
      </c>
      <c r="J19" s="6" t="str">
        <f ca="1">IFERROR(__xludf.DUMMYFUNCTION("""COMPUTED_VALUE"""),"카카오톡")</f>
        <v>카카오톡</v>
      </c>
    </row>
    <row r="20" spans="1:10" x14ac:dyDescent="0.2">
      <c r="A20" s="6">
        <f ca="1">IFERROR(__xludf.DUMMYFUNCTION("""COMPUTED_VALUE"""),19)</f>
        <v>19</v>
      </c>
      <c r="B20" s="6">
        <f ca="1">IFERROR(__xludf.DUMMYFUNCTION("""COMPUTED_VALUE"""),46175.8852430555)</f>
        <v>46175.885243055498</v>
      </c>
      <c r="C20" s="6" t="str">
        <f ca="1">IFERROR(__xludf.DUMMYFUNCTION("""COMPUTED_VALUE"""),"최원호")</f>
        <v>최원호</v>
      </c>
      <c r="D20" s="6">
        <f ca="1">IFERROR(__xludf.DUMMYFUNCTION("""COMPUTED_VALUE"""),1065189053)</f>
        <v>1065189053</v>
      </c>
      <c r="E20" s="6" t="str">
        <f ca="1">IFERROR(__xludf.DUMMYFUNCTION("""COMPUTED_VALUE"""),"상담신청")</f>
        <v>상담신청</v>
      </c>
      <c r="F20" s="6" t="str">
        <f ca="1">IFERROR(__xludf.DUMMYFUNCTION("""COMPUTED_VALUE"""),"검색")</f>
        <v>검색</v>
      </c>
      <c r="G20" s="7" t="str">
        <f ca="1">IFERROR(__xludf.DUMMYFUNCTION("""COMPUTED_VALUE"""),"https://www.newstart-law.com/?inType=NK&amp;n_media=8753&amp;n_query=개인회생&amp;n_rank=4&amp;n_ad_group=grp-a001-01-000000063063767&amp;n_ad=nad-a001-01-000000485213831&amp;n_keyword_id=nkw-a001-01-000007934680459&amp;n_keyword=개인회생&amp;n_campaign_type=1&amp;n_ad_group_type=1&amp;n_match=1&amp;NaPm=c"&amp;"t=mpwlnjol|ci=ER936129bf-5e7c-11f1-b475-8a2e93251834|tr=sa|hk=78904536ca51953511c04f3c2e02b034c77fd312|nacn=yZsVBExbE0mH")</f>
        <v>https://www.newstart-law.com/?inType=NK&amp;n_media=8753&amp;n_query=개인회생&amp;n_rank=4&amp;n_ad_group=grp-a001-01-000000063063767&amp;n_ad=nad-a001-01-000000485213831&amp;n_keyword_id=nkw-a001-01-000007934680459&amp;n_keyword=개인회생&amp;n_campaign_type=1&amp;n_ad_group_type=1&amp;n_match=1&amp;NaPm=ct=mpwlnjol|ci=ER936129bf-5e7c-11f1-b475-8a2e93251834|tr=sa|hk=78904536ca51953511c04f3c2e02b034c77fd312|nacn=yZsVBExbE0mH</v>
      </c>
      <c r="H20" s="6" t="str">
        <f ca="1">IFERROR(__xludf.DUMMYFUNCTION("""COMPUTED_VALUE"""),"NK")</f>
        <v>NK</v>
      </c>
      <c r="I20" s="6" t="str">
        <f ca="1">IFERROR(__xludf.DUMMYFUNCTION("""COMPUTED_VALUE"""),"개인회생")</f>
        <v>개인회생</v>
      </c>
      <c r="J20" s="6" t="str">
        <f ca="1">IFERROR(__xludf.DUMMYFUNCTION("""COMPUTED_VALUE"""),"모바일 하단 상담폼")</f>
        <v>모바일 하단 상담폼</v>
      </c>
    </row>
    <row r="21" spans="1:10" x14ac:dyDescent="0.2">
      <c r="A21" s="6">
        <f ca="1">IFERROR(__xludf.DUMMYFUNCTION("""COMPUTED_VALUE"""),20)</f>
        <v>20</v>
      </c>
      <c r="B21" s="6">
        <f ca="1">IFERROR(__xludf.DUMMYFUNCTION("""COMPUTED_VALUE"""),46176.3939004629)</f>
        <v>46176.393900462899</v>
      </c>
      <c r="C21" s="6" t="str">
        <f ca="1">IFERROR(__xludf.DUMMYFUNCTION("""COMPUTED_VALUE"""),"박찬두")</f>
        <v>박찬두</v>
      </c>
      <c r="D21" s="6">
        <f ca="1">IFERROR(__xludf.DUMMYFUNCTION("""COMPUTED_VALUE"""),1063617555)</f>
        <v>1063617555</v>
      </c>
      <c r="E21" s="6" t="str">
        <f ca="1">IFERROR(__xludf.DUMMYFUNCTION("""COMPUTED_VALUE"""),"상담신청")</f>
        <v>상담신청</v>
      </c>
      <c r="F21" s="6" t="str">
        <f ca="1">IFERROR(__xludf.DUMMYFUNCTION("""COMPUTED_VALUE"""),"검색")</f>
        <v>검색</v>
      </c>
      <c r="G21" s="7" t="str">
        <f ca="1">IFERROR(__xludf.DUMMYFUNCTION("""COMPUTED_VALUE"""),"https://www.newstart-law.com/?inType=NK&amp;n_media=27758&amp;n_query=파산신청&amp;n_rank=3&amp;n_ad_group=grp-a001-01-000000063065694&amp;n_ad=nad-a001-01-000000495460390&amp;n_keyword_id=nkw-a001-01-000007951818589&amp;n_keyword=파산신청&amp;n_campaign_type=1&amp;n_ad_group_type=1&amp;n_match=1&amp;NaPm="&amp;"ct=mpxbqrmi|ci=ER9a4ccc7a-5ee2-11f1-b0bf-0eb0cfea6841|tr=sa|hk=6740c092fb5c08ac5f66ed3179c869e572b34064|nacn=qr1EBwAhUYmM")</f>
        <v>https://www.newstart-law.com/?inType=NK&amp;n_media=27758&amp;n_query=파산신청&amp;n_rank=3&amp;n_ad_group=grp-a001-01-000000063065694&amp;n_ad=nad-a001-01-000000495460390&amp;n_keyword_id=nkw-a001-01-000007951818589&amp;n_keyword=파산신청&amp;n_campaign_type=1&amp;n_ad_group_type=1&amp;n_match=1&amp;NaPm=ct=mpxbqrmi|ci=ER9a4ccc7a-5ee2-11f1-b0bf-0eb0cfea6841|tr=sa|hk=6740c092fb5c08ac5f66ed3179c869e572b34064|nacn=qr1EBwAhUYmM</v>
      </c>
      <c r="H21" s="6" t="str">
        <f ca="1">IFERROR(__xludf.DUMMYFUNCTION("""COMPUTED_VALUE"""),"NK")</f>
        <v>NK</v>
      </c>
      <c r="I21" s="6" t="str">
        <f ca="1">IFERROR(__xludf.DUMMYFUNCTION("""COMPUTED_VALUE"""),"파산신청")</f>
        <v>파산신청</v>
      </c>
      <c r="J21" s="6" t="str">
        <f ca="1">IFERROR(__xludf.DUMMYFUNCTION("""COMPUTED_VALUE"""),"AI 진단")</f>
        <v>AI 진단</v>
      </c>
    </row>
    <row r="22" spans="1:10" x14ac:dyDescent="0.2">
      <c r="A22" s="6">
        <f ca="1">IFERROR(__xludf.DUMMYFUNCTION("""COMPUTED_VALUE"""),21)</f>
        <v>21</v>
      </c>
      <c r="B22" s="6">
        <f ca="1">IFERROR(__xludf.DUMMYFUNCTION("""COMPUTED_VALUE"""),46176.4733449074)</f>
        <v>46176.473344907397</v>
      </c>
      <c r="C22" s="6" t="str">
        <f ca="1">IFERROR(__xludf.DUMMYFUNCTION("""COMPUTED_VALUE"""),"정성욱")</f>
        <v>정성욱</v>
      </c>
      <c r="D22" s="6">
        <f ca="1">IFERROR(__xludf.DUMMYFUNCTION("""COMPUTED_VALUE"""),1052301458)</f>
        <v>1052301458</v>
      </c>
      <c r="E22" s="6" t="str">
        <f ca="1">IFERROR(__xludf.DUMMYFUNCTION("""COMPUTED_VALUE"""),"상담신청")</f>
        <v>상담신청</v>
      </c>
      <c r="F22" s="6" t="str">
        <f ca="1">IFERROR(__xludf.DUMMYFUNCTION("""COMPUTED_VALUE"""),"배너")</f>
        <v>배너</v>
      </c>
      <c r="G22" s="7" t="str">
        <f ca="1">IFERROR(__xludf.DUMMYFUNCTION("""COMPUTED_VALUE"""),"http://newstart-law.com/?inType=nim003&amp;NaPm=ci=63CzLyAn41TwCnmGw5yv2pDw|tr=gfa|ct=mpxfttvt|hk=879103375666f31c2e211049c1e7398dbe311710|nacn=eZ5RDACulaS3B")</f>
        <v>http://newstart-law.com/?inType=nim003&amp;NaPm=ci=63CzLyAn41TwCnmGw5yv2pDw|tr=gfa|ct=mpxfttvt|hk=879103375666f31c2e211049c1e7398dbe311710|nacn=eZ5RDACulaS3B</v>
      </c>
      <c r="H22" s="6" t="str">
        <f ca="1">IFERROR(__xludf.DUMMYFUNCTION("""COMPUTED_VALUE"""),"nim003")</f>
        <v>nim003</v>
      </c>
      <c r="I22" s="6" t="str">
        <f ca="1">IFERROR(__xludf.DUMMYFUNCTION("""COMPUTED_VALUE"""),"")</f>
        <v/>
      </c>
      <c r="J22" s="6" t="str">
        <f ca="1">IFERROR(__xludf.DUMMYFUNCTION("""COMPUTED_VALUE"""),"AI 진단")</f>
        <v>AI 진단</v>
      </c>
    </row>
    <row r="23" spans="1:10" x14ac:dyDescent="0.2">
      <c r="A23" s="6">
        <f ca="1">IFERROR(__xludf.DUMMYFUNCTION("""COMPUTED_VALUE"""),22)</f>
        <v>22</v>
      </c>
      <c r="B23" s="6">
        <f ca="1">IFERROR(__xludf.DUMMYFUNCTION("""COMPUTED_VALUE"""),46176.5290625)</f>
        <v>46176.529062499998</v>
      </c>
      <c r="C23" s="6" t="str">
        <f ca="1">IFERROR(__xludf.DUMMYFUNCTION("""COMPUTED_VALUE"""),"김기문")</f>
        <v>김기문</v>
      </c>
      <c r="D23" s="6">
        <f ca="1">IFERROR(__xludf.DUMMYFUNCTION("""COMPUTED_VALUE"""),1084401217)</f>
        <v>1084401217</v>
      </c>
      <c r="E23" s="6" t="str">
        <f ca="1">IFERROR(__xludf.DUMMYFUNCTION("""COMPUTED_VALUE"""),"상담신청")</f>
        <v>상담신청</v>
      </c>
      <c r="F23" s="6" t="str">
        <f ca="1">IFERROR(__xludf.DUMMYFUNCTION("""COMPUTED_VALUE"""),"검색")</f>
        <v>검색</v>
      </c>
      <c r="G23" s="7" t="str">
        <f ca="1">IFERROR(__xludf.DUMMYFUNCTION("""COMPUTED_VALUE"""),"https://www.newstart-law.com/?inType=NK&amp;n_media=8753&amp;n_query=개인회생파산&amp;n_rank=4&amp;n_ad_group=grp-a001-01-000000063065632&amp;n_ad=nad-a001-01-000000485213835&amp;n_keyword_id=nkw-a001-01-000007951806231&amp;n_keyword=개인회생파산&amp;n_campaign_type=1&amp;n_ad_group_type=1&amp;n_match=1&amp;Na"&amp;"Pm=ct=mpxipj9k|ci=ERd7eff555-5efd-11f1-a285-5e52d0db692c|tr=sa|hk=1814f921f06f13395d00366da34797df1ed888a1|nacn=fjTpD4Al3S8")</f>
        <v>https://www.newstart-law.com/?inType=NK&amp;n_media=8753&amp;n_query=개인회생파산&amp;n_rank=4&amp;n_ad_group=grp-a001-01-000000063065632&amp;n_ad=nad-a001-01-000000485213835&amp;n_keyword_id=nkw-a001-01-000007951806231&amp;n_keyword=개인회생파산&amp;n_campaign_type=1&amp;n_ad_group_type=1&amp;n_match=1&amp;NaPm=ct=mpxipj9k|ci=ERd7eff555-5efd-11f1-a285-5e52d0db692c|tr=sa|hk=1814f921f06f13395d00366da34797df1ed888a1|nacn=fjTpD4Al3S8</v>
      </c>
      <c r="H23" s="6" t="str">
        <f ca="1">IFERROR(__xludf.DUMMYFUNCTION("""COMPUTED_VALUE"""),"NK")</f>
        <v>NK</v>
      </c>
      <c r="I23" s="6" t="str">
        <f ca="1">IFERROR(__xludf.DUMMYFUNCTION("""COMPUTED_VALUE"""),"개인회생파산")</f>
        <v>개인회생파산</v>
      </c>
      <c r="J23" s="6" t="str">
        <f ca="1">IFERROR(__xludf.DUMMYFUNCTION("""COMPUTED_VALUE"""),"AI 진단")</f>
        <v>AI 진단</v>
      </c>
    </row>
    <row r="24" spans="1:10" x14ac:dyDescent="0.2">
      <c r="A24" s="6">
        <f ca="1">IFERROR(__xludf.DUMMYFUNCTION("""COMPUTED_VALUE"""),23)</f>
        <v>23</v>
      </c>
      <c r="B24" s="6">
        <f ca="1">IFERROR(__xludf.DUMMYFUNCTION("""COMPUTED_VALUE"""),46176.5434837963)</f>
        <v>46176.543483796297</v>
      </c>
      <c r="C24" s="6" t="str">
        <f ca="1">IFERROR(__xludf.DUMMYFUNCTION("""COMPUTED_VALUE"""),"211.234.207.103")</f>
        <v>211.234.207.103</v>
      </c>
      <c r="D24" s="6" t="str">
        <f ca="1">IFERROR(__xludf.DUMMYFUNCTION("""COMPUTED_VALUE"""),"네이버톡톡")</f>
        <v>네이버톡톡</v>
      </c>
      <c r="E24" s="6" t="str">
        <f ca="1">IFERROR(__xludf.DUMMYFUNCTION("""COMPUTED_VALUE"""),"네이버톡톡")</f>
        <v>네이버톡톡</v>
      </c>
      <c r="F24" s="6" t="str">
        <f ca="1">IFERROR(__xludf.DUMMYFUNCTION("""COMPUTED_VALUE"""),"배너")</f>
        <v>배너</v>
      </c>
      <c r="G24" s="7" t="str">
        <f ca="1">IFERROR(__xludf.DUMMYFUNCTION("""COMPUTED_VALUE"""),"http://newstart-law.com/?inType=nim003&amp;NaPm=ci=63qtngcaPaR4qIuWvzPGYEzA|tr=gfa|ct=mpxjhp7i|hk=3005a02293959bba2a98d0b1d9fb38fb42a92b5b|nacn=uezJDACUgWGcB")</f>
        <v>http://newstart-law.com/?inType=nim003&amp;NaPm=ci=63qtngcaPaR4qIuWvzPGYEzA|tr=gfa|ct=mpxjhp7i|hk=3005a02293959bba2a98d0b1d9fb38fb42a92b5b|nacn=uezJDACUgWGcB</v>
      </c>
      <c r="H24" s="6" t="str">
        <f ca="1">IFERROR(__xludf.DUMMYFUNCTION("""COMPUTED_VALUE"""),"nim003")</f>
        <v>nim003</v>
      </c>
      <c r="I24" s="6" t="str">
        <f ca="1">IFERROR(__xludf.DUMMYFUNCTION("""COMPUTED_VALUE"""),"")</f>
        <v/>
      </c>
      <c r="J24" s="6" t="str">
        <f ca="1">IFERROR(__xludf.DUMMYFUNCTION("""COMPUTED_VALUE"""),"네이버 톡톡")</f>
        <v>네이버 톡톡</v>
      </c>
    </row>
    <row r="25" spans="1:10" x14ac:dyDescent="0.2">
      <c r="A25" s="6">
        <f ca="1">IFERROR(__xludf.DUMMYFUNCTION("""COMPUTED_VALUE"""),24)</f>
        <v>24</v>
      </c>
      <c r="B25" s="6">
        <f ca="1">IFERROR(__xludf.DUMMYFUNCTION("""COMPUTED_VALUE"""),46176.5560532407)</f>
        <v>46176.556053240703</v>
      </c>
      <c r="C25" s="6" t="str">
        <f ca="1">IFERROR(__xludf.DUMMYFUNCTION("""COMPUTED_VALUE"""),"118.235.4.199")</f>
        <v>118.235.4.199</v>
      </c>
      <c r="D25" s="6" t="str">
        <f ca="1">IFERROR(__xludf.DUMMYFUNCTION("""COMPUTED_VALUE"""),"네이버예약")</f>
        <v>네이버예약</v>
      </c>
      <c r="E25" s="6" t="str">
        <f ca="1">IFERROR(__xludf.DUMMYFUNCTION("""COMPUTED_VALUE"""),"네이버예약")</f>
        <v>네이버예약</v>
      </c>
      <c r="F25" s="6" t="str">
        <f ca="1">IFERROR(__xludf.DUMMYFUNCTION("""COMPUTED_VALUE"""),"배너")</f>
        <v>배너</v>
      </c>
      <c r="G25" s="7" t="str">
        <f ca="1">IFERROR(__xludf.DUMMYFUNCTION("""COMPUTED_VALUE"""),"http://newstart-law.com/?inType=nim003&amp;NaPm=ci=63eA-FTUdXRl-etO5OJZ1VSQ|tr=gfa|ct=mpxk43fd|hk=9132c1b2264a4e2eb843a930ced926d8ffd8a023|nacn=CkhZB0whcOkj")</f>
        <v>http://newstart-law.com/?inType=nim003&amp;NaPm=ci=63eA-FTUdXRl-etO5OJZ1VSQ|tr=gfa|ct=mpxk43fd|hk=9132c1b2264a4e2eb843a930ced926d8ffd8a023|nacn=CkhZB0whcOkj</v>
      </c>
      <c r="H25" s="6" t="str">
        <f ca="1">IFERROR(__xludf.DUMMYFUNCTION("""COMPUTED_VALUE"""),"nim003")</f>
        <v>nim003</v>
      </c>
      <c r="I25" s="6" t="str">
        <f ca="1">IFERROR(__xludf.DUMMYFUNCTION("""COMPUTED_VALUE"""),"")</f>
        <v/>
      </c>
      <c r="J25" s="6" t="str">
        <f ca="1">IFERROR(__xludf.DUMMYFUNCTION("""COMPUTED_VALUE"""),"네이버 예약")</f>
        <v>네이버 예약</v>
      </c>
    </row>
    <row r="26" spans="1:10" x14ac:dyDescent="0.2">
      <c r="A26" s="6">
        <f ca="1">IFERROR(__xludf.DUMMYFUNCTION("""COMPUTED_VALUE"""),25)</f>
        <v>25</v>
      </c>
      <c r="B26" s="6">
        <f ca="1">IFERROR(__xludf.DUMMYFUNCTION("""COMPUTED_VALUE"""),46176.5709722222)</f>
        <v>46176.570972222202</v>
      </c>
      <c r="C26" s="6" t="str">
        <f ca="1">IFERROR(__xludf.DUMMYFUNCTION("""COMPUTED_VALUE"""),"211.234.201.225")</f>
        <v>211.234.201.225</v>
      </c>
      <c r="D26" s="6" t="str">
        <f ca="1">IFERROR(__xludf.DUMMYFUNCTION("""COMPUTED_VALUE"""),"네이버예약")</f>
        <v>네이버예약</v>
      </c>
      <c r="E26" s="6" t="str">
        <f ca="1">IFERROR(__xludf.DUMMYFUNCTION("""COMPUTED_VALUE"""),"네이버예약")</f>
        <v>네이버예약</v>
      </c>
      <c r="F26" s="6" t="str">
        <f ca="1">IFERROR(__xludf.DUMMYFUNCTION("""COMPUTED_VALUE"""),"배너")</f>
        <v>배너</v>
      </c>
      <c r="G26" s="7" t="str">
        <f ca="1">IFERROR(__xludf.DUMMYFUNCTION("""COMPUTED_VALUE"""),"http://newstart-law.com/?inType=nim003&amp;NaPm=ci=63L7JKWknaRv6C9EpRzFag1g|tr=gfa|ct=mpxkxep3|hk=a866fe704cce4d6d3fad3afa2d4a586bab1b1aa3|nacn=7sd1BsweenWOD")</f>
        <v>http://newstart-law.com/?inType=nim003&amp;NaPm=ci=63L7JKWknaRv6C9EpRzFag1g|tr=gfa|ct=mpxkxep3|hk=a866fe704cce4d6d3fad3afa2d4a586bab1b1aa3|nacn=7sd1BsweenWOD</v>
      </c>
      <c r="H26" s="6" t="str">
        <f ca="1">IFERROR(__xludf.DUMMYFUNCTION("""COMPUTED_VALUE"""),"nim003")</f>
        <v>nim003</v>
      </c>
      <c r="I26" s="6" t="str">
        <f ca="1">IFERROR(__xludf.DUMMYFUNCTION("""COMPUTED_VALUE"""),"")</f>
        <v/>
      </c>
      <c r="J26" s="6" t="str">
        <f ca="1">IFERROR(__xludf.DUMMYFUNCTION("""COMPUTED_VALUE"""),"네이버 예약")</f>
        <v>네이버 예약</v>
      </c>
    </row>
    <row r="27" spans="1:10" x14ac:dyDescent="0.2">
      <c r="A27" s="6">
        <f ca="1">IFERROR(__xludf.DUMMYFUNCTION("""COMPUTED_VALUE"""),26)</f>
        <v>26</v>
      </c>
      <c r="B27" s="6">
        <f ca="1">IFERROR(__xludf.DUMMYFUNCTION("""COMPUTED_VALUE"""),46176.5972685185)</f>
        <v>46176.597268518497</v>
      </c>
      <c r="C27" s="6" t="str">
        <f ca="1">IFERROR(__xludf.DUMMYFUNCTION("""COMPUTED_VALUE"""),"임세희")</f>
        <v>임세희</v>
      </c>
      <c r="D27" s="6">
        <f ca="1">IFERROR(__xludf.DUMMYFUNCTION("""COMPUTED_VALUE"""),1037392339)</f>
        <v>1037392339</v>
      </c>
      <c r="E27" s="6" t="str">
        <f ca="1">IFERROR(__xludf.DUMMYFUNCTION("""COMPUTED_VALUE"""),"상담신청")</f>
        <v>상담신청</v>
      </c>
      <c r="F27" s="6" t="str">
        <f ca="1">IFERROR(__xludf.DUMMYFUNCTION("""COMPUTED_VALUE"""),"배너")</f>
        <v>배너</v>
      </c>
      <c r="G27" s="7" t="str">
        <f ca="1">IFERROR(__xludf.DUMMYFUNCTION("""COMPUTED_VALUE"""),"https://newstart-law.com/?inType=NIP002&amp;NaPm=ci=6370iF-i6LRnapeLR63JmeLA|tr=gfa|ct=mpxll5om|hk=358822922fb5852f22a89a9e8ea92936a1307888|nacn=QMh1BAx2yqji")</f>
        <v>https://newstart-law.com/?inType=NIP002&amp;NaPm=ci=6370iF-i6LRnapeLR63JmeLA|tr=gfa|ct=mpxll5om|hk=358822922fb5852f22a89a9e8ea92936a1307888|nacn=QMh1BAx2yqji</v>
      </c>
      <c r="H27" s="6" t="str">
        <f ca="1">IFERROR(__xludf.DUMMYFUNCTION("""COMPUTED_VALUE"""),"NIP002")</f>
        <v>NIP002</v>
      </c>
      <c r="I27" s="6" t="str">
        <f ca="1">IFERROR(__xludf.DUMMYFUNCTION("""COMPUTED_VALUE"""),"")</f>
        <v/>
      </c>
      <c r="J27" s="6" t="str">
        <f ca="1">IFERROR(__xludf.DUMMYFUNCTION("""COMPUTED_VALUE"""),"PC 하단 상담폼")</f>
        <v>PC 하단 상담폼</v>
      </c>
    </row>
    <row r="28" spans="1:10" x14ac:dyDescent="0.2">
      <c r="A28" s="6">
        <f ca="1">IFERROR(__xludf.DUMMYFUNCTION("""COMPUTED_VALUE"""),27)</f>
        <v>27</v>
      </c>
      <c r="B28" s="6">
        <f ca="1">IFERROR(__xludf.DUMMYFUNCTION("""COMPUTED_VALUE"""),46176.6384259259)</f>
        <v>46176.638425925899</v>
      </c>
      <c r="C28" s="6" t="str">
        <f ca="1">IFERROR(__xludf.DUMMYFUNCTION("""COMPUTED_VALUE"""),"118.235.66.20")</f>
        <v>118.235.66.20</v>
      </c>
      <c r="D28" s="6" t="str">
        <f ca="1">IFERROR(__xludf.DUMMYFUNCTION("""COMPUTED_VALUE"""),"카카오")</f>
        <v>카카오</v>
      </c>
      <c r="E28" s="6" t="str">
        <f ca="1">IFERROR(__xludf.DUMMYFUNCTION("""COMPUTED_VALUE"""),"카카오톡")</f>
        <v>카카오톡</v>
      </c>
      <c r="F28" s="6" t="str">
        <f ca="1">IFERROR(__xludf.DUMMYFUNCTION("""COMPUTED_VALUE"""),"배너")</f>
        <v>배너</v>
      </c>
      <c r="G28" s="7" t="str">
        <f ca="1">IFERROR(__xludf.DUMMYFUNCTION("""COMPUTED_VALUE"""),"http://newstart-law.com/?inType=nim003&amp;NaPm=ci=63dp1A7CxiRiSPH4vZf0vCLw|tr=gfa|ct=mpxoewe3|hk=6c72cc2a2ec407fcd6d752a61766ce0b5085a58e|nacn=WBduBwgWiRnN")</f>
        <v>http://newstart-law.com/?inType=nim003&amp;NaPm=ci=63dp1A7CxiRiSPH4vZf0vCLw|tr=gfa|ct=mpxoewe3|hk=6c72cc2a2ec407fcd6d752a61766ce0b5085a58e|nacn=WBduBwgWiRnN</v>
      </c>
      <c r="H28" s="6" t="str">
        <f ca="1">IFERROR(__xludf.DUMMYFUNCTION("""COMPUTED_VALUE"""),"nim003")</f>
        <v>nim003</v>
      </c>
      <c r="I28" s="6" t="str">
        <f ca="1">IFERROR(__xludf.DUMMYFUNCTION("""COMPUTED_VALUE"""),"")</f>
        <v/>
      </c>
      <c r="J28" s="6" t="str">
        <f ca="1">IFERROR(__xludf.DUMMYFUNCTION("""COMPUTED_VALUE"""),"카카오톡")</f>
        <v>카카오톡</v>
      </c>
    </row>
    <row r="29" spans="1:10" x14ac:dyDescent="0.2">
      <c r="A29" s="6">
        <f ca="1">IFERROR(__xludf.DUMMYFUNCTION("""COMPUTED_VALUE"""),28)</f>
        <v>28</v>
      </c>
      <c r="B29" s="6">
        <f ca="1">IFERROR(__xludf.DUMMYFUNCTION("""COMPUTED_VALUE"""),46176.6399189814)</f>
        <v>46176.639918981396</v>
      </c>
      <c r="C29" s="6" t="str">
        <f ca="1">IFERROR(__xludf.DUMMYFUNCTION("""COMPUTED_VALUE"""),"118.235.13.146")</f>
        <v>118.235.13.146</v>
      </c>
      <c r="D29" s="6" t="str">
        <f ca="1">IFERROR(__xludf.DUMMYFUNCTION("""COMPUTED_VALUE"""),"전화")</f>
        <v>전화</v>
      </c>
      <c r="E29" s="6" t="str">
        <f ca="1">IFERROR(__xludf.DUMMYFUNCTION("""COMPUTED_VALUE"""),"전화")</f>
        <v>전화</v>
      </c>
      <c r="F29" s="6" t="str">
        <f ca="1">IFERROR(__xludf.DUMMYFUNCTION("""COMPUTED_VALUE"""),"검색")</f>
        <v>검색</v>
      </c>
      <c r="G29" s="7" t="str">
        <f ca="1">IFERROR(__xludf.DUMMYFUNCTION("""COMPUTED_VALUE"""),"https://www.newstart-law.com/?inType=NK&amp;n_media=8753&amp;n_query=개인회생&amp;n_rank=6&amp;n_ad_group=grp-a001-01-000000063063767&amp;n_ad=nad-a001-01-000000485213831&amp;n_keyword_id=nkw-a001-01-000007934680459&amp;n_keyword=개인회생&amp;n_campaign_type=1&amp;n_ad_group_type=1&amp;n_match=1&amp;NaPm=c"&amp;"t=mpxohbks|ci=ER6a4cd276-5f14-11f1-971b-a6bf3bc2f963|tr=sa|hk=9f15846e860af1fccc9d146b6bc97c9589a8c72b|nacn=ChUSBgwOxh4e")</f>
        <v>https://www.newstart-law.com/?inType=NK&amp;n_media=8753&amp;n_query=개인회생&amp;n_rank=6&amp;n_ad_group=grp-a001-01-000000063063767&amp;n_ad=nad-a001-01-000000485213831&amp;n_keyword_id=nkw-a001-01-000007934680459&amp;n_keyword=개인회생&amp;n_campaign_type=1&amp;n_ad_group_type=1&amp;n_match=1&amp;NaPm=ct=mpxohbks|ci=ER6a4cd276-5f14-11f1-971b-a6bf3bc2f963|tr=sa|hk=9f15846e860af1fccc9d146b6bc97c9589a8c72b|nacn=ChUSBgwOxh4e</v>
      </c>
      <c r="H29" s="6" t="str">
        <f ca="1">IFERROR(__xludf.DUMMYFUNCTION("""COMPUTED_VALUE"""),"NK")</f>
        <v>NK</v>
      </c>
      <c r="I29" s="6" t="str">
        <f ca="1">IFERROR(__xludf.DUMMYFUNCTION("""COMPUTED_VALUE"""),"개인회생")</f>
        <v>개인회생</v>
      </c>
      <c r="J29" s="6" t="str">
        <f ca="1">IFERROR(__xludf.DUMMYFUNCTION("""COMPUTED_VALUE"""),"전화 문의")</f>
        <v>전화 문의</v>
      </c>
    </row>
    <row r="30" spans="1:10" x14ac:dyDescent="0.2">
      <c r="A30" s="6">
        <f ca="1">IFERROR(__xludf.DUMMYFUNCTION("""COMPUTED_VALUE"""),29)</f>
        <v>29</v>
      </c>
      <c r="B30" s="6">
        <f ca="1">IFERROR(__xludf.DUMMYFUNCTION("""COMPUTED_VALUE"""),46176.6490972222)</f>
        <v>46176.649097222202</v>
      </c>
      <c r="C30" s="6" t="str">
        <f ca="1">IFERROR(__xludf.DUMMYFUNCTION("""COMPUTED_VALUE"""),"남재준")</f>
        <v>남재준</v>
      </c>
      <c r="D30" s="6">
        <f ca="1">IFERROR(__xludf.DUMMYFUNCTION("""COMPUTED_VALUE"""),1058788230)</f>
        <v>1058788230</v>
      </c>
      <c r="E30" s="6" t="str">
        <f ca="1">IFERROR(__xludf.DUMMYFUNCTION("""COMPUTED_VALUE"""),"상담신청")</f>
        <v>상담신청</v>
      </c>
      <c r="F30" s="6" t="str">
        <f ca="1">IFERROR(__xludf.DUMMYFUNCTION("""COMPUTED_VALUE"""),"배너")</f>
        <v>배너</v>
      </c>
      <c r="G30" s="7" t="str">
        <f ca="1">IFERROR(__xludf.DUMMYFUNCTION("""COMPUTED_VALUE"""),"http://newstart-law.com/?inType=nim003&amp;NaPm=ci=63s88vjy5bR-u9hQG9yzBe8A|tr=gfa|ct=mpxoxqof|hk=8afb354ada03e53524634fb58c6f05dbca6b1636|nacn=atEyBgAixbyn")</f>
        <v>http://newstart-law.com/?inType=nim003&amp;NaPm=ci=63s88vjy5bR-u9hQG9yzBe8A|tr=gfa|ct=mpxoxqof|hk=8afb354ada03e53524634fb58c6f05dbca6b1636|nacn=atEyBgAixbyn</v>
      </c>
      <c r="H30" s="6" t="str">
        <f ca="1">IFERROR(__xludf.DUMMYFUNCTION("""COMPUTED_VALUE"""),"nim003")</f>
        <v>nim003</v>
      </c>
      <c r="I30" s="6" t="str">
        <f ca="1">IFERROR(__xludf.DUMMYFUNCTION("""COMPUTED_VALUE"""),"")</f>
        <v/>
      </c>
      <c r="J30" s="6" t="str">
        <f ca="1">IFERROR(__xludf.DUMMYFUNCTION("""COMPUTED_VALUE"""),"모바일 하단 상담폼")</f>
        <v>모바일 하단 상담폼</v>
      </c>
    </row>
    <row r="31" spans="1:10" x14ac:dyDescent="0.2">
      <c r="A31" s="6">
        <f ca="1">IFERROR(__xludf.DUMMYFUNCTION("""COMPUTED_VALUE"""),30)</f>
        <v>30</v>
      </c>
      <c r="B31" s="6">
        <f ca="1">IFERROR(__xludf.DUMMYFUNCTION("""COMPUTED_VALUE"""),46176.65375)</f>
        <v>46176.653749999998</v>
      </c>
      <c r="C31" s="6" t="str">
        <f ca="1">IFERROR(__xludf.DUMMYFUNCTION("""COMPUTED_VALUE"""),"61.40.143.9")</f>
        <v>61.40.143.9</v>
      </c>
      <c r="D31" s="6" t="str">
        <f ca="1">IFERROR(__xludf.DUMMYFUNCTION("""COMPUTED_VALUE"""),"네이버예약")</f>
        <v>네이버예약</v>
      </c>
      <c r="E31" s="6" t="str">
        <f ca="1">IFERROR(__xludf.DUMMYFUNCTION("""COMPUTED_VALUE"""),"네이버예약")</f>
        <v>네이버예약</v>
      </c>
      <c r="F31" s="6" t="str">
        <f ca="1">IFERROR(__xludf.DUMMYFUNCTION("""COMPUTED_VALUE"""),"배너")</f>
        <v>배너</v>
      </c>
      <c r="G31" s="7" t="str">
        <f ca="1">IFERROR(__xludf.DUMMYFUNCTION("""COMPUTED_VALUE"""),"http://newstart-law.com/?inType=nim003&amp;NaPm=ci=63c9-WfJvZRau24co4bvWvjQ|tr=gfa|ct=mpxp7a38|hk=caea4225066bcae45ac2071b4a46c3b5737e2f40|nacn=3wDeDABPmABVB")</f>
        <v>http://newstart-law.com/?inType=nim003&amp;NaPm=ci=63c9-WfJvZRau24co4bvWvjQ|tr=gfa|ct=mpxp7a38|hk=caea4225066bcae45ac2071b4a46c3b5737e2f40|nacn=3wDeDABPmABVB</v>
      </c>
      <c r="H31" s="6" t="str">
        <f ca="1">IFERROR(__xludf.DUMMYFUNCTION("""COMPUTED_VALUE"""),"nim003")</f>
        <v>nim003</v>
      </c>
      <c r="I31" s="6" t="str">
        <f ca="1">IFERROR(__xludf.DUMMYFUNCTION("""COMPUTED_VALUE"""),"")</f>
        <v/>
      </c>
      <c r="J31" s="6" t="str">
        <f ca="1">IFERROR(__xludf.DUMMYFUNCTION("""COMPUTED_VALUE"""),"네이버 예약")</f>
        <v>네이버 예약</v>
      </c>
    </row>
    <row r="32" spans="1:10" x14ac:dyDescent="0.2">
      <c r="A32" s="6">
        <f ca="1">IFERROR(__xludf.DUMMYFUNCTION("""COMPUTED_VALUE"""),31)</f>
        <v>31</v>
      </c>
      <c r="B32" s="6">
        <f ca="1">IFERROR(__xludf.DUMMYFUNCTION("""COMPUTED_VALUE"""),46176.6597800925)</f>
        <v>46176.659780092501</v>
      </c>
      <c r="C32" s="6" t="str">
        <f ca="1">IFERROR(__xludf.DUMMYFUNCTION("""COMPUTED_VALUE"""),"이지혜")</f>
        <v>이지혜</v>
      </c>
      <c r="D32" s="6">
        <f ca="1">IFERROR(__xludf.DUMMYFUNCTION("""COMPUTED_VALUE"""),1027900690)</f>
        <v>1027900690</v>
      </c>
      <c r="E32" s="6" t="str">
        <f ca="1">IFERROR(__xludf.DUMMYFUNCTION("""COMPUTED_VALUE"""),"상담신청")</f>
        <v>상담신청</v>
      </c>
      <c r="F32" s="6" t="str">
        <f ca="1">IFERROR(__xludf.DUMMYFUNCTION("""COMPUTED_VALUE"""),"검색")</f>
        <v>검색</v>
      </c>
      <c r="G32" s="7" t="str">
        <f ca="1">IFERROR(__xludf.DUMMYFUNCTION("""COMPUTED_VALUE"""),"https://www.newstart-law.com/?inType=NK&amp;n_media=8753&amp;n_query=개인회생신청자격&amp;n_rank=4&amp;n_ad_group=grp-a001-01-000000063065632&amp;n_ad=nad-a001-01-000000495459382&amp;n_keyword_id=nkw-a001-01-000007951806209&amp;n_keyword=개인회생신청자격&amp;n_campaign_type=1&amp;n_ad_group_type=1&amp;n_match="&amp;"1&amp;NaPm=ct=mpxph9q6|ci=ER51fff9e7-5f18-11f1-9972-6eb3083d8373|tr=sa|hk=69bf8cf4a16f476835768b4a4")</f>
        <v>https://www.newstart-law.com/?inType=NK&amp;n_media=8753&amp;n_query=개인회생신청자격&amp;n_rank=4&amp;n_ad_group=grp-a001-01-000000063065632&amp;n_ad=nad-a001-01-000000495459382&amp;n_keyword_id=nkw-a001-01-000007951806209&amp;n_keyword=개인회생신청자격&amp;n_campaign_type=1&amp;n_ad_group_type=1&amp;n_match=1&amp;NaPm=ct=mpxph9q6|ci=ER51fff9e7-5f18-11f1-9972-6eb3083d8373|tr=sa|hk=69bf8cf4a16f476835768b4a4</v>
      </c>
      <c r="H32" s="6" t="str">
        <f ca="1">IFERROR(__xludf.DUMMYFUNCTION("""COMPUTED_VALUE"""),"NK")</f>
        <v>NK</v>
      </c>
      <c r="I32" s="6" t="str">
        <f ca="1">IFERROR(__xludf.DUMMYFUNCTION("""COMPUTED_VALUE"""),"개인회생신청자격")</f>
        <v>개인회생신청자격</v>
      </c>
      <c r="J32" s="6" t="str">
        <f ca="1">IFERROR(__xludf.DUMMYFUNCTION("""COMPUTED_VALUE"""),"AI 진단")</f>
        <v>AI 진단</v>
      </c>
    </row>
    <row r="33" spans="1:10" x14ac:dyDescent="0.2">
      <c r="A33" s="6">
        <f ca="1">IFERROR(__xludf.DUMMYFUNCTION("""COMPUTED_VALUE"""),32)</f>
        <v>32</v>
      </c>
      <c r="B33" s="6">
        <f ca="1">IFERROR(__xludf.DUMMYFUNCTION("""COMPUTED_VALUE"""),46176.6625925925)</f>
        <v>46176.662592592496</v>
      </c>
      <c r="C33" s="6" t="str">
        <f ca="1">IFERROR(__xludf.DUMMYFUNCTION("""COMPUTED_VALUE"""),"118.235.13.212")</f>
        <v>118.235.13.212</v>
      </c>
      <c r="D33" s="6" t="str">
        <f ca="1">IFERROR(__xludf.DUMMYFUNCTION("""COMPUTED_VALUE"""),"카카오")</f>
        <v>카카오</v>
      </c>
      <c r="E33" s="6" t="str">
        <f ca="1">IFERROR(__xludf.DUMMYFUNCTION("""COMPUTED_VALUE"""),"카카오톡")</f>
        <v>카카오톡</v>
      </c>
      <c r="F33" s="6" t="str">
        <f ca="1">IFERROR(__xludf.DUMMYFUNCTION("""COMPUTED_VALUE"""),"배너")</f>
        <v>배너</v>
      </c>
      <c r="G33" s="7" t="str">
        <f ca="1">IFERROR(__xludf.DUMMYFUNCTION("""COMPUTED_VALUE"""),"http://newstart-law.com/?inType=NIM001&amp;NaPm=ci=636zWmRxGZQn2dF9Vm5ItrFQ|tr=gfa|ct=mpxpbh95|hk=5a3378bab1641dc4a6460a9c35a77beb0a9e8b55|nacn=vf2wDgB2Pl5sA")</f>
        <v>http://newstart-law.com/?inType=NIM001&amp;NaPm=ci=636zWmRxGZQn2dF9Vm5ItrFQ|tr=gfa|ct=mpxpbh95|hk=5a3378bab1641dc4a6460a9c35a77beb0a9e8b55|nacn=vf2wDgB2Pl5sA</v>
      </c>
      <c r="H33" s="6" t="str">
        <f ca="1">IFERROR(__xludf.DUMMYFUNCTION("""COMPUTED_VALUE"""),"NIM001")</f>
        <v>NIM001</v>
      </c>
      <c r="I33" s="6" t="str">
        <f ca="1">IFERROR(__xludf.DUMMYFUNCTION("""COMPUTED_VALUE"""),"")</f>
        <v/>
      </c>
      <c r="J33" s="6" t="str">
        <f ca="1">IFERROR(__xludf.DUMMYFUNCTION("""COMPUTED_VALUE"""),"카카오톡")</f>
        <v>카카오톡</v>
      </c>
    </row>
    <row r="34" spans="1:10" x14ac:dyDescent="0.2">
      <c r="A34" s="6">
        <f ca="1">IFERROR(__xludf.DUMMYFUNCTION("""COMPUTED_VALUE"""),33)</f>
        <v>33</v>
      </c>
      <c r="B34" s="6">
        <f ca="1">IFERROR(__xludf.DUMMYFUNCTION("""COMPUTED_VALUE"""),46176.684224537)</f>
        <v>46176.684224536999</v>
      </c>
      <c r="C34" s="6" t="str">
        <f ca="1">IFERROR(__xludf.DUMMYFUNCTION("""COMPUTED_VALUE"""),"조윤성")</f>
        <v>조윤성</v>
      </c>
      <c r="D34" s="6">
        <f ca="1">IFERROR(__xludf.DUMMYFUNCTION("""COMPUTED_VALUE"""),1075425330)</f>
        <v>1075425330</v>
      </c>
      <c r="E34" s="6" t="str">
        <f ca="1">IFERROR(__xludf.DUMMYFUNCTION("""COMPUTED_VALUE"""),"상담신청")</f>
        <v>상담신청</v>
      </c>
      <c r="F34" s="6" t="str">
        <f ca="1">IFERROR(__xludf.DUMMYFUNCTION("""COMPUTED_VALUE"""),"배너")</f>
        <v>배너</v>
      </c>
      <c r="G34" s="7" t="str">
        <f ca="1">IFERROR(__xludf.DUMMYFUNCTION("""COMPUTED_VALUE"""),"http://newstart-law.com/?inType=nim003&amp;NaPm=ci=63I-dB182ET6SkNQFvlP4XLA|tr=gfa|ct=mpxqqq7o|hk=8d7f9629196072911fb9154fdb7292b7e45891f0|nacn=ztEPB0QAHMTy")</f>
        <v>http://newstart-law.com/?inType=nim003&amp;NaPm=ci=63I-dB182ET6SkNQFvlP4XLA|tr=gfa|ct=mpxqqq7o|hk=8d7f9629196072911fb9154fdb7292b7e45891f0|nacn=ztEPB0QAHMTy</v>
      </c>
      <c r="H34" s="6" t="str">
        <f ca="1">IFERROR(__xludf.DUMMYFUNCTION("""COMPUTED_VALUE"""),"nim003")</f>
        <v>nim003</v>
      </c>
      <c r="I34" s="6" t="str">
        <f ca="1">IFERROR(__xludf.DUMMYFUNCTION("""COMPUTED_VALUE"""),"")</f>
        <v/>
      </c>
      <c r="J34" s="6" t="str">
        <f ca="1">IFERROR(__xludf.DUMMYFUNCTION("""COMPUTED_VALUE"""),"모바일 하단 상담폼")</f>
        <v>모바일 하단 상담폼</v>
      </c>
    </row>
    <row r="35" spans="1:10" x14ac:dyDescent="0.2">
      <c r="A35" s="6">
        <f ca="1">IFERROR(__xludf.DUMMYFUNCTION("""COMPUTED_VALUE"""),34)</f>
        <v>34</v>
      </c>
      <c r="B35" s="6">
        <f ca="1">IFERROR(__xludf.DUMMYFUNCTION("""COMPUTED_VALUE"""),46176.7169328703)</f>
        <v>46176.716932870302</v>
      </c>
      <c r="C35" s="6" t="str">
        <f ca="1">IFERROR(__xludf.DUMMYFUNCTION("""COMPUTED_VALUE"""),"59.16.221.192")</f>
        <v>59.16.221.192</v>
      </c>
      <c r="D35" s="6" t="str">
        <f ca="1">IFERROR(__xludf.DUMMYFUNCTION("""COMPUTED_VALUE"""),"네이버예약")</f>
        <v>네이버예약</v>
      </c>
      <c r="E35" s="6" t="str">
        <f ca="1">IFERROR(__xludf.DUMMYFUNCTION("""COMPUTED_VALUE"""),"네이버예약")</f>
        <v>네이버예약</v>
      </c>
      <c r="F35" s="6" t="str">
        <f ca="1">IFERROR(__xludf.DUMMYFUNCTION("""COMPUTED_VALUE"""),"검색")</f>
        <v>검색</v>
      </c>
      <c r="G35" s="7" t="str">
        <f ca="1">IFERROR(__xludf.DUMMYFUNCTION("""COMPUTED_VALUE"""),"https://www.newstart-law.com/?inType=NK&amp;n_media=8753&amp;n_query=개인회생신청자격&amp;n_rank=5&amp;n_ad_group=grp-a001-01-000000063065632&amp;n_ad=nad-a001-01-000000485213835&amp;n_keyword_id=nkw-a001-01-000007951806209&amp;n_keyword=개인회생신청자격&amp;n_campaign_type=1&amp;n_ad_group_type=1&amp;n_match="&amp;"1&amp;NaPm=ct=mpxse80s|ci=ERb8a48677-5f23-11f1-a5fc-82ec60f2b278|tr=sa|hk=4f1fa75aaeeb97821557f5c37")</f>
        <v>https://www.newstart-law.com/?inType=NK&amp;n_media=8753&amp;n_query=개인회생신청자격&amp;n_rank=5&amp;n_ad_group=grp-a001-01-000000063065632&amp;n_ad=nad-a001-01-000000485213835&amp;n_keyword_id=nkw-a001-01-000007951806209&amp;n_keyword=개인회생신청자격&amp;n_campaign_type=1&amp;n_ad_group_type=1&amp;n_match=1&amp;NaPm=ct=mpxse80s|ci=ERb8a48677-5f23-11f1-a5fc-82ec60f2b278|tr=sa|hk=4f1fa75aaeeb97821557f5c37</v>
      </c>
      <c r="H35" s="6" t="str">
        <f ca="1">IFERROR(__xludf.DUMMYFUNCTION("""COMPUTED_VALUE"""),"NK")</f>
        <v>NK</v>
      </c>
      <c r="I35" s="6" t="str">
        <f ca="1">IFERROR(__xludf.DUMMYFUNCTION("""COMPUTED_VALUE"""),"개인회생신청자격")</f>
        <v>개인회생신청자격</v>
      </c>
      <c r="J35" s="6" t="str">
        <f ca="1">IFERROR(__xludf.DUMMYFUNCTION("""COMPUTED_VALUE"""),"네이버 예약")</f>
        <v>네이버 예약</v>
      </c>
    </row>
    <row r="36" spans="1:10" x14ac:dyDescent="0.2">
      <c r="A36" s="6">
        <f ca="1">IFERROR(__xludf.DUMMYFUNCTION("""COMPUTED_VALUE"""),35)</f>
        <v>35</v>
      </c>
      <c r="B36" s="6">
        <f ca="1">IFERROR(__xludf.DUMMYFUNCTION("""COMPUTED_VALUE"""),46176.7440972222)</f>
        <v>46176.744097222203</v>
      </c>
      <c r="C36" s="6" t="str">
        <f ca="1">IFERROR(__xludf.DUMMYFUNCTION("""COMPUTED_VALUE"""),"이준하")</f>
        <v>이준하</v>
      </c>
      <c r="D36" s="6">
        <f ca="1">IFERROR(__xludf.DUMMYFUNCTION("""COMPUTED_VALUE"""),1048519163)</f>
        <v>1048519163</v>
      </c>
      <c r="E36" s="6" t="str">
        <f ca="1">IFERROR(__xludf.DUMMYFUNCTION("""COMPUTED_VALUE"""),"상담신청")</f>
        <v>상담신청</v>
      </c>
      <c r="F36" s="6" t="str">
        <f ca="1">IFERROR(__xludf.DUMMYFUNCTION("""COMPUTED_VALUE"""),"검색")</f>
        <v>검색</v>
      </c>
      <c r="G36" s="7" t="str">
        <f ca="1">IFERROR(__xludf.DUMMYFUNCTION("""COMPUTED_VALUE"""),"https://www.newstart-law.com/?inType=NK&amp;n_media=27758&amp;n_query=개인회생&amp;n_rank=3&amp;n_ad_group=grp-a001-01-000000063063607&amp;n_ad=nad-a001-01-000000495459275&amp;n_keyword_id=nkw-a001-01-000007934681996&amp;n_keyword=개인회생&amp;n_campaign_type=1&amp;n_ad_group_type=1&amp;n_match=1&amp;NaPm="&amp;"ct=mpxtgkvk|ci=ERe351fb03-5f27-11f1-8aaa-2a39741d2e73|tr=sa|hk=07472eb4ff9caf8640efcc03af380283f458f3d2|nacn=c7QRBAxhEiga")</f>
        <v>https://www.newstart-law.com/?inType=NK&amp;n_media=27758&amp;n_query=개인회생&amp;n_rank=3&amp;n_ad_group=grp-a001-01-000000063063607&amp;n_ad=nad-a001-01-000000495459275&amp;n_keyword_id=nkw-a001-01-000007934681996&amp;n_keyword=개인회생&amp;n_campaign_type=1&amp;n_ad_group_type=1&amp;n_match=1&amp;NaPm=ct=mpxtgkvk|ci=ERe351fb03-5f27-11f1-8aaa-2a39741d2e73|tr=sa|hk=07472eb4ff9caf8640efcc03af380283f458f3d2|nacn=c7QRBAxhEiga</v>
      </c>
      <c r="H36" s="6" t="str">
        <f ca="1">IFERROR(__xludf.DUMMYFUNCTION("""COMPUTED_VALUE"""),"NK")</f>
        <v>NK</v>
      </c>
      <c r="I36" s="6" t="str">
        <f ca="1">IFERROR(__xludf.DUMMYFUNCTION("""COMPUTED_VALUE"""),"개인회생")</f>
        <v>개인회생</v>
      </c>
      <c r="J36" s="6" t="str">
        <f ca="1">IFERROR(__xludf.DUMMYFUNCTION("""COMPUTED_VALUE"""),"AI 진단")</f>
        <v>AI 진단</v>
      </c>
    </row>
    <row r="37" spans="1:10" x14ac:dyDescent="0.2">
      <c r="A37" s="6">
        <f ca="1">IFERROR(__xludf.DUMMYFUNCTION("""COMPUTED_VALUE"""),36)</f>
        <v>36</v>
      </c>
      <c r="B37" s="6">
        <f ca="1">IFERROR(__xludf.DUMMYFUNCTION("""COMPUTED_VALUE"""),46176.7443171296)</f>
        <v>46176.744317129604</v>
      </c>
      <c r="C37" s="6" t="str">
        <f ca="1">IFERROR(__xludf.DUMMYFUNCTION("""COMPUTED_VALUE"""),"112.149.242.62")</f>
        <v>112.149.242.62</v>
      </c>
      <c r="D37" s="6" t="str">
        <f ca="1">IFERROR(__xludf.DUMMYFUNCTION("""COMPUTED_VALUE"""),"카카오")</f>
        <v>카카오</v>
      </c>
      <c r="E37" s="6" t="str">
        <f ca="1">IFERROR(__xludf.DUMMYFUNCTION("""COMPUTED_VALUE"""),"카카오톡")</f>
        <v>카카오톡</v>
      </c>
      <c r="F37" s="6" t="str">
        <f ca="1">IFERROR(__xludf.DUMMYFUNCTION("""COMPUTED_VALUE"""),"검색")</f>
        <v>검색</v>
      </c>
      <c r="G37" s="7" t="str">
        <f ca="1">IFERROR(__xludf.DUMMYFUNCTION("""COMPUTED_VALUE"""),"https://www.newstart-law.com/?inType=NK&amp;n_media=27758&amp;n_query=개인회생&amp;n_rank=3&amp;n_ad_group=grp-a001-01-000000063063607&amp;n_ad=nad-a001-01-000000495459275&amp;n_keyword_id=nkw-a001-01-000007934681996&amp;n_keyword=개인회생&amp;n_campaign_type=1&amp;n_ad_group_type=1&amp;n_match=1&amp;NaPm="&amp;"ct=mpxtgkvk|ci=ERe351fb03-5f27-11f1-8aaa-2a39741d2e73|tr=sa|hk=07472eb4ff9caf8640efcc03af380283f458f3d2|nacn=c7QRBAxhEiga")</f>
        <v>https://www.newstart-law.com/?inType=NK&amp;n_media=27758&amp;n_query=개인회생&amp;n_rank=3&amp;n_ad_group=grp-a001-01-000000063063607&amp;n_ad=nad-a001-01-000000495459275&amp;n_keyword_id=nkw-a001-01-000007934681996&amp;n_keyword=개인회생&amp;n_campaign_type=1&amp;n_ad_group_type=1&amp;n_match=1&amp;NaPm=ct=mpxtgkvk|ci=ERe351fb03-5f27-11f1-8aaa-2a39741d2e73|tr=sa|hk=07472eb4ff9caf8640efcc03af380283f458f3d2|nacn=c7QRBAxhEiga</v>
      </c>
      <c r="H37" s="6" t="str">
        <f ca="1">IFERROR(__xludf.DUMMYFUNCTION("""COMPUTED_VALUE"""),"NK")</f>
        <v>NK</v>
      </c>
      <c r="I37" s="6" t="str">
        <f ca="1">IFERROR(__xludf.DUMMYFUNCTION("""COMPUTED_VALUE"""),"개인회생")</f>
        <v>개인회생</v>
      </c>
      <c r="J37" s="6" t="str">
        <f ca="1">IFERROR(__xludf.DUMMYFUNCTION("""COMPUTED_VALUE"""),"카카오톡")</f>
        <v>카카오톡</v>
      </c>
    </row>
    <row r="38" spans="1:10" x14ac:dyDescent="0.2">
      <c r="A38" s="6">
        <f ca="1">IFERROR(__xludf.DUMMYFUNCTION("""COMPUTED_VALUE"""),37)</f>
        <v>37</v>
      </c>
      <c r="B38" s="6">
        <f ca="1">IFERROR(__xludf.DUMMYFUNCTION("""COMPUTED_VALUE"""),46176.7575)</f>
        <v>46176.7575</v>
      </c>
      <c r="C38" s="6" t="str">
        <f ca="1">IFERROR(__xludf.DUMMYFUNCTION("""COMPUTED_VALUE"""),"211.235.75.43")</f>
        <v>211.235.75.43</v>
      </c>
      <c r="D38" s="6" t="str">
        <f ca="1">IFERROR(__xludf.DUMMYFUNCTION("""COMPUTED_VALUE"""),"카카오")</f>
        <v>카카오</v>
      </c>
      <c r="E38" s="6" t="str">
        <f ca="1">IFERROR(__xludf.DUMMYFUNCTION("""COMPUTED_VALUE"""),"카카오톡")</f>
        <v>카카오톡</v>
      </c>
      <c r="F38" s="6" t="str">
        <f ca="1">IFERROR(__xludf.DUMMYFUNCTION("""COMPUTED_VALUE"""),"배너")</f>
        <v>배너</v>
      </c>
      <c r="G38" s="7" t="str">
        <f ca="1">IFERROR(__xludf.DUMMYFUNCTION("""COMPUTED_VALUE"""),"http://newstart-law.com/?inType=nim003&amp;NaPm=ci=63wP6NmzUjQ9udWjVElVmpTQ|tr=gfa|ct=mpxuiwuk|hk=c409f35c327017e2d3daf82629264587343873a5|nacn=pZCzBowUbZrH")</f>
        <v>http://newstart-law.com/?inType=nim003&amp;NaPm=ci=63wP6NmzUjQ9udWjVElVmpTQ|tr=gfa|ct=mpxuiwuk|hk=c409f35c327017e2d3daf82629264587343873a5|nacn=pZCzBowUbZrH</v>
      </c>
      <c r="H38" s="6" t="str">
        <f ca="1">IFERROR(__xludf.DUMMYFUNCTION("""COMPUTED_VALUE"""),"nim003")</f>
        <v>nim003</v>
      </c>
      <c r="I38" s="6" t="str">
        <f ca="1">IFERROR(__xludf.DUMMYFUNCTION("""COMPUTED_VALUE"""),"")</f>
        <v/>
      </c>
      <c r="J38" s="6" t="str">
        <f ca="1">IFERROR(__xludf.DUMMYFUNCTION("""COMPUTED_VALUE"""),"카카오톡")</f>
        <v>카카오톡</v>
      </c>
    </row>
    <row r="39" spans="1:10" x14ac:dyDescent="0.2">
      <c r="A39" s="6">
        <f ca="1">IFERROR(__xludf.DUMMYFUNCTION("""COMPUTED_VALUE"""),38)</f>
        <v>38</v>
      </c>
      <c r="B39" s="6">
        <f ca="1">IFERROR(__xludf.DUMMYFUNCTION("""COMPUTED_VALUE"""),46176.7576504629)</f>
        <v>46176.757650462903</v>
      </c>
      <c r="C39" s="6" t="str">
        <f ca="1">IFERROR(__xludf.DUMMYFUNCTION("""COMPUTED_VALUE"""),"김무석")</f>
        <v>김무석</v>
      </c>
      <c r="D39" s="6">
        <f ca="1">IFERROR(__xludf.DUMMYFUNCTION("""COMPUTED_VALUE"""),1099262178)</f>
        <v>1099262178</v>
      </c>
      <c r="E39" s="6" t="str">
        <f ca="1">IFERROR(__xludf.DUMMYFUNCTION("""COMPUTED_VALUE"""),"상담신청")</f>
        <v>상담신청</v>
      </c>
      <c r="F39" s="6" t="str">
        <f ca="1">IFERROR(__xludf.DUMMYFUNCTION("""COMPUTED_VALUE"""),"배너")</f>
        <v>배너</v>
      </c>
      <c r="G39" s="7" t="str">
        <f ca="1">IFERROR(__xludf.DUMMYFUNCTION("""COMPUTED_VALUE"""),"https://newstart-law.com/?inType=NIM001&amp;NaPm=ci=63ZQVwC6Q1SbiEWvrxLxHa1Q|tr=gfa|ct=mpxugisa|hk=e5ef304add9da42297e26d2a3b3ff0de00fd76f9|nacn=Fi3FB0AB775fB")</f>
        <v>https://newstart-law.com/?inType=NIM001&amp;NaPm=ci=63ZQVwC6Q1SbiEWvrxLxHa1Q|tr=gfa|ct=mpxugisa|hk=e5ef304add9da42297e26d2a3b3ff0de00fd76f9|nacn=Fi3FB0AB775fB</v>
      </c>
      <c r="H39" s="6" t="str">
        <f ca="1">IFERROR(__xludf.DUMMYFUNCTION("""COMPUTED_VALUE"""),"NIM001")</f>
        <v>NIM001</v>
      </c>
      <c r="I39" s="6" t="str">
        <f ca="1">IFERROR(__xludf.DUMMYFUNCTION("""COMPUTED_VALUE"""),"")</f>
        <v/>
      </c>
      <c r="J39" s="6" t="str">
        <f ca="1">IFERROR(__xludf.DUMMYFUNCTION("""COMPUTED_VALUE"""),"AI 진단")</f>
        <v>AI 진단</v>
      </c>
    </row>
    <row r="40" spans="1:10" x14ac:dyDescent="0.2">
      <c r="A40" s="6">
        <f ca="1">IFERROR(__xludf.DUMMYFUNCTION("""COMPUTED_VALUE"""),39)</f>
        <v>39</v>
      </c>
      <c r="B40" s="6">
        <f ca="1">IFERROR(__xludf.DUMMYFUNCTION("""COMPUTED_VALUE"""),46176.772662037)</f>
        <v>46176.772662037001</v>
      </c>
      <c r="C40" s="6" t="str">
        <f ca="1">IFERROR(__xludf.DUMMYFUNCTION("""COMPUTED_VALUE"""),"윤해철")</f>
        <v>윤해철</v>
      </c>
      <c r="D40" s="6">
        <f ca="1">IFERROR(__xludf.DUMMYFUNCTION("""COMPUTED_VALUE"""),1058154391)</f>
        <v>1058154391</v>
      </c>
      <c r="E40" s="6" t="str">
        <f ca="1">IFERROR(__xludf.DUMMYFUNCTION("""COMPUTED_VALUE"""),"상담신청")</f>
        <v>상담신청</v>
      </c>
      <c r="F40" s="6" t="str">
        <f ca="1">IFERROR(__xludf.DUMMYFUNCTION("""COMPUTED_VALUE"""),"배너")</f>
        <v>배너</v>
      </c>
      <c r="G40" s="7" t="str">
        <f ca="1">IFERROR(__xludf.DUMMYFUNCTION("""COMPUTED_VALUE"""),"http://newstart-law.com/?inType=nim_sq02&amp;NaPm=ci=63lRGDIr8sTz6a8TmiE1SQ7A|tr=gfa|ct=mpxv5vgg|hk=ce486290c767b06bf3b1a75f6d33e37e5f83a3fb|nacn=bMvTBAhmZSTz")</f>
        <v>http://newstart-law.com/?inType=nim_sq02&amp;NaPm=ci=63lRGDIr8sTz6a8TmiE1SQ7A|tr=gfa|ct=mpxv5vgg|hk=ce486290c767b06bf3b1a75f6d33e37e5f83a3fb|nacn=bMvTBAhmZSTz</v>
      </c>
      <c r="H40" s="6" t="str">
        <f ca="1">IFERROR(__xludf.DUMMYFUNCTION("""COMPUTED_VALUE"""),"nim_sq02")</f>
        <v>nim_sq02</v>
      </c>
      <c r="I40" s="6" t="str">
        <f ca="1">IFERROR(__xludf.DUMMYFUNCTION("""COMPUTED_VALUE"""),"")</f>
        <v/>
      </c>
      <c r="J40" s="6" t="str">
        <f ca="1">IFERROR(__xludf.DUMMYFUNCTION("""COMPUTED_VALUE"""),"AI 진단")</f>
        <v>AI 진단</v>
      </c>
    </row>
    <row r="41" spans="1:10" x14ac:dyDescent="0.2">
      <c r="A41" s="6">
        <f ca="1">IFERROR(__xludf.DUMMYFUNCTION("""COMPUTED_VALUE"""),40)</f>
        <v>40</v>
      </c>
      <c r="B41" s="6">
        <f ca="1">IFERROR(__xludf.DUMMYFUNCTION("""COMPUTED_VALUE"""),46176.7727777777)</f>
        <v>46176.772777777704</v>
      </c>
      <c r="C41" s="6" t="str">
        <f ca="1">IFERROR(__xludf.DUMMYFUNCTION("""COMPUTED_VALUE"""),"114.201.194.54")</f>
        <v>114.201.194.54</v>
      </c>
      <c r="D41" s="6" t="str">
        <f ca="1">IFERROR(__xludf.DUMMYFUNCTION("""COMPUTED_VALUE"""),"카카오")</f>
        <v>카카오</v>
      </c>
      <c r="E41" s="6" t="str">
        <f ca="1">IFERROR(__xludf.DUMMYFUNCTION("""COMPUTED_VALUE"""),"카카오톡")</f>
        <v>카카오톡</v>
      </c>
      <c r="F41" s="6" t="str">
        <f ca="1">IFERROR(__xludf.DUMMYFUNCTION("""COMPUTED_VALUE"""),"배너")</f>
        <v>배너</v>
      </c>
      <c r="G41" s="7" t="str">
        <f ca="1">IFERROR(__xludf.DUMMYFUNCTION("""COMPUTED_VALUE"""),"http://newstart-law.com/?inType=nim_sq02&amp;NaPm=ci=63lRGDIr8sTz6a8TmiE1SQ7A|tr=gfa|ct=mpxv5vgg|hk=ce486290c767b06bf3b1a75f6d33e37e5f83a3fb|nacn=bMvTBAhmZSTz")</f>
        <v>http://newstart-law.com/?inType=nim_sq02&amp;NaPm=ci=63lRGDIr8sTz6a8TmiE1SQ7A|tr=gfa|ct=mpxv5vgg|hk=ce486290c767b06bf3b1a75f6d33e37e5f83a3fb|nacn=bMvTBAhmZSTz</v>
      </c>
      <c r="H41" s="6" t="str">
        <f ca="1">IFERROR(__xludf.DUMMYFUNCTION("""COMPUTED_VALUE"""),"nim_sq02")</f>
        <v>nim_sq02</v>
      </c>
      <c r="I41" s="6" t="str">
        <f ca="1">IFERROR(__xludf.DUMMYFUNCTION("""COMPUTED_VALUE"""),"")</f>
        <v/>
      </c>
      <c r="J41" s="6" t="str">
        <f ca="1">IFERROR(__xludf.DUMMYFUNCTION("""COMPUTED_VALUE"""),"카카오톡")</f>
        <v>카카오톡</v>
      </c>
    </row>
    <row r="42" spans="1:10" x14ac:dyDescent="0.2">
      <c r="A42" s="6">
        <f ca="1">IFERROR(__xludf.DUMMYFUNCTION("""COMPUTED_VALUE"""),41)</f>
        <v>41</v>
      </c>
      <c r="B42" s="6">
        <f ca="1">IFERROR(__xludf.DUMMYFUNCTION("""COMPUTED_VALUE"""),46176.8205902777)</f>
        <v>46176.820590277697</v>
      </c>
      <c r="C42" s="6" t="str">
        <f ca="1">IFERROR(__xludf.DUMMYFUNCTION("""COMPUTED_VALUE"""),"211.234.204.220")</f>
        <v>211.234.204.220</v>
      </c>
      <c r="D42" s="6" t="str">
        <f ca="1">IFERROR(__xludf.DUMMYFUNCTION("""COMPUTED_VALUE"""),"카카오")</f>
        <v>카카오</v>
      </c>
      <c r="E42" s="6" t="str">
        <f ca="1">IFERROR(__xludf.DUMMYFUNCTION("""COMPUTED_VALUE"""),"카카오톡")</f>
        <v>카카오톡</v>
      </c>
      <c r="F42" s="6" t="str">
        <f ca="1">IFERROR(__xludf.DUMMYFUNCTION("""COMPUTED_VALUE"""),"검색")</f>
        <v>검색</v>
      </c>
      <c r="G42" s="7" t="str">
        <f ca="1">IFERROR(__xludf.DUMMYFUNCTION("""COMPUTED_VALUE"""),"https://www.newstart-law.com/?inType=NK&amp;n_media=8753&amp;n_query=개인회생신청자격&amp;n_rank=4&amp;n_ad_group=grp-a001-01-000000063065632&amp;n_ad=nad-a001-01-000000485213835&amp;n_keyword_id=nkw-a001-01-000007951806209&amp;n_keyword=개인회생신청자격&amp;n_campaign_type=1&amp;n_ad_group_type=1&amp;n_match="&amp;"1&amp;NaPm=ct=mpxxs0bg|ci=ERc5aa5ea9-5f38-11f1-a285-5e52d0db692c|tr=sa|hk=cc8bd70a4f8a756a5368f9730")</f>
        <v>https://www.newstart-law.com/?inType=NK&amp;n_media=8753&amp;n_query=개인회생신청자격&amp;n_rank=4&amp;n_ad_group=grp-a001-01-000000063065632&amp;n_ad=nad-a001-01-000000485213835&amp;n_keyword_id=nkw-a001-01-000007951806209&amp;n_keyword=개인회생신청자격&amp;n_campaign_type=1&amp;n_ad_group_type=1&amp;n_match=1&amp;NaPm=ct=mpxxs0bg|ci=ERc5aa5ea9-5f38-11f1-a285-5e52d0db692c|tr=sa|hk=cc8bd70a4f8a756a5368f9730</v>
      </c>
      <c r="H42" s="6" t="str">
        <f ca="1">IFERROR(__xludf.DUMMYFUNCTION("""COMPUTED_VALUE"""),"NK")</f>
        <v>NK</v>
      </c>
      <c r="I42" s="6" t="str">
        <f ca="1">IFERROR(__xludf.DUMMYFUNCTION("""COMPUTED_VALUE"""),"개인회생신청자격")</f>
        <v>개인회생신청자격</v>
      </c>
      <c r="J42" s="6" t="str">
        <f ca="1">IFERROR(__xludf.DUMMYFUNCTION("""COMPUTED_VALUE"""),"카카오톡")</f>
        <v>카카오톡</v>
      </c>
    </row>
    <row r="43" spans="1:10" x14ac:dyDescent="0.2">
      <c r="A43" s="6">
        <f ca="1">IFERROR(__xludf.DUMMYFUNCTION("""COMPUTED_VALUE"""),42)</f>
        <v>42</v>
      </c>
      <c r="B43" s="6">
        <f ca="1">IFERROR(__xludf.DUMMYFUNCTION("""COMPUTED_VALUE"""),46176.8224537037)</f>
        <v>46176.822453703702</v>
      </c>
      <c r="C43" s="6" t="str">
        <f ca="1">IFERROR(__xludf.DUMMYFUNCTION("""COMPUTED_VALUE"""),"정성훈")</f>
        <v>정성훈</v>
      </c>
      <c r="D43" s="6">
        <f ca="1">IFERROR(__xludf.DUMMYFUNCTION("""COMPUTED_VALUE"""),1096990497)</f>
        <v>1096990497</v>
      </c>
      <c r="E43" s="6" t="str">
        <f ca="1">IFERROR(__xludf.DUMMYFUNCTION("""COMPUTED_VALUE"""),"상담신청")</f>
        <v>상담신청</v>
      </c>
      <c r="F43" s="6" t="str">
        <f ca="1">IFERROR(__xludf.DUMMYFUNCTION("""COMPUTED_VALUE"""),"검색")</f>
        <v>검색</v>
      </c>
      <c r="G43" s="7" t="str">
        <f ca="1">IFERROR(__xludf.DUMMYFUNCTION("""COMPUTED_VALUE"""),"https://www.newstart-law.com/?inType=NK&amp;n_media=8753&amp;n_query=개인회생신청자격&amp;n_rank=4&amp;n_ad_group=grp-a001-01-000000063065632&amp;n_ad=nad-a001-01-000000485213835&amp;n_keyword_id=nkw-a001-01-000007951806209&amp;n_keyword=개인회생신청자격&amp;n_campaign_type=1&amp;n_ad_group_type=1&amp;n_match="&amp;"1&amp;NaPm=ct=mpxxs0bg|ci=ERc5aa5ea9-5f38-11f1-a285-5e52d0db692c|tr=sa|hk=cc8bd70a4f8a756a5368f9730")</f>
        <v>https://www.newstart-law.com/?inType=NK&amp;n_media=8753&amp;n_query=개인회생신청자격&amp;n_rank=4&amp;n_ad_group=grp-a001-01-000000063065632&amp;n_ad=nad-a001-01-000000485213835&amp;n_keyword_id=nkw-a001-01-000007951806209&amp;n_keyword=개인회생신청자격&amp;n_campaign_type=1&amp;n_ad_group_type=1&amp;n_match=1&amp;NaPm=ct=mpxxs0bg|ci=ERc5aa5ea9-5f38-11f1-a285-5e52d0db692c|tr=sa|hk=cc8bd70a4f8a756a5368f9730</v>
      </c>
      <c r="H43" s="6" t="str">
        <f ca="1">IFERROR(__xludf.DUMMYFUNCTION("""COMPUTED_VALUE"""),"NK")</f>
        <v>NK</v>
      </c>
      <c r="I43" s="6" t="str">
        <f ca="1">IFERROR(__xludf.DUMMYFUNCTION("""COMPUTED_VALUE"""),"개인회생신청자격")</f>
        <v>개인회생신청자격</v>
      </c>
      <c r="J43" s="6" t="str">
        <f ca="1">IFERROR(__xludf.DUMMYFUNCTION("""COMPUTED_VALUE"""),"AI 진단")</f>
        <v>AI 진단</v>
      </c>
    </row>
    <row r="44" spans="1:10" x14ac:dyDescent="0.2">
      <c r="A44" s="6">
        <f ca="1">IFERROR(__xludf.DUMMYFUNCTION("""COMPUTED_VALUE"""),43)</f>
        <v>43</v>
      </c>
      <c r="B44" s="6">
        <f ca="1">IFERROR(__xludf.DUMMYFUNCTION("""COMPUTED_VALUE"""),46177.4779050925)</f>
        <v>46177.477905092499</v>
      </c>
      <c r="C44" s="6" t="str">
        <f ca="1">IFERROR(__xludf.DUMMYFUNCTION("""COMPUTED_VALUE"""),"175.204.186.213")</f>
        <v>175.204.186.213</v>
      </c>
      <c r="D44" s="6" t="str">
        <f ca="1">IFERROR(__xludf.DUMMYFUNCTION("""COMPUTED_VALUE"""),"카카오")</f>
        <v>카카오</v>
      </c>
      <c r="E44" s="6" t="str">
        <f ca="1">IFERROR(__xludf.DUMMYFUNCTION("""COMPUTED_VALUE"""),"카카오톡")</f>
        <v>카카오톡</v>
      </c>
      <c r="F44" s="6" t="str">
        <f ca="1">IFERROR(__xludf.DUMMYFUNCTION("""COMPUTED_VALUE"""),"배너")</f>
        <v>배너</v>
      </c>
      <c r="G44" s="7" t="str">
        <f ca="1">IFERROR(__xludf.DUMMYFUNCTION("""COMPUTED_VALUE"""),"http://newstart-law.com/?inType=nim003&amp;NaPm=ci=64oXeE35VlRMmLSfuZ228aQA|tr=gfa|ct=mpyvkftu|hk=9681581e1b7050d7e333171bac527127c9687f3f|nacn=3YLcBkwiY9RU")</f>
        <v>http://newstart-law.com/?inType=nim003&amp;NaPm=ci=64oXeE35VlRMmLSfuZ228aQA|tr=gfa|ct=mpyvkftu|hk=9681581e1b7050d7e333171bac527127c9687f3f|nacn=3YLcBkwiY9RU</v>
      </c>
      <c r="H44" s="6" t="str">
        <f ca="1">IFERROR(__xludf.DUMMYFUNCTION("""COMPUTED_VALUE"""),"nim003")</f>
        <v>nim003</v>
      </c>
      <c r="I44" s="6" t="str">
        <f ca="1">IFERROR(__xludf.DUMMYFUNCTION("""COMPUTED_VALUE"""),"")</f>
        <v/>
      </c>
      <c r="J44" s="6" t="str">
        <f ca="1">IFERROR(__xludf.DUMMYFUNCTION("""COMPUTED_VALUE"""),"카카오톡")</f>
        <v>카카오톡</v>
      </c>
    </row>
    <row r="45" spans="1:10" x14ac:dyDescent="0.2">
      <c r="A45" s="6">
        <f ca="1">IFERROR(__xludf.DUMMYFUNCTION("""COMPUTED_VALUE"""),44)</f>
        <v>44</v>
      </c>
      <c r="B45" s="6">
        <f ca="1">IFERROR(__xludf.DUMMYFUNCTION("""COMPUTED_VALUE"""),46177.7395833333)</f>
        <v>46177.739583333299</v>
      </c>
      <c r="C45" s="6" t="str">
        <f ca="1">IFERROR(__xludf.DUMMYFUNCTION("""COMPUTED_VALUE"""),"118.235.15.128")</f>
        <v>118.235.15.128</v>
      </c>
      <c r="D45" s="6" t="str">
        <f ca="1">IFERROR(__xludf.DUMMYFUNCTION("""COMPUTED_VALUE"""),"전화")</f>
        <v>전화</v>
      </c>
      <c r="E45" s="6" t="str">
        <f ca="1">IFERROR(__xludf.DUMMYFUNCTION("""COMPUTED_VALUE"""),"전화")</f>
        <v>전화</v>
      </c>
      <c r="F45" s="6" t="str">
        <f ca="1">IFERROR(__xludf.DUMMYFUNCTION("""COMPUTED_VALUE"""),"배너")</f>
        <v>배너</v>
      </c>
      <c r="G45" s="7" t="str">
        <f ca="1">IFERROR(__xludf.DUMMYFUNCTION("""COMPUTED_VALUE"""),"http://newstart-law.com/?inType=nim003&amp;NaPm=ci=64_jmT4FSSTS-l3UIwgqZRag|tr=gfa|ct=mpz9009u|hk=d0da18ab3435973f5e9ea2b2c1ee25f9db186bee|nacn=ObfnCQhkYa2DB")</f>
        <v>http://newstart-law.com/?inType=nim003&amp;NaPm=ci=64_jmT4FSSTS-l3UIwgqZRag|tr=gfa|ct=mpz9009u|hk=d0da18ab3435973f5e9ea2b2c1ee25f9db186bee|nacn=ObfnCQhkYa2DB</v>
      </c>
      <c r="H45" s="6" t="str">
        <f ca="1">IFERROR(__xludf.DUMMYFUNCTION("""COMPUTED_VALUE"""),"nim003")</f>
        <v>nim003</v>
      </c>
      <c r="I45" s="6" t="str">
        <f ca="1">IFERROR(__xludf.DUMMYFUNCTION("""COMPUTED_VALUE"""),"")</f>
        <v/>
      </c>
      <c r="J45" s="6" t="str">
        <f ca="1">IFERROR(__xludf.DUMMYFUNCTION("""COMPUTED_VALUE"""),"전화 문의")</f>
        <v>전화 문의</v>
      </c>
    </row>
    <row r="46" spans="1:10" x14ac:dyDescent="0.2">
      <c r="A46" s="6">
        <f ca="1">IFERROR(__xludf.DUMMYFUNCTION("""COMPUTED_VALUE"""),45)</f>
        <v>45</v>
      </c>
      <c r="B46" s="6">
        <f ca="1">IFERROR(__xludf.DUMMYFUNCTION("""COMPUTED_VALUE"""),46177.7484027777)</f>
        <v>46177.748402777703</v>
      </c>
      <c r="C46" s="6" t="str">
        <f ca="1">IFERROR(__xludf.DUMMYFUNCTION("""COMPUTED_VALUE"""),"118.32.182.208")</f>
        <v>118.32.182.208</v>
      </c>
      <c r="D46" s="6" t="str">
        <f ca="1">IFERROR(__xludf.DUMMYFUNCTION("""COMPUTED_VALUE"""),"네이버예약")</f>
        <v>네이버예약</v>
      </c>
      <c r="E46" s="6" t="str">
        <f ca="1">IFERROR(__xludf.DUMMYFUNCTION("""COMPUTED_VALUE"""),"네이버예약")</f>
        <v>네이버예약</v>
      </c>
      <c r="F46" s="6" t="str">
        <f ca="1">IFERROR(__xludf.DUMMYFUNCTION("""COMPUTED_VALUE"""),"배너")</f>
        <v>배너</v>
      </c>
      <c r="G46" s="7" t="str">
        <f ca="1">IFERROR(__xludf.DUMMYFUNCTION("""COMPUTED_VALUE"""),"http://newstart-law.com/?inType=nim003&amp;NaPm=ci=64IQbjHByTRmCp2I1cf9GGlA|tr=gfa|ct=mpz9emun|hk=8ee9bc97d37c2c9f9803fac6faa7e5f505b0290a|nacn=0D1aBswykGMx")</f>
        <v>http://newstart-law.com/?inType=nim003&amp;NaPm=ci=64IQbjHByTRmCp2I1cf9GGlA|tr=gfa|ct=mpz9emun|hk=8ee9bc97d37c2c9f9803fac6faa7e5f505b0290a|nacn=0D1aBswykGMx</v>
      </c>
      <c r="H46" s="6" t="str">
        <f ca="1">IFERROR(__xludf.DUMMYFUNCTION("""COMPUTED_VALUE"""),"nim003")</f>
        <v>nim003</v>
      </c>
      <c r="I46" s="6" t="str">
        <f ca="1">IFERROR(__xludf.DUMMYFUNCTION("""COMPUTED_VALUE"""),"")</f>
        <v/>
      </c>
      <c r="J46" s="6" t="str">
        <f ca="1">IFERROR(__xludf.DUMMYFUNCTION("""COMPUTED_VALUE"""),"네이버 예약")</f>
        <v>네이버 예약</v>
      </c>
    </row>
    <row r="47" spans="1:10" x14ac:dyDescent="0.2">
      <c r="A47" s="6">
        <f ca="1">IFERROR(__xludf.DUMMYFUNCTION("""COMPUTED_VALUE"""),46)</f>
        <v>46</v>
      </c>
      <c r="B47" s="6">
        <f ca="1">IFERROR(__xludf.DUMMYFUNCTION("""COMPUTED_VALUE"""),46177.7694097222)</f>
        <v>46177.769409722197</v>
      </c>
      <c r="C47" s="6" t="str">
        <f ca="1">IFERROR(__xludf.DUMMYFUNCTION("""COMPUTED_VALUE"""),"222.118.220.175")</f>
        <v>222.118.220.175</v>
      </c>
      <c r="D47" s="6" t="str">
        <f ca="1">IFERROR(__xludf.DUMMYFUNCTION("""COMPUTED_VALUE"""),"전화")</f>
        <v>전화</v>
      </c>
      <c r="E47" s="6" t="str">
        <f ca="1">IFERROR(__xludf.DUMMYFUNCTION("""COMPUTED_VALUE"""),"전화")</f>
        <v>전화</v>
      </c>
      <c r="F47" s="6" t="str">
        <f ca="1">IFERROR(__xludf.DUMMYFUNCTION("""COMPUTED_VALUE"""),"배너")</f>
        <v>배너</v>
      </c>
      <c r="G47" s="7" t="str">
        <f ca="1">IFERROR(__xludf.DUMMYFUNCTION("""COMPUTED_VALUE"""),"http://newstart-law.com/?inType=NIM001&amp;NaPm=ci=641svuPzLzTPmCyTlKuYnymQ|tr=gfa|ct=mpzag6w6|hk=02db74981c6b2bb71dd7f42eeaac4049a210f56e|nacn=fp7ZCYBtwA9eA")</f>
        <v>http://newstart-law.com/?inType=NIM001&amp;NaPm=ci=641svuPzLzTPmCyTlKuYnymQ|tr=gfa|ct=mpzag6w6|hk=02db74981c6b2bb71dd7f42eeaac4049a210f56e|nacn=fp7ZCYBtwA9eA</v>
      </c>
      <c r="H47" s="6" t="str">
        <f ca="1">IFERROR(__xludf.DUMMYFUNCTION("""COMPUTED_VALUE"""),"NIM001")</f>
        <v>NIM001</v>
      </c>
      <c r="I47" s="6" t="str">
        <f ca="1">IFERROR(__xludf.DUMMYFUNCTION("""COMPUTED_VALUE"""),"")</f>
        <v/>
      </c>
      <c r="J47" s="6" t="str">
        <f ca="1">IFERROR(__xludf.DUMMYFUNCTION("""COMPUTED_VALUE"""),"전화 문의")</f>
        <v>전화 문의</v>
      </c>
    </row>
    <row r="48" spans="1:10" x14ac:dyDescent="0.2">
      <c r="A48" s="6">
        <f ca="1">IFERROR(__xludf.DUMMYFUNCTION("""COMPUTED_VALUE"""),47)</f>
        <v>47</v>
      </c>
      <c r="B48" s="6">
        <f ca="1">IFERROR(__xludf.DUMMYFUNCTION("""COMPUTED_VALUE"""),46177.7694675925)</f>
        <v>46177.769467592501</v>
      </c>
      <c r="C48" s="6" t="str">
        <f ca="1">IFERROR(__xludf.DUMMYFUNCTION("""COMPUTED_VALUE"""),"222.118.220.175")</f>
        <v>222.118.220.175</v>
      </c>
      <c r="D48" s="6" t="str">
        <f ca="1">IFERROR(__xludf.DUMMYFUNCTION("""COMPUTED_VALUE"""),"네이버예약")</f>
        <v>네이버예약</v>
      </c>
      <c r="E48" s="6" t="str">
        <f ca="1">IFERROR(__xludf.DUMMYFUNCTION("""COMPUTED_VALUE"""),"네이버예약")</f>
        <v>네이버예약</v>
      </c>
      <c r="F48" s="6" t="str">
        <f ca="1">IFERROR(__xludf.DUMMYFUNCTION("""COMPUTED_VALUE"""),"배너")</f>
        <v>배너</v>
      </c>
      <c r="G48" s="7" t="str">
        <f ca="1">IFERROR(__xludf.DUMMYFUNCTION("""COMPUTED_VALUE"""),"http://newstart-law.com/?inType=NIM001&amp;NaPm=ci=641svuPzLzTPmCyTlKuYnymQ|tr=gfa|ct=mpzag6w6|hk=02db74981c6b2bb71dd7f42eeaac4049a210f56e|nacn=fp7ZCYBtwA9eA")</f>
        <v>http://newstart-law.com/?inType=NIM001&amp;NaPm=ci=641svuPzLzTPmCyTlKuYnymQ|tr=gfa|ct=mpzag6w6|hk=02db74981c6b2bb71dd7f42eeaac4049a210f56e|nacn=fp7ZCYBtwA9eA</v>
      </c>
      <c r="H48" s="6" t="str">
        <f ca="1">IFERROR(__xludf.DUMMYFUNCTION("""COMPUTED_VALUE"""),"NIM001")</f>
        <v>NIM001</v>
      </c>
      <c r="I48" s="6" t="str">
        <f ca="1">IFERROR(__xludf.DUMMYFUNCTION("""COMPUTED_VALUE"""),"")</f>
        <v/>
      </c>
      <c r="J48" s="6" t="str">
        <f ca="1">IFERROR(__xludf.DUMMYFUNCTION("""COMPUTED_VALUE"""),"네이버 예약")</f>
        <v>네이버 예약</v>
      </c>
    </row>
    <row r="49" spans="1:10" x14ac:dyDescent="0.2">
      <c r="A49" s="6">
        <f ca="1">IFERROR(__xludf.DUMMYFUNCTION("""COMPUTED_VALUE"""),48)</f>
        <v>48</v>
      </c>
      <c r="B49" s="6">
        <f ca="1">IFERROR(__xludf.DUMMYFUNCTION("""COMPUTED_VALUE"""),46177.7944212963)</f>
        <v>46177.794421296298</v>
      </c>
      <c r="C49" s="6" t="str">
        <f ca="1">IFERROR(__xludf.DUMMYFUNCTION("""COMPUTED_VALUE"""),"양일성")</f>
        <v>양일성</v>
      </c>
      <c r="D49" s="6">
        <f ca="1">IFERROR(__xludf.DUMMYFUNCTION("""COMPUTED_VALUE"""),1022243344)</f>
        <v>1022243344</v>
      </c>
      <c r="E49" s="6" t="str">
        <f ca="1">IFERROR(__xludf.DUMMYFUNCTION("""COMPUTED_VALUE"""),"상담신청")</f>
        <v>상담신청</v>
      </c>
      <c r="F49" s="6" t="str">
        <f ca="1">IFERROR(__xludf.DUMMYFUNCTION("""COMPUTED_VALUE"""),"검색")</f>
        <v>검색</v>
      </c>
      <c r="G49" s="7" t="str">
        <f ca="1">IFERROR(__xludf.DUMMYFUNCTION("""COMPUTED_VALUE"""),"https://www.newstart-law.com/?inType=NK&amp;n_media=8753&amp;n_query=파산신청자격&amp;n_rank=5&amp;n_ad_group=grp-a001-01-000000063065674&amp;n_ad=nad-a001-01-000000495460351&amp;n_keyword_id=nkw-a001-01-000007951811269&amp;n_keyword=파산신청자격&amp;n_campaign_type=1&amp;n_ad_group_type=1&amp;n_match=1&amp;Na"&amp;"Pm=ct=mpzbuih8|ci=ER93c514dd-5ffc-11f1-8c5d-c6b3905ab0bb|tr=sa|hk=28d90744303f8c9a50aa85194837f9b9ef2a664b|nacn=VFSLBQQe5HA")</f>
        <v>https://www.newstart-law.com/?inType=NK&amp;n_media=8753&amp;n_query=파산신청자격&amp;n_rank=5&amp;n_ad_group=grp-a001-01-000000063065674&amp;n_ad=nad-a001-01-000000495460351&amp;n_keyword_id=nkw-a001-01-000007951811269&amp;n_keyword=파산신청자격&amp;n_campaign_type=1&amp;n_ad_group_type=1&amp;n_match=1&amp;NaPm=ct=mpzbuih8|ci=ER93c514dd-5ffc-11f1-8c5d-c6b3905ab0bb|tr=sa|hk=28d90744303f8c9a50aa85194837f9b9ef2a664b|nacn=VFSLBQQe5HA</v>
      </c>
      <c r="H49" s="6" t="str">
        <f ca="1">IFERROR(__xludf.DUMMYFUNCTION("""COMPUTED_VALUE"""),"NK")</f>
        <v>NK</v>
      </c>
      <c r="I49" s="6" t="str">
        <f ca="1">IFERROR(__xludf.DUMMYFUNCTION("""COMPUTED_VALUE"""),"파산신청자격")</f>
        <v>파산신청자격</v>
      </c>
      <c r="J49" s="6" t="str">
        <f ca="1">IFERROR(__xludf.DUMMYFUNCTION("""COMPUTED_VALUE"""),"AI 진단")</f>
        <v>AI 진단</v>
      </c>
    </row>
    <row r="50" spans="1:10" x14ac:dyDescent="0.2">
      <c r="A50" s="6">
        <f ca="1">IFERROR(__xludf.DUMMYFUNCTION("""COMPUTED_VALUE"""),49)</f>
        <v>49</v>
      </c>
      <c r="B50" s="6">
        <f ca="1">IFERROR(__xludf.DUMMYFUNCTION("""COMPUTED_VALUE"""),46177.8696527777)</f>
        <v>46177.869652777699</v>
      </c>
      <c r="C50" s="6" t="str">
        <f ca="1">IFERROR(__xludf.DUMMYFUNCTION("""COMPUTED_VALUE"""),"지용진")</f>
        <v>지용진</v>
      </c>
      <c r="D50" s="6">
        <f ca="1">IFERROR(__xludf.DUMMYFUNCTION("""COMPUTED_VALUE"""),1056162554)</f>
        <v>1056162554</v>
      </c>
      <c r="E50" s="6" t="str">
        <f ca="1">IFERROR(__xludf.DUMMYFUNCTION("""COMPUTED_VALUE"""),"상담신청")</f>
        <v>상담신청</v>
      </c>
      <c r="F50" s="6" t="str">
        <f ca="1">IFERROR(__xludf.DUMMYFUNCTION("""COMPUTED_VALUE"""),"검색")</f>
        <v>검색</v>
      </c>
      <c r="G50" s="7" t="str">
        <f ca="1">IFERROR(__xludf.DUMMYFUNCTION("""COMPUTED_VALUE"""),"https://www.newstart-law.com/?inType=NK&amp;n_media=8753&amp;n_query=파산신청&amp;n_rank=3&amp;n_ad_group=grp-a001-01-000000063065674&amp;n_ad=nad-a001-01-000000495460351&amp;n_keyword_id=nkw-a001-01-000007951811266&amp;n_keyword=파산신청&amp;n_campaign_type=1&amp;n_ad_group_type=1&amp;n_match=1&amp;NaPm=c"&amp;"t=mpzfqakz|ci=ERc2f35661-600b-11f1-8aaa-2a39741d2e73|tr=sa|hk=4efaf5943c4d79dbd538882feea9b014c1062fd3|nacn=oz96BMAbtvDz")</f>
        <v>https://www.newstart-law.com/?inType=NK&amp;n_media=8753&amp;n_query=파산신청&amp;n_rank=3&amp;n_ad_group=grp-a001-01-000000063065674&amp;n_ad=nad-a001-01-000000495460351&amp;n_keyword_id=nkw-a001-01-000007951811266&amp;n_keyword=파산신청&amp;n_campaign_type=1&amp;n_ad_group_type=1&amp;n_match=1&amp;NaPm=ct=mpzfqakz|ci=ERc2f35661-600b-11f1-8aaa-2a39741d2e73|tr=sa|hk=4efaf5943c4d79dbd538882feea9b014c1062fd3|nacn=oz96BMAbtvDz</v>
      </c>
      <c r="H50" s="6" t="str">
        <f ca="1">IFERROR(__xludf.DUMMYFUNCTION("""COMPUTED_VALUE"""),"NK")</f>
        <v>NK</v>
      </c>
      <c r="I50" s="6" t="str">
        <f ca="1">IFERROR(__xludf.DUMMYFUNCTION("""COMPUTED_VALUE"""),"파산신청")</f>
        <v>파산신청</v>
      </c>
      <c r="J50" s="6" t="str">
        <f ca="1">IFERROR(__xludf.DUMMYFUNCTION("""COMPUTED_VALUE"""),"모바일 하단 상담폼")</f>
        <v>모바일 하단 상담폼</v>
      </c>
    </row>
    <row r="51" spans="1:10" x14ac:dyDescent="0.2">
      <c r="A51" s="6">
        <f ca="1">IFERROR(__xludf.DUMMYFUNCTION("""COMPUTED_VALUE"""),50)</f>
        <v>50</v>
      </c>
      <c r="B51" s="6">
        <f ca="1">IFERROR(__xludf.DUMMYFUNCTION("""COMPUTED_VALUE"""),46177.8907060185)</f>
        <v>46177.890706018501</v>
      </c>
      <c r="C51" s="6" t="str">
        <f ca="1">IFERROR(__xludf.DUMMYFUNCTION("""COMPUTED_VALUE"""),"전용철")</f>
        <v>전용철</v>
      </c>
      <c r="D51" s="6">
        <f ca="1">IFERROR(__xludf.DUMMYFUNCTION("""COMPUTED_VALUE"""),1048695455)</f>
        <v>1048695455</v>
      </c>
      <c r="E51" s="6" t="str">
        <f ca="1">IFERROR(__xludf.DUMMYFUNCTION("""COMPUTED_VALUE"""),"상담신청")</f>
        <v>상담신청</v>
      </c>
      <c r="F51" s="6" t="str">
        <f ca="1">IFERROR(__xludf.DUMMYFUNCTION("""COMPUTED_VALUE"""),"검색")</f>
        <v>검색</v>
      </c>
      <c r="G51" s="7" t="str">
        <f ca="1">IFERROR(__xludf.DUMMYFUNCTION("""COMPUTED_VALUE"""),"https://www.newstart-law.com/?inType=NK&amp;n_media=8753&amp;n_query=파산신청&amp;n_rank=2&amp;n_ad_group=grp-a001-01-000000063065674&amp;n_ad=nad-a001-01-000000495460351&amp;n_keyword_id=nkw-a001-01-000007951811266&amp;n_keyword=파산신청&amp;n_campaign_type=1&amp;n_ad_group_type=1&amp;n_match=1&amp;NaPm=c"&amp;"t=mpzgrn1z|ci=ERd185f90a-600f-11f1-a8fa-4adacfef5931|tr=sa|hk=bf2d5df2e3e3509d65fac3eb4418a8c218e24411|nacn=d4JGB0gdrlflA")</f>
        <v>https://www.newstart-law.com/?inType=NK&amp;n_media=8753&amp;n_query=파산신청&amp;n_rank=2&amp;n_ad_group=grp-a001-01-000000063065674&amp;n_ad=nad-a001-01-000000495460351&amp;n_keyword_id=nkw-a001-01-000007951811266&amp;n_keyword=파산신청&amp;n_campaign_type=1&amp;n_ad_group_type=1&amp;n_match=1&amp;NaPm=ct=mpzgrn1z|ci=ERd185f90a-600f-11f1-a8fa-4adacfef5931|tr=sa|hk=bf2d5df2e3e3509d65fac3eb4418a8c218e24411|nacn=d4JGB0gdrlflA</v>
      </c>
      <c r="H51" s="6" t="str">
        <f ca="1">IFERROR(__xludf.DUMMYFUNCTION("""COMPUTED_VALUE"""),"NK")</f>
        <v>NK</v>
      </c>
      <c r="I51" s="6" t="str">
        <f ca="1">IFERROR(__xludf.DUMMYFUNCTION("""COMPUTED_VALUE"""),"파산신청")</f>
        <v>파산신청</v>
      </c>
      <c r="J51" s="6" t="str">
        <f ca="1">IFERROR(__xludf.DUMMYFUNCTION("""COMPUTED_VALUE"""),"모바일 하단 상담폼")</f>
        <v>모바일 하단 상담폼</v>
      </c>
    </row>
    <row r="52" spans="1:10" x14ac:dyDescent="0.2">
      <c r="A52" s="6">
        <f ca="1">IFERROR(__xludf.DUMMYFUNCTION("""COMPUTED_VALUE"""),51)</f>
        <v>51</v>
      </c>
      <c r="B52" s="6">
        <f ca="1">IFERROR(__xludf.DUMMYFUNCTION("""COMPUTED_VALUE"""),46177.8909143518)</f>
        <v>46177.890914351803</v>
      </c>
      <c r="C52" s="6" t="str">
        <f ca="1">IFERROR(__xludf.DUMMYFUNCTION("""COMPUTED_VALUE"""),"전용철")</f>
        <v>전용철</v>
      </c>
      <c r="D52" s="6">
        <f ca="1">IFERROR(__xludf.DUMMYFUNCTION("""COMPUTED_VALUE"""),1048695455)</f>
        <v>1048695455</v>
      </c>
      <c r="E52" s="6" t="str">
        <f ca="1">IFERROR(__xludf.DUMMYFUNCTION("""COMPUTED_VALUE"""),"상담신청")</f>
        <v>상담신청</v>
      </c>
      <c r="F52" s="6" t="str">
        <f ca="1">IFERROR(__xludf.DUMMYFUNCTION("""COMPUTED_VALUE"""),"검색")</f>
        <v>검색</v>
      </c>
      <c r="G52" s="7" t="str">
        <f ca="1">IFERROR(__xludf.DUMMYFUNCTION("""COMPUTED_VALUE"""),"https://www.newstart-law.com/?inType=NK&amp;n_media=8753&amp;n_query=파산신청&amp;n_rank=2&amp;n_ad_group=grp-a001-01-000000063065674&amp;n_ad=nad-a001-01-000000495460351&amp;n_keyword_id=nkw-a001-01-000007951811266&amp;n_keyword=파산신청&amp;n_campaign_type=1&amp;n_ad_group_type=1&amp;n_match=1&amp;NaPm=c"&amp;"t=mpzgrn1z|ci=ERd185f90a-600f-11f1-a8fa-4adacfef5931|tr=sa|hk=bf2d5df2e3e3509d65fac3eb4418a8c218e24411|nacn=d4JGB0gdrlflA")</f>
        <v>https://www.newstart-law.com/?inType=NK&amp;n_media=8753&amp;n_query=파산신청&amp;n_rank=2&amp;n_ad_group=grp-a001-01-000000063065674&amp;n_ad=nad-a001-01-000000495460351&amp;n_keyword_id=nkw-a001-01-000007951811266&amp;n_keyword=파산신청&amp;n_campaign_type=1&amp;n_ad_group_type=1&amp;n_match=1&amp;NaPm=ct=mpzgrn1z|ci=ERd185f90a-600f-11f1-a8fa-4adacfef5931|tr=sa|hk=bf2d5df2e3e3509d65fac3eb4418a8c218e24411|nacn=d4JGB0gdrlflA</v>
      </c>
      <c r="H52" s="6" t="str">
        <f ca="1">IFERROR(__xludf.DUMMYFUNCTION("""COMPUTED_VALUE"""),"NK")</f>
        <v>NK</v>
      </c>
      <c r="I52" s="6" t="str">
        <f ca="1">IFERROR(__xludf.DUMMYFUNCTION("""COMPUTED_VALUE"""),"파산신청")</f>
        <v>파산신청</v>
      </c>
      <c r="J52" s="6" t="str">
        <f ca="1">IFERROR(__xludf.DUMMYFUNCTION("""COMPUTED_VALUE"""),"모바일 하단 상담폼")</f>
        <v>모바일 하단 상담폼</v>
      </c>
    </row>
    <row r="53" spans="1:10" x14ac:dyDescent="0.2">
      <c r="A53" s="6">
        <f ca="1">IFERROR(__xludf.DUMMYFUNCTION("""COMPUTED_VALUE"""),52)</f>
        <v>52</v>
      </c>
      <c r="B53" s="6">
        <f ca="1">IFERROR(__xludf.DUMMYFUNCTION("""COMPUTED_VALUE"""),46178.3447222222)</f>
        <v>46178.344722222202</v>
      </c>
      <c r="C53" s="6" t="str">
        <f ca="1">IFERROR(__xludf.DUMMYFUNCTION("""COMPUTED_VALUE"""),"222.232.209.250")</f>
        <v>222.232.209.250</v>
      </c>
      <c r="D53" s="6" t="str">
        <f ca="1">IFERROR(__xludf.DUMMYFUNCTION("""COMPUTED_VALUE"""),"전화")</f>
        <v>전화</v>
      </c>
      <c r="E53" s="6" t="str">
        <f ca="1">IFERROR(__xludf.DUMMYFUNCTION("""COMPUTED_VALUE"""),"전화")</f>
        <v>전화</v>
      </c>
      <c r="F53" s="6" t="str">
        <f ca="1">IFERROR(__xludf.DUMMYFUNCTION("""COMPUTED_VALUE"""),"배너")</f>
        <v>배너</v>
      </c>
      <c r="G53" s="7" t="str">
        <f ca="1">IFERROR(__xludf.DUMMYFUNCTION("""COMPUTED_VALUE"""),"http://newstart-law.com/?inType=nim_sq02&amp;NaPm=ci=65RylbrcGIQ5iOH6QqSXPrkw|tr=gfa|ct=mq046g03|hk=29fdf6f54fe75d6f119998edf6786e19d1446791|nacn=WHAIBkghaM6P")</f>
        <v>http://newstart-law.com/?inType=nim_sq02&amp;NaPm=ci=65RylbrcGIQ5iOH6QqSXPrkw|tr=gfa|ct=mq046g03|hk=29fdf6f54fe75d6f119998edf6786e19d1446791|nacn=WHAIBkghaM6P</v>
      </c>
      <c r="H53" s="6" t="str">
        <f ca="1">IFERROR(__xludf.DUMMYFUNCTION("""COMPUTED_VALUE"""),"nim_sq02")</f>
        <v>nim_sq02</v>
      </c>
      <c r="I53" s="6" t="str">
        <f ca="1">IFERROR(__xludf.DUMMYFUNCTION("""COMPUTED_VALUE"""),"")</f>
        <v/>
      </c>
      <c r="J53" s="6" t="str">
        <f ca="1">IFERROR(__xludf.DUMMYFUNCTION("""COMPUTED_VALUE"""),"전화 문의")</f>
        <v>전화 문의</v>
      </c>
    </row>
    <row r="54" spans="1:10" x14ac:dyDescent="0.2">
      <c r="A54" s="6">
        <f ca="1">IFERROR(__xludf.DUMMYFUNCTION("""COMPUTED_VALUE"""),53)</f>
        <v>53</v>
      </c>
      <c r="B54" s="6">
        <f ca="1">IFERROR(__xludf.DUMMYFUNCTION("""COMPUTED_VALUE"""),46178.5419907407)</f>
        <v>46178.541990740698</v>
      </c>
      <c r="C54" s="6" t="str">
        <f ca="1">IFERROR(__xludf.DUMMYFUNCTION("""COMPUTED_VALUE"""),"80.247.130.16")</f>
        <v>80.247.130.16</v>
      </c>
      <c r="D54" s="6" t="str">
        <f ca="1">IFERROR(__xludf.DUMMYFUNCTION("""COMPUTED_VALUE"""),"카카오")</f>
        <v>카카오</v>
      </c>
      <c r="E54" s="6" t="str">
        <f ca="1">IFERROR(__xludf.DUMMYFUNCTION("""COMPUTED_VALUE"""),"카카오톡")</f>
        <v>카카오톡</v>
      </c>
      <c r="F54" s="6" t="str">
        <f ca="1">IFERROR(__xludf.DUMMYFUNCTION("""COMPUTED_VALUE"""),"배너")</f>
        <v>배너</v>
      </c>
      <c r="G54" s="7" t="str">
        <f ca="1">IFERROR(__xludf.DUMMYFUNCTION("""COMPUTED_VALUE"""),"http://newstart-law.com/?inType=NIP002&amp;NaPm=ci=65PAeKz4QtRKKfiA86tl9r3w|tr=gfa|ct=mq0ebmh7|hk=0c6925ee1892981dc1c9c9797fb42cedc669dda6|nacn=kY5dB0gU87VS")</f>
        <v>http://newstart-law.com/?inType=NIP002&amp;NaPm=ci=65PAeKz4QtRKKfiA86tl9r3w|tr=gfa|ct=mq0ebmh7|hk=0c6925ee1892981dc1c9c9797fb42cedc669dda6|nacn=kY5dB0gU87VS</v>
      </c>
      <c r="H54" s="6" t="str">
        <f ca="1">IFERROR(__xludf.DUMMYFUNCTION("""COMPUTED_VALUE"""),"NIP002")</f>
        <v>NIP002</v>
      </c>
      <c r="I54" s="6" t="str">
        <f ca="1">IFERROR(__xludf.DUMMYFUNCTION("""COMPUTED_VALUE"""),"")</f>
        <v/>
      </c>
      <c r="J54" s="6" t="str">
        <f ca="1">IFERROR(__xludf.DUMMYFUNCTION("""COMPUTED_VALUE"""),"카카오톡")</f>
        <v>카카오톡</v>
      </c>
    </row>
    <row r="55" spans="1:10" x14ac:dyDescent="0.2">
      <c r="A55" s="6">
        <f ca="1">IFERROR(__xludf.DUMMYFUNCTION("""COMPUTED_VALUE"""),54)</f>
        <v>54</v>
      </c>
      <c r="B55" s="6">
        <f ca="1">IFERROR(__xludf.DUMMYFUNCTION("""COMPUTED_VALUE"""),46178.6640625)</f>
        <v>46178.6640625</v>
      </c>
      <c r="C55" s="6" t="str">
        <f ca="1">IFERROR(__xludf.DUMMYFUNCTION("""COMPUTED_VALUE"""),"182.208.155.123")</f>
        <v>182.208.155.123</v>
      </c>
      <c r="D55" s="6" t="str">
        <f ca="1">IFERROR(__xludf.DUMMYFUNCTION("""COMPUTED_VALUE"""),"전화")</f>
        <v>전화</v>
      </c>
      <c r="E55" s="6" t="str">
        <f ca="1">IFERROR(__xludf.DUMMYFUNCTION("""COMPUTED_VALUE"""),"전화")</f>
        <v>전화</v>
      </c>
      <c r="F55" s="6" t="str">
        <f ca="1">IFERROR(__xludf.DUMMYFUNCTION("""COMPUTED_VALUE"""),"배너")</f>
        <v>배너</v>
      </c>
      <c r="G55" s="7" t="str">
        <f ca="1">IFERROR(__xludf.DUMMYFUNCTION("""COMPUTED_VALUE"""),"http://newstart-law.com/?inType=nim003&amp;NaPm=ci=653mK5ABGwThGWa7fCPwsx7A|tr=gfa|ct=mq0kiao9|hk=8a928edb9f53f1c94ad3b63b0138b2b053024d16|nacn=jv0cB8gfZbIXA")</f>
        <v>http://newstart-law.com/?inType=nim003&amp;NaPm=ci=653mK5ABGwThGWa7fCPwsx7A|tr=gfa|ct=mq0kiao9|hk=8a928edb9f53f1c94ad3b63b0138b2b053024d16|nacn=jv0cB8gfZbIXA</v>
      </c>
      <c r="H55" s="6" t="str">
        <f ca="1">IFERROR(__xludf.DUMMYFUNCTION("""COMPUTED_VALUE"""),"nim003")</f>
        <v>nim003</v>
      </c>
      <c r="I55" s="6" t="str">
        <f ca="1">IFERROR(__xludf.DUMMYFUNCTION("""COMPUTED_VALUE"""),"")</f>
        <v/>
      </c>
      <c r="J55" s="6" t="str">
        <f ca="1">IFERROR(__xludf.DUMMYFUNCTION("""COMPUTED_VALUE"""),"전화 문의")</f>
        <v>전화 문의</v>
      </c>
    </row>
    <row r="56" spans="1:10" x14ac:dyDescent="0.2">
      <c r="A56" s="6">
        <f ca="1">IFERROR(__xludf.DUMMYFUNCTION("""COMPUTED_VALUE"""),55)</f>
        <v>55</v>
      </c>
      <c r="B56" s="6">
        <f ca="1">IFERROR(__xludf.DUMMYFUNCTION("""COMPUTED_VALUE"""),46178.7155555555)</f>
        <v>46178.7155555555</v>
      </c>
      <c r="C56" s="6" t="str">
        <f ca="1">IFERROR(__xludf.DUMMYFUNCTION("""COMPUTED_VALUE"""),"김영환")</f>
        <v>김영환</v>
      </c>
      <c r="D56" s="6">
        <f ca="1">IFERROR(__xludf.DUMMYFUNCTION("""COMPUTED_VALUE"""),1022051582)</f>
        <v>1022051582</v>
      </c>
      <c r="E56" s="6" t="str">
        <f ca="1">IFERROR(__xludf.DUMMYFUNCTION("""COMPUTED_VALUE"""),"상담신청")</f>
        <v>상담신청</v>
      </c>
      <c r="F56" s="6" t="str">
        <f ca="1">IFERROR(__xludf.DUMMYFUNCTION("""COMPUTED_VALUE"""),"배너")</f>
        <v>배너</v>
      </c>
      <c r="G56" s="7" t="str">
        <f ca="1">IFERROR(__xludf.DUMMYFUNCTION("""COMPUTED_VALUE"""),"https://newstart-law.com/?inType=NIP002&amp;NaPm=ci=65NBOxjg1ERnCI43T_SiwdmA|tr=gfa|ct=mq0n4tn4|hk=c2af2578e5826377016e33df18e738d35039196a|nacn=BJ7lBUg1MrPZ")</f>
        <v>https://newstart-law.com/?inType=NIP002&amp;NaPm=ci=65NBOxjg1ERnCI43T_SiwdmA|tr=gfa|ct=mq0n4tn4|hk=c2af2578e5826377016e33df18e738d35039196a|nacn=BJ7lBUg1MrPZ</v>
      </c>
      <c r="H56" s="6" t="str">
        <f ca="1">IFERROR(__xludf.DUMMYFUNCTION("""COMPUTED_VALUE"""),"NIP002")</f>
        <v>NIP002</v>
      </c>
      <c r="I56" s="6" t="str">
        <f ca="1">IFERROR(__xludf.DUMMYFUNCTION("""COMPUTED_VALUE"""),"")</f>
        <v/>
      </c>
      <c r="J56" s="6" t="str">
        <f ca="1">IFERROR(__xludf.DUMMYFUNCTION("""COMPUTED_VALUE"""),"메인 상단 상담폼")</f>
        <v>메인 상단 상담폼</v>
      </c>
    </row>
    <row r="57" spans="1:10" x14ac:dyDescent="0.2">
      <c r="A57" s="6">
        <f ca="1">IFERROR(__xludf.DUMMYFUNCTION("""COMPUTED_VALUE"""),56)</f>
        <v>56</v>
      </c>
      <c r="B57" s="6">
        <f ca="1">IFERROR(__xludf.DUMMYFUNCTION("""COMPUTED_VALUE"""),46178.7555439814)</f>
        <v>46178.755543981402</v>
      </c>
      <c r="C57" s="6" t="str">
        <f ca="1">IFERROR(__xludf.DUMMYFUNCTION("""COMPUTED_VALUE"""),"김무석")</f>
        <v>김무석</v>
      </c>
      <c r="D57" s="6">
        <f ca="1">IFERROR(__xludf.DUMMYFUNCTION("""COMPUTED_VALUE"""),1099262178)</f>
        <v>1099262178</v>
      </c>
      <c r="E57" s="6" t="str">
        <f ca="1">IFERROR(__xludf.DUMMYFUNCTION("""COMPUTED_VALUE"""),"상담신청")</f>
        <v>상담신청</v>
      </c>
      <c r="F57" s="6" t="str">
        <f ca="1">IFERROR(__xludf.DUMMYFUNCTION("""COMPUTED_VALUE"""),"배너")</f>
        <v>배너</v>
      </c>
      <c r="G57" s="7" t="str">
        <f ca="1">IFERROR(__xludf.DUMMYFUNCTION("""COMPUTED_VALUE"""),"https://newstart-law.com/?inType=NIM001&amp;NaPm=ci=65uci_WZTVSD-xPpVwjiqkMg|tr=gfa|ct=mq0p8pz6|hk=8e7b7d2b282f4a911c59065ed362e6792318c3ff|nacn=Fi3FB0AB775fB")</f>
        <v>https://newstart-law.com/?inType=NIM001&amp;NaPm=ci=65uci_WZTVSD-xPpVwjiqkMg|tr=gfa|ct=mq0p8pz6|hk=8e7b7d2b282f4a911c59065ed362e6792318c3ff|nacn=Fi3FB0AB775fB</v>
      </c>
      <c r="H57" s="6" t="str">
        <f ca="1">IFERROR(__xludf.DUMMYFUNCTION("""COMPUTED_VALUE"""),"NIM001")</f>
        <v>NIM001</v>
      </c>
      <c r="I57" s="6" t="str">
        <f ca="1">IFERROR(__xludf.DUMMYFUNCTION("""COMPUTED_VALUE"""),"")</f>
        <v/>
      </c>
      <c r="J57" s="6" t="str">
        <f ca="1">IFERROR(__xludf.DUMMYFUNCTION("""COMPUTED_VALUE"""),"모바일 하단 상담폼")</f>
        <v>모바일 하단 상담폼</v>
      </c>
    </row>
    <row r="58" spans="1:10" x14ac:dyDescent="0.2">
      <c r="A58" s="6">
        <f ca="1">IFERROR(__xludf.DUMMYFUNCTION("""COMPUTED_VALUE"""),57)</f>
        <v>57</v>
      </c>
      <c r="B58" s="6">
        <f ca="1">IFERROR(__xludf.DUMMYFUNCTION("""COMPUTED_VALUE"""),46178.7661921296)</f>
        <v>46178.766192129602</v>
      </c>
      <c r="C58" s="6" t="str">
        <f ca="1">IFERROR(__xludf.DUMMYFUNCTION("""COMPUTED_VALUE"""),"211.234.205.127")</f>
        <v>211.234.205.127</v>
      </c>
      <c r="D58" s="6" t="str">
        <f ca="1">IFERROR(__xludf.DUMMYFUNCTION("""COMPUTED_VALUE"""),"전화")</f>
        <v>전화</v>
      </c>
      <c r="E58" s="6" t="str">
        <f ca="1">IFERROR(__xludf.DUMMYFUNCTION("""COMPUTED_VALUE"""),"전화")</f>
        <v>전화</v>
      </c>
      <c r="F58" s="6" t="str">
        <f ca="1">IFERROR(__xludf.DUMMYFUNCTION("""COMPUTED_VALUE"""),"배너")</f>
        <v>배너</v>
      </c>
      <c r="G58" s="7" t="str">
        <f ca="1">IFERROR(__xludf.DUMMYFUNCTION("""COMPUTED_VALUE"""),"http://newstart-law.com/?inType=nim003&amp;NaPm=ci=65SLvhZs-XRomDVEVDz56Qmw|tr=gfa|ct=mq0b24p2|hk=1f87694b432a760816d86e213762b930c92c29b1|nacn=ujOBB0A2hPr5")</f>
        <v>http://newstart-law.com/?inType=nim003&amp;NaPm=ci=65SLvhZs-XRomDVEVDz56Qmw|tr=gfa|ct=mq0b24p2|hk=1f87694b432a760816d86e213762b930c92c29b1|nacn=ujOBB0A2hPr5</v>
      </c>
      <c r="H58" s="6" t="str">
        <f ca="1">IFERROR(__xludf.DUMMYFUNCTION("""COMPUTED_VALUE"""),"nim003")</f>
        <v>nim003</v>
      </c>
      <c r="I58" s="6" t="str">
        <f ca="1">IFERROR(__xludf.DUMMYFUNCTION("""COMPUTED_VALUE"""),"")</f>
        <v/>
      </c>
      <c r="J58" s="6" t="str">
        <f ca="1">IFERROR(__xludf.DUMMYFUNCTION("""COMPUTED_VALUE"""),"전화 문의")</f>
        <v>전화 문의</v>
      </c>
    </row>
    <row r="59" spans="1:10" x14ac:dyDescent="0.2">
      <c r="A59" s="6">
        <f ca="1">IFERROR(__xludf.DUMMYFUNCTION("""COMPUTED_VALUE"""),58)</f>
        <v>58</v>
      </c>
      <c r="B59" s="6">
        <f ca="1">IFERROR(__xludf.DUMMYFUNCTION("""COMPUTED_VALUE"""),46178.8806944444)</f>
        <v>46178.8806944444</v>
      </c>
      <c r="C59" s="6" t="str">
        <f ca="1">IFERROR(__xludf.DUMMYFUNCTION("""COMPUTED_VALUE"""),"전진주")</f>
        <v>전진주</v>
      </c>
      <c r="D59" s="6">
        <f ca="1">IFERROR(__xludf.DUMMYFUNCTION("""COMPUTED_VALUE"""),1083169617)</f>
        <v>1083169617</v>
      </c>
      <c r="E59" s="6" t="str">
        <f ca="1">IFERROR(__xludf.DUMMYFUNCTION("""COMPUTED_VALUE"""),"상담신청")</f>
        <v>상담신청</v>
      </c>
      <c r="F59" s="6" t="str">
        <f ca="1">IFERROR(__xludf.DUMMYFUNCTION("""COMPUTED_VALUE"""),"검색")</f>
        <v>검색</v>
      </c>
      <c r="G59" s="7" t="str">
        <f ca="1">IFERROR(__xludf.DUMMYFUNCTION("""COMPUTED_VALUE"""),"https://www.newstart-law.com/?inType=NK&amp;n_media=8753&amp;n_query=개인사업자개인회생&amp;n_rank=3&amp;n_ad_group=grp-a001-01-000000063439760&amp;n_ad=nad-a001-01-000000485213844&amp;n_keyword_id=nkw-a001-01-000008008707934&amp;n_keyword=개인사업자개인회생&amp;n_campaign_type=1&amp;n_ad_group_type=1&amp;n_matc"&amp;"h=1&amp;NaPm=ct=mq0vqimg|ci=ER23e0b539-60d7-11f1-b0bf-0eb0cfea6841|tr=sa|hk=d6b2cd0")</f>
        <v>https://www.newstart-law.com/?inType=NK&amp;n_media=8753&amp;n_query=개인사업자개인회생&amp;n_rank=3&amp;n_ad_group=grp-a001-01-000000063439760&amp;n_ad=nad-a001-01-000000485213844&amp;n_keyword_id=nkw-a001-01-000008008707934&amp;n_keyword=개인사업자개인회생&amp;n_campaign_type=1&amp;n_ad_group_type=1&amp;n_match=1&amp;NaPm=ct=mq0vqimg|ci=ER23e0b539-60d7-11f1-b0bf-0eb0cfea6841|tr=sa|hk=d6b2cd0</v>
      </c>
      <c r="H59" s="6" t="str">
        <f ca="1">IFERROR(__xludf.DUMMYFUNCTION("""COMPUTED_VALUE"""),"NK")</f>
        <v>NK</v>
      </c>
      <c r="I59" s="6" t="str">
        <f ca="1">IFERROR(__xludf.DUMMYFUNCTION("""COMPUTED_VALUE"""),"개인사업자개인회생")</f>
        <v>개인사업자개인회생</v>
      </c>
      <c r="J59" s="6" t="str">
        <f ca="1">IFERROR(__xludf.DUMMYFUNCTION("""COMPUTED_VALUE"""),"AI 진단")</f>
        <v>AI 진단</v>
      </c>
    </row>
    <row r="60" spans="1:10" x14ac:dyDescent="0.2">
      <c r="A60" s="6">
        <f ca="1">IFERROR(__xludf.DUMMYFUNCTION("""COMPUTED_VALUE"""),59)</f>
        <v>59</v>
      </c>
      <c r="B60" s="6">
        <f ca="1">IFERROR(__xludf.DUMMYFUNCTION("""COMPUTED_VALUE"""),46181.3851504629)</f>
        <v>46181.385150462898</v>
      </c>
      <c r="C60" s="6" t="str">
        <f ca="1">IFERROR(__xludf.DUMMYFUNCTION("""COMPUTED_VALUE"""),"김원정")</f>
        <v>김원정</v>
      </c>
      <c r="D60" s="6">
        <f ca="1">IFERROR(__xludf.DUMMYFUNCTION("""COMPUTED_VALUE"""),1055593157)</f>
        <v>1055593157</v>
      </c>
      <c r="E60" s="6" t="str">
        <f ca="1">IFERROR(__xludf.DUMMYFUNCTION("""COMPUTED_VALUE"""),"상담신청")</f>
        <v>상담신청</v>
      </c>
      <c r="F60" s="6" t="str">
        <f ca="1">IFERROR(__xludf.DUMMYFUNCTION("""COMPUTED_VALUE"""),"배너")</f>
        <v>배너</v>
      </c>
      <c r="G60" s="7" t="str">
        <f ca="1">IFERROR(__xludf.DUMMYFUNCTION("""COMPUTED_VALUE"""),"https://newstart-law.com/?inType=NIP002&amp;NaPm=ci=689X1FKPh8Qt-IkuhVRcQPjg|tr=gfa|ct=mq4gabkz|hk=3b20abd5d2f8608ca34ef44369a9433ea62283e8|nacn=fPTTCICi05ypA")</f>
        <v>https://newstart-law.com/?inType=NIP002&amp;NaPm=ci=689X1FKPh8Qt-IkuhVRcQPjg|tr=gfa|ct=mq4gabkz|hk=3b20abd5d2f8608ca34ef44369a9433ea62283e8|nacn=fPTTCICi05ypA</v>
      </c>
      <c r="H60" s="6" t="str">
        <f ca="1">IFERROR(__xludf.DUMMYFUNCTION("""COMPUTED_VALUE"""),"NIP002")</f>
        <v>NIP002</v>
      </c>
      <c r="I60" s="6" t="str">
        <f ca="1">IFERROR(__xludf.DUMMYFUNCTION("""COMPUTED_VALUE"""),"")</f>
        <v/>
      </c>
      <c r="J60" s="6" t="str">
        <f ca="1">IFERROR(__xludf.DUMMYFUNCTION("""COMPUTED_VALUE"""),"메인 상단 상담폼")</f>
        <v>메인 상단 상담폼</v>
      </c>
    </row>
    <row r="61" spans="1:10" x14ac:dyDescent="0.2">
      <c r="A61" s="6">
        <f ca="1">IFERROR(__xludf.DUMMYFUNCTION("""COMPUTED_VALUE"""),60)</f>
        <v>60</v>
      </c>
      <c r="B61" s="6">
        <f ca="1">IFERROR(__xludf.DUMMYFUNCTION("""COMPUTED_VALUE"""),46181.4274652777)</f>
        <v>46181.427465277702</v>
      </c>
      <c r="C61" s="6" t="str">
        <f ca="1">IFERROR(__xludf.DUMMYFUNCTION("""COMPUTED_VALUE"""),"조경영")</f>
        <v>조경영</v>
      </c>
      <c r="D61" s="6">
        <f ca="1">IFERROR(__xludf.DUMMYFUNCTION("""COMPUTED_VALUE"""),1091384257)</f>
        <v>1091384257</v>
      </c>
      <c r="E61" s="6" t="str">
        <f ca="1">IFERROR(__xludf.DUMMYFUNCTION("""COMPUTED_VALUE"""),"상담신청")</f>
        <v>상담신청</v>
      </c>
      <c r="F61" s="6" t="str">
        <f ca="1">IFERROR(__xludf.DUMMYFUNCTION("""COMPUTED_VALUE"""),"배너")</f>
        <v>배너</v>
      </c>
      <c r="G61" s="7" t="str">
        <f ca="1">IFERROR(__xludf.DUMMYFUNCTION("""COMPUTED_VALUE"""),"http://newstart-law.com/?inType=nim_sq02&amp;NaPm=ci=68JTd77SgjQaSclobrrl3C1w|tr=gfa|ct=mq4iq78d|hk=85b555b559d0211315cc12253269cd235599f20e|nacn=j8f4CoBRw9C0A")</f>
        <v>http://newstart-law.com/?inType=nim_sq02&amp;NaPm=ci=68JTd77SgjQaSclobrrl3C1w|tr=gfa|ct=mq4iq78d|hk=85b555b559d0211315cc12253269cd235599f20e|nacn=j8f4CoBRw9C0A</v>
      </c>
      <c r="H61" s="6" t="str">
        <f ca="1">IFERROR(__xludf.DUMMYFUNCTION("""COMPUTED_VALUE"""),"nim_sq02")</f>
        <v>nim_sq02</v>
      </c>
      <c r="I61" s="6" t="str">
        <f ca="1">IFERROR(__xludf.DUMMYFUNCTION("""COMPUTED_VALUE"""),"")</f>
        <v/>
      </c>
      <c r="J61" s="6" t="str">
        <f ca="1">IFERROR(__xludf.DUMMYFUNCTION("""COMPUTED_VALUE"""),"AI 진단")</f>
        <v>AI 진단</v>
      </c>
    </row>
    <row r="62" spans="1:10" x14ac:dyDescent="0.2">
      <c r="A62" s="6">
        <f ca="1">IFERROR(__xludf.DUMMYFUNCTION("""COMPUTED_VALUE"""),61)</f>
        <v>61</v>
      </c>
      <c r="B62" s="6">
        <f ca="1">IFERROR(__xludf.DUMMYFUNCTION("""COMPUTED_VALUE"""),46181.465474537)</f>
        <v>46181.465474536999</v>
      </c>
      <c r="C62" s="6" t="str">
        <f ca="1">IFERROR(__xludf.DUMMYFUNCTION("""COMPUTED_VALUE"""),"211.234.199.206")</f>
        <v>211.234.199.206</v>
      </c>
      <c r="D62" s="6" t="str">
        <f ca="1">IFERROR(__xludf.DUMMYFUNCTION("""COMPUTED_VALUE"""),"카카오")</f>
        <v>카카오</v>
      </c>
      <c r="E62" s="6" t="str">
        <f ca="1">IFERROR(__xludf.DUMMYFUNCTION("""COMPUTED_VALUE"""),"카카오톡")</f>
        <v>카카오톡</v>
      </c>
      <c r="F62" s="6" t="str">
        <f ca="1">IFERROR(__xludf.DUMMYFUNCTION("""COMPUTED_VALUE"""),"검색")</f>
        <v>검색</v>
      </c>
      <c r="G62" s="7" t="str">
        <f ca="1">IFERROR(__xludf.DUMMYFUNCTION("""COMPUTED_VALUE"""),"https://www.newstart-law.com/?inType=NK&amp;n_media=8753&amp;n_query=%EA%B0%9C%EC%9D%B8%ED%8C%8C%EC%82%B0%EB%B3%80%ED%98%B8%EC%82%AC&amp;n_rank=10&amp;n_ad_group=grp-a001-01-000000063065674&amp;n_ad=nad-a001-01-000000495460351&amp;n_keyword_id=nkw-a001-01-000007951811273&amp;n_keywo"&amp;"rd=%EA%B0%9C%EC%9D%B8%ED%8C%8C%EC%82%B0%EB%B3%80%ED%98%B8%EC%82%AC&amp;n_campaign_type=1&amp;n_ad_group_type=1&amp;n_match=1&amp;NaPm=ct%3Dmq4knm49%7Cci%3DERf153aab4%2D62de%2D11f1%2Db7d7%2De6ec96a37452%7Ctr%3Dsa%7Chk%3D3e4a2c3be9ef6b8063336f6bd8bdda9c576f0e01%7")</f>
        <v>https://www.newstart-law.com/?inType=NK&amp;n_media=8753&amp;n_query=%EA%B0%9C%EC%9D%B8%ED%8C%8C%EC%82%B0%EB%B3%80%ED%98%B8%EC%82%AC&amp;n_rank=10&amp;n_ad_group=grp-a001-01-000000063065674&amp;n_ad=nad-a001-01-000000495460351&amp;n_keyword_id=nkw-a001-01-000007951811273&amp;n_keyword=%EA%B0%9C%EC%9D%B8%ED%8C%8C%EC%82%B0%EB%B3%80%ED%98%B8%EC%82%AC&amp;n_campaign_type=1&amp;n_ad_group_type=1&amp;n_match=1&amp;NaPm=ct%3Dmq4knm49%7Cci%3DERf153aab4%2D62de%2D11f1%2Db7d7%2De6ec96a37452%7Ctr%3Dsa%7Chk%3D3e4a2c3be9ef6b8063336f6bd8bdda9c576f0e01%7</v>
      </c>
      <c r="H62" s="6" t="str">
        <f ca="1">IFERROR(__xludf.DUMMYFUNCTION("""COMPUTED_VALUE"""),"NK")</f>
        <v>NK</v>
      </c>
      <c r="I62" s="6" t="str">
        <f ca="1">IFERROR(__xludf.DUMMYFUNCTION("""COMPUTED_VALUE"""),"%EA%B0%9C%EC%9D%B8%ED%8C%8C%EC%82%B0%EB%B3%80%ED%98%B8%EC%82%AC")</f>
        <v>%EA%B0%9C%EC%9D%B8%ED%8C%8C%EC%82%B0%EB%B3%80%ED%98%B8%EC%82%AC</v>
      </c>
      <c r="J62" s="6" t="str">
        <f ca="1">IFERROR(__xludf.DUMMYFUNCTION("""COMPUTED_VALUE"""),"카카오톡")</f>
        <v>카카오톡</v>
      </c>
    </row>
    <row r="63" spans="1:10" x14ac:dyDescent="0.2">
      <c r="A63" s="6">
        <f ca="1">IFERROR(__xludf.DUMMYFUNCTION("""COMPUTED_VALUE"""),62)</f>
        <v>62</v>
      </c>
      <c r="B63" s="6">
        <f ca="1">IFERROR(__xludf.DUMMYFUNCTION("""COMPUTED_VALUE"""),46181.4728125)</f>
        <v>46181.472812499997</v>
      </c>
      <c r="C63" s="6" t="str">
        <f ca="1">IFERROR(__xludf.DUMMYFUNCTION("""COMPUTED_VALUE"""),"118.235.82.200")</f>
        <v>118.235.82.200</v>
      </c>
      <c r="D63" s="6" t="str">
        <f ca="1">IFERROR(__xludf.DUMMYFUNCTION("""COMPUTED_VALUE"""),"네이버예약")</f>
        <v>네이버예약</v>
      </c>
      <c r="E63" s="6" t="str">
        <f ca="1">IFERROR(__xludf.DUMMYFUNCTION("""COMPUTED_VALUE"""),"네이버예약")</f>
        <v>네이버예약</v>
      </c>
      <c r="F63" s="6" t="str">
        <f ca="1">IFERROR(__xludf.DUMMYFUNCTION("""COMPUTED_VALUE"""),"배너")</f>
        <v>배너</v>
      </c>
      <c r="G63" s="7" t="str">
        <f ca="1">IFERROR(__xludf.DUMMYFUNCTION("""COMPUTED_VALUE"""),"http://newstart-law.com/?inType=nim003&amp;NaPm=ci=681-7nIUDJRnWsXpQs2bgLWQ|tr=gfa|ct=mq4l3c1f|hk=1c378bd7b8cd9b52ef9e4019112942e22bf9a13f|nacn=iISuBQAFcDmK")</f>
        <v>http://newstart-law.com/?inType=nim003&amp;NaPm=ci=681-7nIUDJRnWsXpQs2bgLWQ|tr=gfa|ct=mq4l3c1f|hk=1c378bd7b8cd9b52ef9e4019112942e22bf9a13f|nacn=iISuBQAFcDmK</v>
      </c>
      <c r="H63" s="6" t="str">
        <f ca="1">IFERROR(__xludf.DUMMYFUNCTION("""COMPUTED_VALUE"""),"nim003")</f>
        <v>nim003</v>
      </c>
      <c r="I63" s="6" t="str">
        <f ca="1">IFERROR(__xludf.DUMMYFUNCTION("""COMPUTED_VALUE"""),"")</f>
        <v/>
      </c>
      <c r="J63" s="6" t="str">
        <f ca="1">IFERROR(__xludf.DUMMYFUNCTION("""COMPUTED_VALUE"""),"네이버 예약")</f>
        <v>네이버 예약</v>
      </c>
    </row>
    <row r="64" spans="1:10" x14ac:dyDescent="0.2">
      <c r="A64" s="6">
        <f ca="1">IFERROR(__xludf.DUMMYFUNCTION("""COMPUTED_VALUE"""),63)</f>
        <v>63</v>
      </c>
      <c r="B64" s="6">
        <f ca="1">IFERROR(__xludf.DUMMYFUNCTION("""COMPUTED_VALUE"""),46181.4751736111)</f>
        <v>46181.475173611099</v>
      </c>
      <c r="C64" s="6" t="str">
        <f ca="1">IFERROR(__xludf.DUMMYFUNCTION("""COMPUTED_VALUE"""),"211.235.74.65")</f>
        <v>211.235.74.65</v>
      </c>
      <c r="D64" s="6" t="str">
        <f ca="1">IFERROR(__xludf.DUMMYFUNCTION("""COMPUTED_VALUE"""),"카카오")</f>
        <v>카카오</v>
      </c>
      <c r="E64" s="6" t="str">
        <f ca="1">IFERROR(__xludf.DUMMYFUNCTION("""COMPUTED_VALUE"""),"카카오톡")</f>
        <v>카카오톡</v>
      </c>
      <c r="F64" s="6" t="str">
        <f ca="1">IFERROR(__xludf.DUMMYFUNCTION("""COMPUTED_VALUE"""),"배너")</f>
        <v>배너</v>
      </c>
      <c r="G64" s="7" t="str">
        <f ca="1">IFERROR(__xludf.DUMMYFUNCTION("""COMPUTED_VALUE"""),"http://newstart-law.com/?inType=nim003&amp;NaPm=ci=68o9h7fiK9TVCuPciv22TM3Q|tr=gfa|ct=mq4l6ufb|hk=808418c1f45c967334b960c384b74c08a0c34c12|nacn=xhq0BkQHevT1B")</f>
        <v>http://newstart-law.com/?inType=nim003&amp;NaPm=ci=68o9h7fiK9TVCuPciv22TM3Q|tr=gfa|ct=mq4l6ufb|hk=808418c1f45c967334b960c384b74c08a0c34c12|nacn=xhq0BkQHevT1B</v>
      </c>
      <c r="H64" s="6" t="str">
        <f ca="1">IFERROR(__xludf.DUMMYFUNCTION("""COMPUTED_VALUE"""),"nim003")</f>
        <v>nim003</v>
      </c>
      <c r="I64" s="6" t="str">
        <f ca="1">IFERROR(__xludf.DUMMYFUNCTION("""COMPUTED_VALUE"""),"")</f>
        <v/>
      </c>
      <c r="J64" s="6" t="str">
        <f ca="1">IFERROR(__xludf.DUMMYFUNCTION("""COMPUTED_VALUE"""),"카카오톡")</f>
        <v>카카오톡</v>
      </c>
    </row>
    <row r="65" spans="1:10" x14ac:dyDescent="0.2">
      <c r="A65" s="6">
        <f ca="1">IFERROR(__xludf.DUMMYFUNCTION("""COMPUTED_VALUE"""),64)</f>
        <v>64</v>
      </c>
      <c r="B65" s="6">
        <f ca="1">IFERROR(__xludf.DUMMYFUNCTION("""COMPUTED_VALUE"""),46181.4823032407)</f>
        <v>46181.4823032407</v>
      </c>
      <c r="C65" s="6" t="str">
        <f ca="1">IFERROR(__xludf.DUMMYFUNCTION("""COMPUTED_VALUE"""),"홍길열")</f>
        <v>홍길열</v>
      </c>
      <c r="D65" s="6">
        <f ca="1">IFERROR(__xludf.DUMMYFUNCTION("""COMPUTED_VALUE"""),1075059944)</f>
        <v>1075059944</v>
      </c>
      <c r="E65" s="6" t="str">
        <f ca="1">IFERROR(__xludf.DUMMYFUNCTION("""COMPUTED_VALUE"""),"상담신청")</f>
        <v>상담신청</v>
      </c>
      <c r="F65" s="6" t="str">
        <f ca="1">IFERROR(__xludf.DUMMYFUNCTION("""COMPUTED_VALUE"""),"배너")</f>
        <v>배너</v>
      </c>
      <c r="G65" s="7" t="str">
        <f ca="1">IFERROR(__xludf.DUMMYFUNCTION("""COMPUTED_VALUE"""),"http://newstart-law.com/?inType=nim003&amp;NaPm=ci=68mQVycyfFTXahIhnjDN0grg|tr=gfa|ct=mq4ljrh6|hk=5d75c0a3975b9937cfc963ec3a1f2a7d4cf1cee8|nacn=TvXpBoAOzlevA")</f>
        <v>http://newstart-law.com/?inType=nim003&amp;NaPm=ci=68mQVycyfFTXahIhnjDN0grg|tr=gfa|ct=mq4ljrh6|hk=5d75c0a3975b9937cfc963ec3a1f2a7d4cf1cee8|nacn=TvXpBoAOzlevA</v>
      </c>
      <c r="H65" s="6" t="str">
        <f ca="1">IFERROR(__xludf.DUMMYFUNCTION("""COMPUTED_VALUE"""),"nim003")</f>
        <v>nim003</v>
      </c>
      <c r="I65" s="6" t="str">
        <f ca="1">IFERROR(__xludf.DUMMYFUNCTION("""COMPUTED_VALUE"""),"")</f>
        <v/>
      </c>
      <c r="J65" s="6" t="str">
        <f ca="1">IFERROR(__xludf.DUMMYFUNCTION("""COMPUTED_VALUE"""),"모바일 하단 상담폼")</f>
        <v>모바일 하단 상담폼</v>
      </c>
    </row>
    <row r="66" spans="1:10" x14ac:dyDescent="0.2">
      <c r="A66" s="6">
        <f ca="1">IFERROR(__xludf.DUMMYFUNCTION("""COMPUTED_VALUE"""),65)</f>
        <v>65</v>
      </c>
      <c r="B66" s="6">
        <f ca="1">IFERROR(__xludf.DUMMYFUNCTION("""COMPUTED_VALUE"""),46181.5791087962)</f>
        <v>46181.579108796199</v>
      </c>
      <c r="C66" s="6" t="str">
        <f ca="1">IFERROR(__xludf.DUMMYFUNCTION("""COMPUTED_VALUE"""),"1.224.135.207")</f>
        <v>1.224.135.207</v>
      </c>
      <c r="D66" s="6" t="str">
        <f ca="1">IFERROR(__xludf.DUMMYFUNCTION("""COMPUTED_VALUE"""),"전화")</f>
        <v>전화</v>
      </c>
      <c r="E66" s="6" t="str">
        <f ca="1">IFERROR(__xludf.DUMMYFUNCTION("""COMPUTED_VALUE"""),"전화")</f>
        <v>전화</v>
      </c>
      <c r="F66" s="6" t="str">
        <f ca="1">IFERROR(__xludf.DUMMYFUNCTION("""COMPUTED_VALUE"""),"배너")</f>
        <v>배너</v>
      </c>
      <c r="G66" s="7" t="str">
        <f ca="1">IFERROR(__xludf.DUMMYFUNCTION("""COMPUTED_VALUE"""),"http://newstart-law.com/?inType=nim003&amp;NaPm=ci=68yhYwTeZ1Q7Ka6QrltKn8gg|tr=gfa|ct=mq4qjadx|hk=c766f91aa20786be3b6fef71790730baae7df7cd|nacn=3gQGBAxHOCY7")</f>
        <v>http://newstart-law.com/?inType=nim003&amp;NaPm=ci=68yhYwTeZ1Q7Ka6QrltKn8gg|tr=gfa|ct=mq4qjadx|hk=c766f91aa20786be3b6fef71790730baae7df7cd|nacn=3gQGBAxHOCY7</v>
      </c>
      <c r="H66" s="6" t="str">
        <f ca="1">IFERROR(__xludf.DUMMYFUNCTION("""COMPUTED_VALUE"""),"nim003")</f>
        <v>nim003</v>
      </c>
      <c r="I66" s="6" t="str">
        <f ca="1">IFERROR(__xludf.DUMMYFUNCTION("""COMPUTED_VALUE"""),"")</f>
        <v/>
      </c>
      <c r="J66" s="6" t="str">
        <f ca="1">IFERROR(__xludf.DUMMYFUNCTION("""COMPUTED_VALUE"""),"전화 문의")</f>
        <v>전화 문의</v>
      </c>
    </row>
    <row r="67" spans="1:10" x14ac:dyDescent="0.2">
      <c r="A67" s="6">
        <f ca="1">IFERROR(__xludf.DUMMYFUNCTION("""COMPUTED_VALUE"""),66)</f>
        <v>66</v>
      </c>
      <c r="B67" s="6">
        <f ca="1">IFERROR(__xludf.DUMMYFUNCTION("""COMPUTED_VALUE"""),46181.5792361111)</f>
        <v>46181.579236111102</v>
      </c>
      <c r="C67" s="6" t="str">
        <f ca="1">IFERROR(__xludf.DUMMYFUNCTION("""COMPUTED_VALUE"""),"1.224.135.207")</f>
        <v>1.224.135.207</v>
      </c>
      <c r="D67" s="6" t="str">
        <f ca="1">IFERROR(__xludf.DUMMYFUNCTION("""COMPUTED_VALUE"""),"전화")</f>
        <v>전화</v>
      </c>
      <c r="E67" s="6" t="str">
        <f ca="1">IFERROR(__xludf.DUMMYFUNCTION("""COMPUTED_VALUE"""),"전화")</f>
        <v>전화</v>
      </c>
      <c r="F67" s="6" t="str">
        <f ca="1">IFERROR(__xludf.DUMMYFUNCTION("""COMPUTED_VALUE"""),"배너")</f>
        <v>배너</v>
      </c>
      <c r="G67" s="7" t="str">
        <f ca="1">IFERROR(__xludf.DUMMYFUNCTION("""COMPUTED_VALUE"""),"http://newstart-law.com/?inType=nim003&amp;NaPm=ci=68yhYwTeZ1Q7Ka6QrltKn8gg|tr=gfa|ct=mq4qjadx|hk=c766f91aa20786be3b6fef71790730baae7df7cd|nacn=3gQGBAxHOCY7")</f>
        <v>http://newstart-law.com/?inType=nim003&amp;NaPm=ci=68yhYwTeZ1Q7Ka6QrltKn8gg|tr=gfa|ct=mq4qjadx|hk=c766f91aa20786be3b6fef71790730baae7df7cd|nacn=3gQGBAxHOCY7</v>
      </c>
      <c r="H67" s="6" t="str">
        <f ca="1">IFERROR(__xludf.DUMMYFUNCTION("""COMPUTED_VALUE"""),"nim003")</f>
        <v>nim003</v>
      </c>
      <c r="I67" s="6" t="str">
        <f ca="1">IFERROR(__xludf.DUMMYFUNCTION("""COMPUTED_VALUE"""),"")</f>
        <v/>
      </c>
      <c r="J67" s="6" t="str">
        <f ca="1">IFERROR(__xludf.DUMMYFUNCTION("""COMPUTED_VALUE"""),"전화 문의")</f>
        <v>전화 문의</v>
      </c>
    </row>
    <row r="68" spans="1:10" x14ac:dyDescent="0.2">
      <c r="A68" s="6">
        <f ca="1">IFERROR(__xludf.DUMMYFUNCTION("""COMPUTED_VALUE"""),67)</f>
        <v>67</v>
      </c>
      <c r="B68" s="6">
        <f ca="1">IFERROR(__xludf.DUMMYFUNCTION("""COMPUTED_VALUE"""),46181.5957754629)</f>
        <v>46181.595775462898</v>
      </c>
      <c r="C68" s="6" t="str">
        <f ca="1">IFERROR(__xludf.DUMMYFUNCTION("""COMPUTED_VALUE"""),"211.234.227.211")</f>
        <v>211.234.227.211</v>
      </c>
      <c r="D68" s="6" t="str">
        <f ca="1">IFERROR(__xludf.DUMMYFUNCTION("""COMPUTED_VALUE"""),"네이버예약")</f>
        <v>네이버예약</v>
      </c>
      <c r="E68" s="6" t="str">
        <f ca="1">IFERROR(__xludf.DUMMYFUNCTION("""COMPUTED_VALUE"""),"네이버예약")</f>
        <v>네이버예약</v>
      </c>
      <c r="F68" s="6" t="str">
        <f ca="1">IFERROR(__xludf.DUMMYFUNCTION("""COMPUTED_VALUE"""),"배너")</f>
        <v>배너</v>
      </c>
      <c r="G68" s="7" t="str">
        <f ca="1">IFERROR(__xludf.DUMMYFUNCTION("""COMPUTED_VALUE"""),"http://newstart-law.com/?inType=NIM001&amp;NaPm=ci=68NI7G_4kqQpipRxZEMPF4Uw|tr=gfa|ct=mq4q2gq9|hk=4f56d9aa009f3eefefb50e7d22582c4db631ff71|nacn=tJxhBgALQMiA")</f>
        <v>http://newstart-law.com/?inType=NIM001&amp;NaPm=ci=68NI7G_4kqQpipRxZEMPF4Uw|tr=gfa|ct=mq4q2gq9|hk=4f56d9aa009f3eefefb50e7d22582c4db631ff71|nacn=tJxhBgALQMiA</v>
      </c>
      <c r="H68" s="6" t="str">
        <f ca="1">IFERROR(__xludf.DUMMYFUNCTION("""COMPUTED_VALUE"""),"NIM001")</f>
        <v>NIM001</v>
      </c>
      <c r="I68" s="6" t="str">
        <f ca="1">IFERROR(__xludf.DUMMYFUNCTION("""COMPUTED_VALUE"""),"")</f>
        <v/>
      </c>
      <c r="J68" s="6" t="str">
        <f ca="1">IFERROR(__xludf.DUMMYFUNCTION("""COMPUTED_VALUE"""),"네이버 예약")</f>
        <v>네이버 예약</v>
      </c>
    </row>
    <row r="69" spans="1:10" x14ac:dyDescent="0.2">
      <c r="A69" s="6">
        <f ca="1">IFERROR(__xludf.DUMMYFUNCTION("""COMPUTED_VALUE"""),68)</f>
        <v>68</v>
      </c>
      <c r="B69" s="6">
        <f ca="1">IFERROR(__xludf.DUMMYFUNCTION("""COMPUTED_VALUE"""),46181.6175810185)</f>
        <v>46181.617581018501</v>
      </c>
      <c r="C69" s="6" t="str">
        <f ca="1">IFERROR(__xludf.DUMMYFUNCTION("""COMPUTED_VALUE"""),"211.234.201.185")</f>
        <v>211.234.201.185</v>
      </c>
      <c r="D69" s="6" t="str">
        <f ca="1">IFERROR(__xludf.DUMMYFUNCTION("""COMPUTED_VALUE"""),"네이버예약")</f>
        <v>네이버예약</v>
      </c>
      <c r="E69" s="6" t="str">
        <f ca="1">IFERROR(__xludf.DUMMYFUNCTION("""COMPUTED_VALUE"""),"네이버예약")</f>
        <v>네이버예약</v>
      </c>
      <c r="F69" s="6" t="str">
        <f ca="1">IFERROR(__xludf.DUMMYFUNCTION("""COMPUTED_VALUE"""),"배너")</f>
        <v>배너</v>
      </c>
      <c r="G69" s="7" t="str">
        <f ca="1">IFERROR(__xludf.DUMMYFUNCTION("""COMPUTED_VALUE"""),"http://newstart-law.com/?inType=nim003&amp;NaPm=ci=68TITNvvuTRH2U89je91FScg|tr=gfa|ct=mq4sagds|hk=d7b5ee3fc1e54a390f6dfbd1fe0a1b2cada5b3ac|nacn=oeeLFgDqMuDRC")</f>
        <v>http://newstart-law.com/?inType=nim003&amp;NaPm=ci=68TITNvvuTRH2U89je91FScg|tr=gfa|ct=mq4sagds|hk=d7b5ee3fc1e54a390f6dfbd1fe0a1b2cada5b3ac|nacn=oeeLFgDqMuDRC</v>
      </c>
      <c r="H69" s="6" t="str">
        <f ca="1">IFERROR(__xludf.DUMMYFUNCTION("""COMPUTED_VALUE"""),"nim003")</f>
        <v>nim003</v>
      </c>
      <c r="I69" s="6" t="str">
        <f ca="1">IFERROR(__xludf.DUMMYFUNCTION("""COMPUTED_VALUE"""),"")</f>
        <v/>
      </c>
      <c r="J69" s="6" t="str">
        <f ca="1">IFERROR(__xludf.DUMMYFUNCTION("""COMPUTED_VALUE"""),"네이버 예약")</f>
        <v>네이버 예약</v>
      </c>
    </row>
    <row r="70" spans="1:10" x14ac:dyDescent="0.2">
      <c r="A70" s="6">
        <f ca="1">IFERROR(__xludf.DUMMYFUNCTION("""COMPUTED_VALUE"""),69)</f>
        <v>69</v>
      </c>
      <c r="B70" s="6">
        <f ca="1">IFERROR(__xludf.DUMMYFUNCTION("""COMPUTED_VALUE"""),46181.6770138888)</f>
        <v>46181.677013888802</v>
      </c>
      <c r="C70" s="6" t="str">
        <f ca="1">IFERROR(__xludf.DUMMYFUNCTION("""COMPUTED_VALUE"""),"118.218.42.22")</f>
        <v>118.218.42.22</v>
      </c>
      <c r="D70" s="6" t="str">
        <f ca="1">IFERROR(__xludf.DUMMYFUNCTION("""COMPUTED_VALUE"""),"네이버예약")</f>
        <v>네이버예약</v>
      </c>
      <c r="E70" s="6" t="str">
        <f ca="1">IFERROR(__xludf.DUMMYFUNCTION("""COMPUTED_VALUE"""),"네이버예약")</f>
        <v>네이버예약</v>
      </c>
      <c r="F70" s="6" t="str">
        <f ca="1">IFERROR(__xludf.DUMMYFUNCTION("""COMPUTED_VALUE"""),"유입확인불가")</f>
        <v>유입확인불가</v>
      </c>
      <c r="G70" s="7" t="str">
        <f ca="1">IFERROR(__xludf.DUMMYFUNCTION("""COMPUTED_VALUE"""),"https://newstart-law.com/")</f>
        <v>https://newstart-law.com/</v>
      </c>
      <c r="H70" s="6" t="str">
        <f ca="1">IFERROR(__xludf.DUMMYFUNCTION("""COMPUTED_VALUE"""),"")</f>
        <v/>
      </c>
      <c r="I70" s="6" t="str">
        <f ca="1">IFERROR(__xludf.DUMMYFUNCTION("""COMPUTED_VALUE"""),"")</f>
        <v/>
      </c>
      <c r="J70" s="6" t="str">
        <f ca="1">IFERROR(__xludf.DUMMYFUNCTION("""COMPUTED_VALUE"""),"네이버 예약")</f>
        <v>네이버 예약</v>
      </c>
    </row>
    <row r="71" spans="1:10" x14ac:dyDescent="0.2">
      <c r="A71" s="6">
        <f ca="1">IFERROR(__xludf.DUMMYFUNCTION("""COMPUTED_VALUE"""),70)</f>
        <v>70</v>
      </c>
      <c r="B71" s="6">
        <f ca="1">IFERROR(__xludf.DUMMYFUNCTION("""COMPUTED_VALUE"""),46181.6772569444)</f>
        <v>46181.6772569444</v>
      </c>
      <c r="C71" s="6" t="str">
        <f ca="1">IFERROR(__xludf.DUMMYFUNCTION("""COMPUTED_VALUE"""),"118.218.42.22")</f>
        <v>118.218.42.22</v>
      </c>
      <c r="D71" s="6" t="str">
        <f ca="1">IFERROR(__xludf.DUMMYFUNCTION("""COMPUTED_VALUE"""),"네이버예약")</f>
        <v>네이버예약</v>
      </c>
      <c r="E71" s="6" t="str">
        <f ca="1">IFERROR(__xludf.DUMMYFUNCTION("""COMPUTED_VALUE"""),"네이버예약")</f>
        <v>네이버예약</v>
      </c>
      <c r="F71" s="6" t="str">
        <f ca="1">IFERROR(__xludf.DUMMYFUNCTION("""COMPUTED_VALUE"""),"유입확인불가")</f>
        <v>유입확인불가</v>
      </c>
      <c r="G71" s="7" t="str">
        <f ca="1">IFERROR(__xludf.DUMMYFUNCTION("""COMPUTED_VALUE"""),"https://newstart-law.com/")</f>
        <v>https://newstart-law.com/</v>
      </c>
      <c r="H71" s="6" t="str">
        <f ca="1">IFERROR(__xludf.DUMMYFUNCTION("""COMPUTED_VALUE"""),"")</f>
        <v/>
      </c>
      <c r="I71" s="6" t="str">
        <f ca="1">IFERROR(__xludf.DUMMYFUNCTION("""COMPUTED_VALUE"""),"")</f>
        <v/>
      </c>
      <c r="J71" s="6" t="str">
        <f ca="1">IFERROR(__xludf.DUMMYFUNCTION("""COMPUTED_VALUE"""),"네이버 예약")</f>
        <v>네이버 예약</v>
      </c>
    </row>
    <row r="72" spans="1:10" x14ac:dyDescent="0.2">
      <c r="A72" s="6">
        <f ca="1">IFERROR(__xludf.DUMMYFUNCTION("""COMPUTED_VALUE"""),71)</f>
        <v>71</v>
      </c>
      <c r="B72" s="6">
        <f ca="1">IFERROR(__xludf.DUMMYFUNCTION("""COMPUTED_VALUE"""),46181.6775)</f>
        <v>46181.677499999998</v>
      </c>
      <c r="C72" s="6" t="str">
        <f ca="1">IFERROR(__xludf.DUMMYFUNCTION("""COMPUTED_VALUE"""),"118.218.42.22")</f>
        <v>118.218.42.22</v>
      </c>
      <c r="D72" s="6" t="str">
        <f ca="1">IFERROR(__xludf.DUMMYFUNCTION("""COMPUTED_VALUE"""),"네이버톡톡")</f>
        <v>네이버톡톡</v>
      </c>
      <c r="E72" s="6" t="str">
        <f ca="1">IFERROR(__xludf.DUMMYFUNCTION("""COMPUTED_VALUE"""),"네이버톡톡")</f>
        <v>네이버톡톡</v>
      </c>
      <c r="F72" s="6" t="str">
        <f ca="1">IFERROR(__xludf.DUMMYFUNCTION("""COMPUTED_VALUE"""),"유입확인불가")</f>
        <v>유입확인불가</v>
      </c>
      <c r="G72" s="7" t="str">
        <f ca="1">IFERROR(__xludf.DUMMYFUNCTION("""COMPUTED_VALUE"""),"https://newstart-law.com/")</f>
        <v>https://newstart-law.com/</v>
      </c>
      <c r="H72" s="6" t="str">
        <f ca="1">IFERROR(__xludf.DUMMYFUNCTION("""COMPUTED_VALUE"""),"")</f>
        <v/>
      </c>
      <c r="I72" s="6" t="str">
        <f ca="1">IFERROR(__xludf.DUMMYFUNCTION("""COMPUTED_VALUE"""),"")</f>
        <v/>
      </c>
      <c r="J72" s="6" t="str">
        <f ca="1">IFERROR(__xludf.DUMMYFUNCTION("""COMPUTED_VALUE"""),"네이버 톡톡")</f>
        <v>네이버 톡톡</v>
      </c>
    </row>
    <row r="73" spans="1:10" x14ac:dyDescent="0.2">
      <c r="A73" s="6">
        <f ca="1">IFERROR(__xludf.DUMMYFUNCTION("""COMPUTED_VALUE"""),72)</f>
        <v>72</v>
      </c>
      <c r="B73" s="6">
        <f ca="1">IFERROR(__xludf.DUMMYFUNCTION("""COMPUTED_VALUE"""),46181.6776157407)</f>
        <v>46181.6776157407</v>
      </c>
      <c r="C73" s="6" t="str">
        <f ca="1">IFERROR(__xludf.DUMMYFUNCTION("""COMPUTED_VALUE"""),"118.218.42.22")</f>
        <v>118.218.42.22</v>
      </c>
      <c r="D73" s="6" t="str">
        <f ca="1">IFERROR(__xludf.DUMMYFUNCTION("""COMPUTED_VALUE"""),"네이버예약")</f>
        <v>네이버예약</v>
      </c>
      <c r="E73" s="6" t="str">
        <f ca="1">IFERROR(__xludf.DUMMYFUNCTION("""COMPUTED_VALUE"""),"네이버예약")</f>
        <v>네이버예약</v>
      </c>
      <c r="F73" s="6" t="str">
        <f ca="1">IFERROR(__xludf.DUMMYFUNCTION("""COMPUTED_VALUE"""),"유입확인불가")</f>
        <v>유입확인불가</v>
      </c>
      <c r="G73" s="7" t="str">
        <f ca="1">IFERROR(__xludf.DUMMYFUNCTION("""COMPUTED_VALUE"""),"https://newstart-law.com/")</f>
        <v>https://newstart-law.com/</v>
      </c>
      <c r="H73" s="6" t="str">
        <f ca="1">IFERROR(__xludf.DUMMYFUNCTION("""COMPUTED_VALUE"""),"")</f>
        <v/>
      </c>
      <c r="I73" s="6" t="str">
        <f ca="1">IFERROR(__xludf.DUMMYFUNCTION("""COMPUTED_VALUE"""),"")</f>
        <v/>
      </c>
      <c r="J73" s="6" t="str">
        <f ca="1">IFERROR(__xludf.DUMMYFUNCTION("""COMPUTED_VALUE"""),"네이버 예약")</f>
        <v>네이버 예약</v>
      </c>
    </row>
    <row r="74" spans="1:10" x14ac:dyDescent="0.2">
      <c r="A74" s="6">
        <f ca="1">IFERROR(__xludf.DUMMYFUNCTION("""COMPUTED_VALUE"""),73)</f>
        <v>73</v>
      </c>
      <c r="B74" s="6">
        <f ca="1">IFERROR(__xludf.DUMMYFUNCTION("""COMPUTED_VALUE"""),46181.6782175925)</f>
        <v>46181.678217592496</v>
      </c>
      <c r="C74" s="6" t="str">
        <f ca="1">IFERROR(__xludf.DUMMYFUNCTION("""COMPUTED_VALUE"""),"106.101.67.249")</f>
        <v>106.101.67.249</v>
      </c>
      <c r="D74" s="6" t="str">
        <f ca="1">IFERROR(__xludf.DUMMYFUNCTION("""COMPUTED_VALUE"""),"네이버예약")</f>
        <v>네이버예약</v>
      </c>
      <c r="E74" s="6" t="str">
        <f ca="1">IFERROR(__xludf.DUMMYFUNCTION("""COMPUTED_VALUE"""),"네이버예약")</f>
        <v>네이버예약</v>
      </c>
      <c r="F74" s="6" t="str">
        <f ca="1">IFERROR(__xludf.DUMMYFUNCTION("""COMPUTED_VALUE"""),"유입확인불가")</f>
        <v>유입확인불가</v>
      </c>
      <c r="G74" s="7" t="str">
        <f ca="1">IFERROR(__xludf.DUMMYFUNCTION("""COMPUTED_VALUE"""),"https://newstart-law.com/")</f>
        <v>https://newstart-law.com/</v>
      </c>
      <c r="H74" s="6" t="str">
        <f ca="1">IFERROR(__xludf.DUMMYFUNCTION("""COMPUTED_VALUE"""),"")</f>
        <v/>
      </c>
      <c r="I74" s="6" t="str">
        <f ca="1">IFERROR(__xludf.DUMMYFUNCTION("""COMPUTED_VALUE"""),"")</f>
        <v/>
      </c>
      <c r="J74" s="6" t="str">
        <f ca="1">IFERROR(__xludf.DUMMYFUNCTION("""COMPUTED_VALUE"""),"네이버 예약")</f>
        <v>네이버 예약</v>
      </c>
    </row>
    <row r="75" spans="1:10" x14ac:dyDescent="0.2">
      <c r="A75" s="6">
        <f ca="1">IFERROR(__xludf.DUMMYFUNCTION("""COMPUTED_VALUE"""),74)</f>
        <v>74</v>
      </c>
      <c r="B75" s="6">
        <f ca="1">IFERROR(__xludf.DUMMYFUNCTION("""COMPUTED_VALUE"""),46181.6785648148)</f>
        <v>46181.6785648148</v>
      </c>
      <c r="C75" s="6" t="str">
        <f ca="1">IFERROR(__xludf.DUMMYFUNCTION("""COMPUTED_VALUE"""),"106.101.202.112")</f>
        <v>106.101.202.112</v>
      </c>
      <c r="D75" s="6" t="str">
        <f ca="1">IFERROR(__xludf.DUMMYFUNCTION("""COMPUTED_VALUE"""),"네이버예약")</f>
        <v>네이버예약</v>
      </c>
      <c r="E75" s="6" t="str">
        <f ca="1">IFERROR(__xludf.DUMMYFUNCTION("""COMPUTED_VALUE"""),"네이버예약")</f>
        <v>네이버예약</v>
      </c>
      <c r="F75" s="6" t="str">
        <f ca="1">IFERROR(__xludf.DUMMYFUNCTION("""COMPUTED_VALUE"""),"유입확인불가")</f>
        <v>유입확인불가</v>
      </c>
      <c r="G75" s="7" t="str">
        <f ca="1">IFERROR(__xludf.DUMMYFUNCTION("""COMPUTED_VALUE"""),"https://newstart-law.com/")</f>
        <v>https://newstart-law.com/</v>
      </c>
      <c r="H75" s="6" t="str">
        <f ca="1">IFERROR(__xludf.DUMMYFUNCTION("""COMPUTED_VALUE"""),"")</f>
        <v/>
      </c>
      <c r="I75" s="6" t="str">
        <f ca="1">IFERROR(__xludf.DUMMYFUNCTION("""COMPUTED_VALUE"""),"")</f>
        <v/>
      </c>
      <c r="J75" s="6" t="str">
        <f ca="1">IFERROR(__xludf.DUMMYFUNCTION("""COMPUTED_VALUE"""),"네이버 예약")</f>
        <v>네이버 예약</v>
      </c>
    </row>
    <row r="76" spans="1:10" x14ac:dyDescent="0.2">
      <c r="A76" s="6">
        <f ca="1">IFERROR(__xludf.DUMMYFUNCTION("""COMPUTED_VALUE"""),75)</f>
        <v>75</v>
      </c>
      <c r="B76" s="6">
        <f ca="1">IFERROR(__xludf.DUMMYFUNCTION("""COMPUTED_VALUE"""),46181.6786111111)</f>
        <v>46181.6786111111</v>
      </c>
      <c r="C76" s="6" t="str">
        <f ca="1">IFERROR(__xludf.DUMMYFUNCTION("""COMPUTED_VALUE"""),"106.101.202.112")</f>
        <v>106.101.202.112</v>
      </c>
      <c r="D76" s="6" t="str">
        <f ca="1">IFERROR(__xludf.DUMMYFUNCTION("""COMPUTED_VALUE"""),"네이버예약")</f>
        <v>네이버예약</v>
      </c>
      <c r="E76" s="6" t="str">
        <f ca="1">IFERROR(__xludf.DUMMYFUNCTION("""COMPUTED_VALUE"""),"네이버예약")</f>
        <v>네이버예약</v>
      </c>
      <c r="F76" s="6" t="str">
        <f ca="1">IFERROR(__xludf.DUMMYFUNCTION("""COMPUTED_VALUE"""),"유입확인불가")</f>
        <v>유입확인불가</v>
      </c>
      <c r="G76" s="7" t="str">
        <f ca="1">IFERROR(__xludf.DUMMYFUNCTION("""COMPUTED_VALUE"""),"https://newstart-law.com/")</f>
        <v>https://newstart-law.com/</v>
      </c>
      <c r="H76" s="6" t="str">
        <f ca="1">IFERROR(__xludf.DUMMYFUNCTION("""COMPUTED_VALUE"""),"")</f>
        <v/>
      </c>
      <c r="I76" s="6" t="str">
        <f ca="1">IFERROR(__xludf.DUMMYFUNCTION("""COMPUTED_VALUE"""),"")</f>
        <v/>
      </c>
      <c r="J76" s="6" t="str">
        <f ca="1">IFERROR(__xludf.DUMMYFUNCTION("""COMPUTED_VALUE"""),"네이버 예약")</f>
        <v>네이버 예약</v>
      </c>
    </row>
    <row r="77" spans="1:10" x14ac:dyDescent="0.2">
      <c r="A77" s="6">
        <f ca="1">IFERROR(__xludf.DUMMYFUNCTION("""COMPUTED_VALUE"""),76)</f>
        <v>76</v>
      </c>
      <c r="B77" s="6">
        <f ca="1">IFERROR(__xludf.DUMMYFUNCTION("""COMPUTED_VALUE"""),46181.6788657407)</f>
        <v>46181.678865740701</v>
      </c>
      <c r="C77" s="6" t="str">
        <f ca="1">IFERROR(__xludf.DUMMYFUNCTION("""COMPUTED_VALUE"""),"106.101.67.249")</f>
        <v>106.101.67.249</v>
      </c>
      <c r="D77" s="6" t="str">
        <f ca="1">IFERROR(__xludf.DUMMYFUNCTION("""COMPUTED_VALUE"""),"네이버예약")</f>
        <v>네이버예약</v>
      </c>
      <c r="E77" s="6" t="str">
        <f ca="1">IFERROR(__xludf.DUMMYFUNCTION("""COMPUTED_VALUE"""),"네이버예약")</f>
        <v>네이버예약</v>
      </c>
      <c r="F77" s="6" t="str">
        <f ca="1">IFERROR(__xludf.DUMMYFUNCTION("""COMPUTED_VALUE"""),"유입확인불가")</f>
        <v>유입확인불가</v>
      </c>
      <c r="G77" s="7" t="str">
        <f ca="1">IFERROR(__xludf.DUMMYFUNCTION("""COMPUTED_VALUE"""),"https://newstart-law.com/")</f>
        <v>https://newstart-law.com/</v>
      </c>
      <c r="H77" s="6" t="str">
        <f ca="1">IFERROR(__xludf.DUMMYFUNCTION("""COMPUTED_VALUE"""),"")</f>
        <v/>
      </c>
      <c r="I77" s="6" t="str">
        <f ca="1">IFERROR(__xludf.DUMMYFUNCTION("""COMPUTED_VALUE"""),"")</f>
        <v/>
      </c>
      <c r="J77" s="6" t="str">
        <f ca="1">IFERROR(__xludf.DUMMYFUNCTION("""COMPUTED_VALUE"""),"네이버 예약")</f>
        <v>네이버 예약</v>
      </c>
    </row>
    <row r="78" spans="1:10" x14ac:dyDescent="0.2">
      <c r="A78" s="6">
        <f ca="1">IFERROR(__xludf.DUMMYFUNCTION("""COMPUTED_VALUE"""),77)</f>
        <v>77</v>
      </c>
      <c r="B78" s="6">
        <f ca="1">IFERROR(__xludf.DUMMYFUNCTION("""COMPUTED_VALUE"""),46181.6866666666)</f>
        <v>46181.686666666603</v>
      </c>
      <c r="C78" s="6" t="str">
        <f ca="1">IFERROR(__xludf.DUMMYFUNCTION("""COMPUTED_VALUE"""),"이권우")</f>
        <v>이권우</v>
      </c>
      <c r="D78" s="6">
        <f ca="1">IFERROR(__xludf.DUMMYFUNCTION("""COMPUTED_VALUE"""),1047947159)</f>
        <v>1047947159</v>
      </c>
      <c r="E78" s="6" t="str">
        <f ca="1">IFERROR(__xludf.DUMMYFUNCTION("""COMPUTED_VALUE"""),"상담신청")</f>
        <v>상담신청</v>
      </c>
      <c r="F78" s="6" t="str">
        <f ca="1">IFERROR(__xludf.DUMMYFUNCTION("""COMPUTED_VALUE"""),"배너")</f>
        <v>배너</v>
      </c>
      <c r="G78" s="7" t="str">
        <f ca="1">IFERROR(__xludf.DUMMYFUNCTION("""COMPUTED_VALUE"""),"https://newstart-law.com/?inType=NIP002&amp;NaPm=ci=68Xud37aWeSC-AVn5ttM6DCQ|tr=gfa|ct=mq4w0cdd|hk=4d82135bccba00f63c672c999130f49c19badbe2|nacn=rwkkBERszkmS")</f>
        <v>https://newstart-law.com/?inType=NIP002&amp;NaPm=ci=68Xud37aWeSC-AVn5ttM6DCQ|tr=gfa|ct=mq4w0cdd|hk=4d82135bccba00f63c672c999130f49c19badbe2|nacn=rwkkBERszkmS</v>
      </c>
      <c r="H78" s="6" t="str">
        <f ca="1">IFERROR(__xludf.DUMMYFUNCTION("""COMPUTED_VALUE"""),"NIP002")</f>
        <v>NIP002</v>
      </c>
      <c r="I78" s="6" t="str">
        <f ca="1">IFERROR(__xludf.DUMMYFUNCTION("""COMPUTED_VALUE"""),"")</f>
        <v/>
      </c>
      <c r="J78" s="6" t="str">
        <f ca="1">IFERROR(__xludf.DUMMYFUNCTION("""COMPUTED_VALUE"""),"AI 진단")</f>
        <v>AI 진단</v>
      </c>
    </row>
    <row r="79" spans="1:10" x14ac:dyDescent="0.2">
      <c r="A79" s="6">
        <f ca="1">IFERROR(__xludf.DUMMYFUNCTION("""COMPUTED_VALUE"""),78)</f>
        <v>78</v>
      </c>
      <c r="B79" s="6">
        <f ca="1">IFERROR(__xludf.DUMMYFUNCTION("""COMPUTED_VALUE"""),46181.6887268518)</f>
        <v>46181.688726851797</v>
      </c>
      <c r="C79" s="6" t="str">
        <f ca="1">IFERROR(__xludf.DUMMYFUNCTION("""COMPUTED_VALUE"""),"106.101.202.112")</f>
        <v>106.101.202.112</v>
      </c>
      <c r="D79" s="6" t="str">
        <f ca="1">IFERROR(__xludf.DUMMYFUNCTION("""COMPUTED_VALUE"""),"네이버예약")</f>
        <v>네이버예약</v>
      </c>
      <c r="E79" s="6" t="str">
        <f ca="1">IFERROR(__xludf.DUMMYFUNCTION("""COMPUTED_VALUE"""),"네이버예약")</f>
        <v>네이버예약</v>
      </c>
      <c r="F79" s="6" t="str">
        <f ca="1">IFERROR(__xludf.DUMMYFUNCTION("""COMPUTED_VALUE"""),"유입확인불가")</f>
        <v>유입확인불가</v>
      </c>
      <c r="G79" s="7" t="str">
        <f ca="1">IFERROR(__xludf.DUMMYFUNCTION("""COMPUTED_VALUE"""),"https://newstart-law.com/")</f>
        <v>https://newstart-law.com/</v>
      </c>
      <c r="H79" s="6" t="str">
        <f ca="1">IFERROR(__xludf.DUMMYFUNCTION("""COMPUTED_VALUE"""),"")</f>
        <v/>
      </c>
      <c r="I79" s="6" t="str">
        <f ca="1">IFERROR(__xludf.DUMMYFUNCTION("""COMPUTED_VALUE"""),"")</f>
        <v/>
      </c>
      <c r="J79" s="6" t="str">
        <f ca="1">IFERROR(__xludf.DUMMYFUNCTION("""COMPUTED_VALUE"""),"네이버 예약")</f>
        <v>네이버 예약</v>
      </c>
    </row>
    <row r="80" spans="1:10" x14ac:dyDescent="0.2">
      <c r="A80" s="6">
        <f ca="1">IFERROR(__xludf.DUMMYFUNCTION("""COMPUTED_VALUE"""),79)</f>
        <v>79</v>
      </c>
      <c r="B80" s="6">
        <f ca="1">IFERROR(__xludf.DUMMYFUNCTION("""COMPUTED_VALUE"""),46181.6889814814)</f>
        <v>46181.688981481399</v>
      </c>
      <c r="C80" s="6" t="str">
        <f ca="1">IFERROR(__xludf.DUMMYFUNCTION("""COMPUTED_VALUE"""),"106.101.202.112")</f>
        <v>106.101.202.112</v>
      </c>
      <c r="D80" s="6" t="str">
        <f ca="1">IFERROR(__xludf.DUMMYFUNCTION("""COMPUTED_VALUE"""),"네이버톡톡")</f>
        <v>네이버톡톡</v>
      </c>
      <c r="E80" s="6" t="str">
        <f ca="1">IFERROR(__xludf.DUMMYFUNCTION("""COMPUTED_VALUE"""),"네이버톡톡")</f>
        <v>네이버톡톡</v>
      </c>
      <c r="F80" s="6" t="str">
        <f ca="1">IFERROR(__xludf.DUMMYFUNCTION("""COMPUTED_VALUE"""),"유입확인불가")</f>
        <v>유입확인불가</v>
      </c>
      <c r="G80" s="7" t="str">
        <f ca="1">IFERROR(__xludf.DUMMYFUNCTION("""COMPUTED_VALUE"""),"https://newstart-law.com/")</f>
        <v>https://newstart-law.com/</v>
      </c>
      <c r="H80" s="6" t="str">
        <f ca="1">IFERROR(__xludf.DUMMYFUNCTION("""COMPUTED_VALUE"""),"")</f>
        <v/>
      </c>
      <c r="I80" s="6" t="str">
        <f ca="1">IFERROR(__xludf.DUMMYFUNCTION("""COMPUTED_VALUE"""),"")</f>
        <v/>
      </c>
      <c r="J80" s="6" t="str">
        <f ca="1">IFERROR(__xludf.DUMMYFUNCTION("""COMPUTED_VALUE"""),"네이버 톡톡")</f>
        <v>네이버 톡톡</v>
      </c>
    </row>
    <row r="81" spans="1:10" x14ac:dyDescent="0.2">
      <c r="A81" s="6">
        <f ca="1">IFERROR(__xludf.DUMMYFUNCTION("""COMPUTED_VALUE"""),80)</f>
        <v>80</v>
      </c>
      <c r="B81" s="6">
        <f ca="1">IFERROR(__xludf.DUMMYFUNCTION("""COMPUTED_VALUE"""),46181.6933912037)</f>
        <v>46181.693391203698</v>
      </c>
      <c r="C81" s="6" t="str">
        <f ca="1">IFERROR(__xludf.DUMMYFUNCTION("""COMPUTED_VALUE"""),"118.218.42.19")</f>
        <v>118.218.42.19</v>
      </c>
      <c r="D81" s="6" t="str">
        <f ca="1">IFERROR(__xludf.DUMMYFUNCTION("""COMPUTED_VALUE"""),"네이버예약")</f>
        <v>네이버예약</v>
      </c>
      <c r="E81" s="6" t="str">
        <f ca="1">IFERROR(__xludf.DUMMYFUNCTION("""COMPUTED_VALUE"""),"네이버예약")</f>
        <v>네이버예약</v>
      </c>
      <c r="F81" s="6" t="str">
        <f ca="1">IFERROR(__xludf.DUMMYFUNCTION("""COMPUTED_VALUE"""),"유입확인불가")</f>
        <v>유입확인불가</v>
      </c>
      <c r="G81" s="7" t="str">
        <f ca="1">IFERROR(__xludf.DUMMYFUNCTION("""COMPUTED_VALUE"""),"https://newstart-law.com/")</f>
        <v>https://newstart-law.com/</v>
      </c>
      <c r="H81" s="6" t="str">
        <f ca="1">IFERROR(__xludf.DUMMYFUNCTION("""COMPUTED_VALUE"""),"")</f>
        <v/>
      </c>
      <c r="I81" s="6" t="str">
        <f ca="1">IFERROR(__xludf.DUMMYFUNCTION("""COMPUTED_VALUE"""),"")</f>
        <v/>
      </c>
      <c r="J81" s="6" t="str">
        <f ca="1">IFERROR(__xludf.DUMMYFUNCTION("""COMPUTED_VALUE"""),"네이버 예약")</f>
        <v>네이버 예약</v>
      </c>
    </row>
    <row r="82" spans="1:10" x14ac:dyDescent="0.2">
      <c r="A82" s="6">
        <f ca="1">IFERROR(__xludf.DUMMYFUNCTION("""COMPUTED_VALUE"""),81)</f>
        <v>81</v>
      </c>
      <c r="B82" s="6">
        <f ca="1">IFERROR(__xludf.DUMMYFUNCTION("""COMPUTED_VALUE"""),46181.6949074074)</f>
        <v>46181.6949074074</v>
      </c>
      <c r="C82" s="6" t="str">
        <f ca="1">IFERROR(__xludf.DUMMYFUNCTION("""COMPUTED_VALUE"""),"106.101.202.112")</f>
        <v>106.101.202.112</v>
      </c>
      <c r="D82" s="6" t="str">
        <f ca="1">IFERROR(__xludf.DUMMYFUNCTION("""COMPUTED_VALUE"""),"네이버톡톡")</f>
        <v>네이버톡톡</v>
      </c>
      <c r="E82" s="6" t="str">
        <f ca="1">IFERROR(__xludf.DUMMYFUNCTION("""COMPUTED_VALUE"""),"네이버톡톡")</f>
        <v>네이버톡톡</v>
      </c>
      <c r="F82" s="6" t="str">
        <f ca="1">IFERROR(__xludf.DUMMYFUNCTION("""COMPUTED_VALUE"""),"유입확인불가")</f>
        <v>유입확인불가</v>
      </c>
      <c r="G82" s="7" t="str">
        <f ca="1">IFERROR(__xludf.DUMMYFUNCTION("""COMPUTED_VALUE"""),"https://newstart-law.com/")</f>
        <v>https://newstart-law.com/</v>
      </c>
      <c r="H82" s="6" t="str">
        <f ca="1">IFERROR(__xludf.DUMMYFUNCTION("""COMPUTED_VALUE"""),"")</f>
        <v/>
      </c>
      <c r="I82" s="6" t="str">
        <f ca="1">IFERROR(__xludf.DUMMYFUNCTION("""COMPUTED_VALUE"""),"")</f>
        <v/>
      </c>
      <c r="J82" s="6" t="str">
        <f ca="1">IFERROR(__xludf.DUMMYFUNCTION("""COMPUTED_VALUE"""),"네이버 톡톡")</f>
        <v>네이버 톡톡</v>
      </c>
    </row>
    <row r="83" spans="1:10" x14ac:dyDescent="0.2">
      <c r="A83" s="6">
        <f ca="1">IFERROR(__xludf.DUMMYFUNCTION("""COMPUTED_VALUE"""),82)</f>
        <v>82</v>
      </c>
      <c r="B83" s="6">
        <f ca="1">IFERROR(__xludf.DUMMYFUNCTION("""COMPUTED_VALUE"""),46181.6951967592)</f>
        <v>46181.695196759203</v>
      </c>
      <c r="C83" s="6" t="str">
        <f ca="1">IFERROR(__xludf.DUMMYFUNCTION("""COMPUTED_VALUE"""),"106.101.202.112")</f>
        <v>106.101.202.112</v>
      </c>
      <c r="D83" s="6" t="str">
        <f ca="1">IFERROR(__xludf.DUMMYFUNCTION("""COMPUTED_VALUE"""),"네이버톡톡")</f>
        <v>네이버톡톡</v>
      </c>
      <c r="E83" s="6" t="str">
        <f ca="1">IFERROR(__xludf.DUMMYFUNCTION("""COMPUTED_VALUE"""),"네이버톡톡")</f>
        <v>네이버톡톡</v>
      </c>
      <c r="F83" s="6" t="str">
        <f ca="1">IFERROR(__xludf.DUMMYFUNCTION("""COMPUTED_VALUE"""),"유입확인불가")</f>
        <v>유입확인불가</v>
      </c>
      <c r="G83" s="7" t="str">
        <f ca="1">IFERROR(__xludf.DUMMYFUNCTION("""COMPUTED_VALUE"""),"https://newstart-law.com/")</f>
        <v>https://newstart-law.com/</v>
      </c>
      <c r="H83" s="6" t="str">
        <f ca="1">IFERROR(__xludf.DUMMYFUNCTION("""COMPUTED_VALUE"""),"")</f>
        <v/>
      </c>
      <c r="I83" s="6" t="str">
        <f ca="1">IFERROR(__xludf.DUMMYFUNCTION("""COMPUTED_VALUE"""),"")</f>
        <v/>
      </c>
      <c r="J83" s="6" t="str">
        <f ca="1">IFERROR(__xludf.DUMMYFUNCTION("""COMPUTED_VALUE"""),"네이버 톡톡")</f>
        <v>네이버 톡톡</v>
      </c>
    </row>
    <row r="84" spans="1:10" x14ac:dyDescent="0.2">
      <c r="A84" s="6">
        <f ca="1">IFERROR(__xludf.DUMMYFUNCTION("""COMPUTED_VALUE"""),83)</f>
        <v>83</v>
      </c>
      <c r="B84" s="6">
        <f ca="1">IFERROR(__xludf.DUMMYFUNCTION("""COMPUTED_VALUE"""),46181.6959837962)</f>
        <v>46181.695983796199</v>
      </c>
      <c r="C84" s="6" t="str">
        <f ca="1">IFERROR(__xludf.DUMMYFUNCTION("""COMPUTED_VALUE"""),"106.101.202.112")</f>
        <v>106.101.202.112</v>
      </c>
      <c r="D84" s="6" t="str">
        <f ca="1">IFERROR(__xludf.DUMMYFUNCTION("""COMPUTED_VALUE"""),"네이버예약")</f>
        <v>네이버예약</v>
      </c>
      <c r="E84" s="6" t="str">
        <f ca="1">IFERROR(__xludf.DUMMYFUNCTION("""COMPUTED_VALUE"""),"네이버예약")</f>
        <v>네이버예약</v>
      </c>
      <c r="F84" s="6" t="str">
        <f ca="1">IFERROR(__xludf.DUMMYFUNCTION("""COMPUTED_VALUE"""),"유입확인불가")</f>
        <v>유입확인불가</v>
      </c>
      <c r="G84" s="7" t="str">
        <f ca="1">IFERROR(__xludf.DUMMYFUNCTION("""COMPUTED_VALUE"""),"https://newstart-law.com/")</f>
        <v>https://newstart-law.com/</v>
      </c>
      <c r="H84" s="6" t="str">
        <f ca="1">IFERROR(__xludf.DUMMYFUNCTION("""COMPUTED_VALUE"""),"")</f>
        <v/>
      </c>
      <c r="I84" s="6" t="str">
        <f ca="1">IFERROR(__xludf.DUMMYFUNCTION("""COMPUTED_VALUE"""),"")</f>
        <v/>
      </c>
      <c r="J84" s="6" t="str">
        <f ca="1">IFERROR(__xludf.DUMMYFUNCTION("""COMPUTED_VALUE"""),"네이버 예약")</f>
        <v>네이버 예약</v>
      </c>
    </row>
    <row r="85" spans="1:10" x14ac:dyDescent="0.2">
      <c r="A85" s="6">
        <f ca="1">IFERROR(__xludf.DUMMYFUNCTION("""COMPUTED_VALUE"""),84)</f>
        <v>84</v>
      </c>
      <c r="B85" s="6">
        <f ca="1">IFERROR(__xludf.DUMMYFUNCTION("""COMPUTED_VALUE"""),46181.6960532407)</f>
        <v>46181.696053240703</v>
      </c>
      <c r="C85" s="6" t="str">
        <f ca="1">IFERROR(__xludf.DUMMYFUNCTION("""COMPUTED_VALUE"""),"106.101.202.112")</f>
        <v>106.101.202.112</v>
      </c>
      <c r="D85" s="6" t="str">
        <f ca="1">IFERROR(__xludf.DUMMYFUNCTION("""COMPUTED_VALUE"""),"네이버톡톡")</f>
        <v>네이버톡톡</v>
      </c>
      <c r="E85" s="6" t="str">
        <f ca="1">IFERROR(__xludf.DUMMYFUNCTION("""COMPUTED_VALUE"""),"네이버톡톡")</f>
        <v>네이버톡톡</v>
      </c>
      <c r="F85" s="6" t="str">
        <f ca="1">IFERROR(__xludf.DUMMYFUNCTION("""COMPUTED_VALUE"""),"유입확인불가")</f>
        <v>유입확인불가</v>
      </c>
      <c r="G85" s="7" t="str">
        <f ca="1">IFERROR(__xludf.DUMMYFUNCTION("""COMPUTED_VALUE"""),"https://newstart-law.com/")</f>
        <v>https://newstart-law.com/</v>
      </c>
      <c r="H85" s="6" t="str">
        <f ca="1">IFERROR(__xludf.DUMMYFUNCTION("""COMPUTED_VALUE"""),"")</f>
        <v/>
      </c>
      <c r="I85" s="6" t="str">
        <f ca="1">IFERROR(__xludf.DUMMYFUNCTION("""COMPUTED_VALUE"""),"")</f>
        <v/>
      </c>
      <c r="J85" s="6" t="str">
        <f ca="1">IFERROR(__xludf.DUMMYFUNCTION("""COMPUTED_VALUE"""),"네이버 톡톡")</f>
        <v>네이버 톡톡</v>
      </c>
    </row>
    <row r="86" spans="1:10" x14ac:dyDescent="0.2">
      <c r="A86" s="6">
        <f ca="1">IFERROR(__xludf.DUMMYFUNCTION("""COMPUTED_VALUE"""),85)</f>
        <v>85</v>
      </c>
      <c r="B86" s="6">
        <f ca="1">IFERROR(__xludf.DUMMYFUNCTION("""COMPUTED_VALUE"""),46181.7740509259)</f>
        <v>46181.774050925902</v>
      </c>
      <c r="C86" s="6" t="str">
        <f ca="1">IFERROR(__xludf.DUMMYFUNCTION("""COMPUTED_VALUE"""),"211.234.192.48")</f>
        <v>211.234.192.48</v>
      </c>
      <c r="D86" s="6" t="str">
        <f ca="1">IFERROR(__xludf.DUMMYFUNCTION("""COMPUTED_VALUE"""),"카카오")</f>
        <v>카카오</v>
      </c>
      <c r="E86" s="6" t="str">
        <f ca="1">IFERROR(__xludf.DUMMYFUNCTION("""COMPUTED_VALUE"""),"카카오톡")</f>
        <v>카카오톡</v>
      </c>
      <c r="F86" s="6" t="str">
        <f ca="1">IFERROR(__xludf.DUMMYFUNCTION("""COMPUTED_VALUE"""),"배너")</f>
        <v>배너</v>
      </c>
      <c r="G86" s="7" t="str">
        <f ca="1">IFERROR(__xludf.DUMMYFUNCTION("""COMPUTED_VALUE"""),"http://newstart-law.com/?inType=nim003&amp;NaPm=ci=68VHX9iz4mQnGVOjKFJEyCNA|tr=gfa|ct=mq50krge|hk=fd5fd31433b54101ad6e0e45430dac37fd0d644a|nacn=L7MPBgALf9fnB")</f>
        <v>http://newstart-law.com/?inType=nim003&amp;NaPm=ci=68VHX9iz4mQnGVOjKFJEyCNA|tr=gfa|ct=mq50krge|hk=fd5fd31433b54101ad6e0e45430dac37fd0d644a|nacn=L7MPBgALf9fnB</v>
      </c>
      <c r="H86" s="6" t="str">
        <f ca="1">IFERROR(__xludf.DUMMYFUNCTION("""COMPUTED_VALUE"""),"nim003")</f>
        <v>nim003</v>
      </c>
      <c r="I86" s="6" t="str">
        <f ca="1">IFERROR(__xludf.DUMMYFUNCTION("""COMPUTED_VALUE"""),"")</f>
        <v/>
      </c>
      <c r="J86" s="6" t="str">
        <f ca="1">IFERROR(__xludf.DUMMYFUNCTION("""COMPUTED_VALUE"""),"카카오톡")</f>
        <v>카카오톡</v>
      </c>
    </row>
    <row r="87" spans="1:10" x14ac:dyDescent="0.2">
      <c r="A87" s="6">
        <f ca="1">IFERROR(__xludf.DUMMYFUNCTION("""COMPUTED_VALUE"""),86)</f>
        <v>86</v>
      </c>
      <c r="B87" s="6">
        <f ca="1">IFERROR(__xludf.DUMMYFUNCTION("""COMPUTED_VALUE"""),46181.9248726851)</f>
        <v>46181.9248726851</v>
      </c>
      <c r="C87" s="6" t="str">
        <f ca="1">IFERROR(__xludf.DUMMYFUNCTION("""COMPUTED_VALUE"""),"14.58.124.114")</f>
        <v>14.58.124.114</v>
      </c>
      <c r="D87" s="6" t="str">
        <f ca="1">IFERROR(__xludf.DUMMYFUNCTION("""COMPUTED_VALUE"""),"카카오")</f>
        <v>카카오</v>
      </c>
      <c r="E87" s="6" t="str">
        <f ca="1">IFERROR(__xludf.DUMMYFUNCTION("""COMPUTED_VALUE"""),"카카오톡")</f>
        <v>카카오톡</v>
      </c>
      <c r="F87" s="6" t="str">
        <f ca="1">IFERROR(__xludf.DUMMYFUNCTION("""COMPUTED_VALUE"""),"검색")</f>
        <v>검색</v>
      </c>
      <c r="G87" s="7" t="str">
        <f ca="1">IFERROR(__xludf.DUMMYFUNCTION("""COMPUTED_VALUE"""),"https://www.newstart-law.com/?inType=NK&amp;n_media=8753&amp;n_query=개인파산&amp;n_rank=4&amp;n_ad_group=grp-a001-01-000000063065512&amp;n_ad=nad-a001-01-000000485213833&amp;n_keyword_id=nkw-a001-01-000007934684740&amp;n_keyword=개인파산&amp;n_campaign_type=1&amp;n_ad_group_type=1&amp;n_match=1&amp;NaPm=c"&amp;"t=mq58az1d|ci=ER6ce34521-633b-11f1-80c8-de87d1933367|tr=sa|hk=3f0d6472ca842a44ab4969e7d9e7c8952dcbaa75|nacn=Rr9dBAhxrzC5")</f>
        <v>https://www.newstart-law.com/?inType=NK&amp;n_media=8753&amp;n_query=개인파산&amp;n_rank=4&amp;n_ad_group=grp-a001-01-000000063065512&amp;n_ad=nad-a001-01-000000485213833&amp;n_keyword_id=nkw-a001-01-000007934684740&amp;n_keyword=개인파산&amp;n_campaign_type=1&amp;n_ad_group_type=1&amp;n_match=1&amp;NaPm=ct=mq58az1d|ci=ER6ce34521-633b-11f1-80c8-de87d1933367|tr=sa|hk=3f0d6472ca842a44ab4969e7d9e7c8952dcbaa75|nacn=Rr9dBAhxrzC5</v>
      </c>
      <c r="H87" s="6" t="str">
        <f ca="1">IFERROR(__xludf.DUMMYFUNCTION("""COMPUTED_VALUE"""),"NK")</f>
        <v>NK</v>
      </c>
      <c r="I87" s="6" t="str">
        <f ca="1">IFERROR(__xludf.DUMMYFUNCTION("""COMPUTED_VALUE"""),"개인파산")</f>
        <v>개인파산</v>
      </c>
      <c r="J87" s="6" t="str">
        <f ca="1">IFERROR(__xludf.DUMMYFUNCTION("""COMPUTED_VALUE"""),"카카오톡")</f>
        <v>카카오톡</v>
      </c>
    </row>
    <row r="88" spans="1:10" x14ac:dyDescent="0.2">
      <c r="A88" s="6">
        <f ca="1">IFERROR(__xludf.DUMMYFUNCTION("""COMPUTED_VALUE"""),87)</f>
        <v>87</v>
      </c>
      <c r="B88" s="6">
        <f ca="1">IFERROR(__xludf.DUMMYFUNCTION("""COMPUTED_VALUE"""),46182.3838194444)</f>
        <v>46182.383819444403</v>
      </c>
      <c r="C88" s="6" t="str">
        <f ca="1">IFERROR(__xludf.DUMMYFUNCTION("""COMPUTED_VALUE"""),"118.235.6.155")</f>
        <v>118.235.6.155</v>
      </c>
      <c r="D88" s="6" t="str">
        <f ca="1">IFERROR(__xludf.DUMMYFUNCTION("""COMPUTED_VALUE"""),"네이버예약")</f>
        <v>네이버예약</v>
      </c>
      <c r="E88" s="6" t="str">
        <f ca="1">IFERROR(__xludf.DUMMYFUNCTION("""COMPUTED_VALUE"""),"네이버예약")</f>
        <v>네이버예약</v>
      </c>
      <c r="F88" s="6" t="str">
        <f ca="1">IFERROR(__xludf.DUMMYFUNCTION("""COMPUTED_VALUE"""),"배너")</f>
        <v>배너</v>
      </c>
      <c r="G88" s="7" t="str">
        <f ca="1">IFERROR(__xludf.DUMMYFUNCTION("""COMPUTED_VALUE"""),"http://newstart-law.com/?inType=nim_sq02&amp;NaPm=ci=695mJ1nt-dSV6WPBn1Nruiqg|tr=gfa|ct=mq5vt0mj|hk=81719d811dda4963a610d68268a46b84cbc8791c|nacn=YHOeDIiVGVZJB")</f>
        <v>http://newstart-law.com/?inType=nim_sq02&amp;NaPm=ci=695mJ1nt-dSV6WPBn1Nruiqg|tr=gfa|ct=mq5vt0mj|hk=81719d811dda4963a610d68268a46b84cbc8791c|nacn=YHOeDIiVGVZJB</v>
      </c>
      <c r="H88" s="6" t="str">
        <f ca="1">IFERROR(__xludf.DUMMYFUNCTION("""COMPUTED_VALUE"""),"nim_sq02")</f>
        <v>nim_sq02</v>
      </c>
      <c r="I88" s="6" t="str">
        <f ca="1">IFERROR(__xludf.DUMMYFUNCTION("""COMPUTED_VALUE"""),"")</f>
        <v/>
      </c>
      <c r="J88" s="6" t="str">
        <f ca="1">IFERROR(__xludf.DUMMYFUNCTION("""COMPUTED_VALUE"""),"네이버 예약")</f>
        <v>네이버 예약</v>
      </c>
    </row>
    <row r="89" spans="1:10" x14ac:dyDescent="0.2">
      <c r="A89" s="6">
        <f ca="1">IFERROR(__xludf.DUMMYFUNCTION("""COMPUTED_VALUE"""),88)</f>
        <v>88</v>
      </c>
      <c r="B89" s="6">
        <f ca="1">IFERROR(__xludf.DUMMYFUNCTION("""COMPUTED_VALUE"""),46182.4244560185)</f>
        <v>46182.424456018503</v>
      </c>
      <c r="C89" s="6" t="str">
        <f ca="1">IFERROR(__xludf.DUMMYFUNCTION("""COMPUTED_VALUE"""),"118.235.84.84")</f>
        <v>118.235.84.84</v>
      </c>
      <c r="D89" s="6" t="str">
        <f ca="1">IFERROR(__xludf.DUMMYFUNCTION("""COMPUTED_VALUE"""),"카카오")</f>
        <v>카카오</v>
      </c>
      <c r="E89" s="6" t="str">
        <f ca="1">IFERROR(__xludf.DUMMYFUNCTION("""COMPUTED_VALUE"""),"카카오톡")</f>
        <v>카카오톡</v>
      </c>
      <c r="F89" s="6" t="str">
        <f ca="1">IFERROR(__xludf.DUMMYFUNCTION("""COMPUTED_VALUE"""),"배너")</f>
        <v>배너</v>
      </c>
      <c r="G89" s="7" t="str">
        <f ca="1">IFERROR(__xludf.DUMMYFUNCTION("""COMPUTED_VALUE"""),"http://newstart-law.com/?inType=NIM001&amp;NaPm=ci=69jtSx8YaeQaugPyty4wN5HQ|tr=gfa|ct=mq5xy9n0|hk=6d27c2306d71ce5a96d9391c8db202d929f2ea0c|nacn=yTNEBcQNjj5k")</f>
        <v>http://newstart-law.com/?inType=NIM001&amp;NaPm=ci=69jtSx8YaeQaugPyty4wN5HQ|tr=gfa|ct=mq5xy9n0|hk=6d27c2306d71ce5a96d9391c8db202d929f2ea0c|nacn=yTNEBcQNjj5k</v>
      </c>
      <c r="H89" s="6" t="str">
        <f ca="1">IFERROR(__xludf.DUMMYFUNCTION("""COMPUTED_VALUE"""),"NIM001")</f>
        <v>NIM001</v>
      </c>
      <c r="I89" s="6" t="str">
        <f ca="1">IFERROR(__xludf.DUMMYFUNCTION("""COMPUTED_VALUE"""),"")</f>
        <v/>
      </c>
      <c r="J89" s="6" t="str">
        <f ca="1">IFERROR(__xludf.DUMMYFUNCTION("""COMPUTED_VALUE"""),"카카오톡")</f>
        <v>카카오톡</v>
      </c>
    </row>
    <row r="90" spans="1:10" x14ac:dyDescent="0.2">
      <c r="A90" s="6">
        <f ca="1">IFERROR(__xludf.DUMMYFUNCTION("""COMPUTED_VALUE"""),89)</f>
        <v>89</v>
      </c>
      <c r="B90" s="6">
        <f ca="1">IFERROR(__xludf.DUMMYFUNCTION("""COMPUTED_VALUE"""),46182.4319444444)</f>
        <v>46182.431944444397</v>
      </c>
      <c r="C90" s="6" t="str">
        <f ca="1">IFERROR(__xludf.DUMMYFUNCTION("""COMPUTED_VALUE"""),"223.35.226.253")</f>
        <v>223.35.226.253</v>
      </c>
      <c r="D90" s="6" t="str">
        <f ca="1">IFERROR(__xludf.DUMMYFUNCTION("""COMPUTED_VALUE"""),"카카오")</f>
        <v>카카오</v>
      </c>
      <c r="E90" s="6" t="str">
        <f ca="1">IFERROR(__xludf.DUMMYFUNCTION("""COMPUTED_VALUE"""),"카카오톡")</f>
        <v>카카오톡</v>
      </c>
      <c r="F90" s="6" t="str">
        <f ca="1">IFERROR(__xludf.DUMMYFUNCTION("""COMPUTED_VALUE"""),"배너")</f>
        <v>배너</v>
      </c>
      <c r="G90" s="7" t="str">
        <f ca="1">IFERROR(__xludf.DUMMYFUNCTION("""COMPUTED_VALUE"""),"http://newstart-law.com/?inType=nim003&amp;NaPm=ci=69mSfh_d7MQdu3ukEz3zKtEA|tr=gfa|ct=mq5ye1so|hk=0a292e0100b99b27e4a571050d4b3927ac4b2e2f|nacn=oYz5BABAW6hv")</f>
        <v>http://newstart-law.com/?inType=nim003&amp;NaPm=ci=69mSfh_d7MQdu3ukEz3zKtEA|tr=gfa|ct=mq5ye1so|hk=0a292e0100b99b27e4a571050d4b3927ac4b2e2f|nacn=oYz5BABAW6hv</v>
      </c>
      <c r="H90" s="6" t="str">
        <f ca="1">IFERROR(__xludf.DUMMYFUNCTION("""COMPUTED_VALUE"""),"nim003")</f>
        <v>nim003</v>
      </c>
      <c r="I90" s="6" t="str">
        <f ca="1">IFERROR(__xludf.DUMMYFUNCTION("""COMPUTED_VALUE"""),"")</f>
        <v/>
      </c>
      <c r="J90" s="6" t="str">
        <f ca="1">IFERROR(__xludf.DUMMYFUNCTION("""COMPUTED_VALUE"""),"카카오톡")</f>
        <v>카카오톡</v>
      </c>
    </row>
    <row r="91" spans="1:10" x14ac:dyDescent="0.2">
      <c r="A91" s="6">
        <f ca="1">IFERROR(__xludf.DUMMYFUNCTION("""COMPUTED_VALUE"""),90)</f>
        <v>90</v>
      </c>
      <c r="B91" s="6">
        <f ca="1">IFERROR(__xludf.DUMMYFUNCTION("""COMPUTED_VALUE"""),46182.4551851851)</f>
        <v>46182.455185185099</v>
      </c>
      <c r="C91" s="6" t="str">
        <f ca="1">IFERROR(__xludf.DUMMYFUNCTION("""COMPUTED_VALUE"""),"118.235.82.67")</f>
        <v>118.235.82.67</v>
      </c>
      <c r="D91" s="6" t="str">
        <f ca="1">IFERROR(__xludf.DUMMYFUNCTION("""COMPUTED_VALUE"""),"네이버톡톡")</f>
        <v>네이버톡톡</v>
      </c>
      <c r="E91" s="6" t="str">
        <f ca="1">IFERROR(__xludf.DUMMYFUNCTION("""COMPUTED_VALUE"""),"네이버톡톡")</f>
        <v>네이버톡톡</v>
      </c>
      <c r="F91" s="6" t="str">
        <f ca="1">IFERROR(__xludf.DUMMYFUNCTION("""COMPUTED_VALUE"""),"배너")</f>
        <v>배너</v>
      </c>
      <c r="G91" s="7" t="str">
        <f ca="1">IFERROR(__xludf.DUMMYFUNCTION("""COMPUTED_VALUE"""),"http://newstart-law.com/?inType=nim003&amp;NaPm=ci=69fRSWAsS3Q5qpPw4q8PsLTw|tr=gfa|ct=mq5zjh34|hk=fb89f27a29fda897aed7f8e1c526852d16845006|nacn=XKx1B8AGSVnn")</f>
        <v>http://newstart-law.com/?inType=nim003&amp;NaPm=ci=69fRSWAsS3Q5qpPw4q8PsLTw|tr=gfa|ct=mq5zjh34|hk=fb89f27a29fda897aed7f8e1c526852d16845006|nacn=XKx1B8AGSVnn</v>
      </c>
      <c r="H91" s="6" t="str">
        <f ca="1">IFERROR(__xludf.DUMMYFUNCTION("""COMPUTED_VALUE"""),"nim003")</f>
        <v>nim003</v>
      </c>
      <c r="I91" s="6" t="str">
        <f ca="1">IFERROR(__xludf.DUMMYFUNCTION("""COMPUTED_VALUE"""),"")</f>
        <v/>
      </c>
      <c r="J91" s="6" t="str">
        <f ca="1">IFERROR(__xludf.DUMMYFUNCTION("""COMPUTED_VALUE"""),"네이버 톡톡")</f>
        <v>네이버 톡톡</v>
      </c>
    </row>
    <row r="92" spans="1:10" x14ac:dyDescent="0.2">
      <c r="A92" s="6">
        <f ca="1">IFERROR(__xludf.DUMMYFUNCTION("""COMPUTED_VALUE"""),91)</f>
        <v>91</v>
      </c>
      <c r="B92" s="6">
        <f ca="1">IFERROR(__xludf.DUMMYFUNCTION("""COMPUTED_VALUE"""),46182.4612037037)</f>
        <v>46182.4612037037</v>
      </c>
      <c r="C92" s="6" t="str">
        <f ca="1">IFERROR(__xludf.DUMMYFUNCTION("""COMPUTED_VALUE"""),"김효빈")</f>
        <v>김효빈</v>
      </c>
      <c r="D92" s="6">
        <f ca="1">IFERROR(__xludf.DUMMYFUNCTION("""COMPUTED_VALUE"""),1072929923)</f>
        <v>1072929923</v>
      </c>
      <c r="E92" s="6" t="str">
        <f ca="1">IFERROR(__xludf.DUMMYFUNCTION("""COMPUTED_VALUE"""),"상담신청")</f>
        <v>상담신청</v>
      </c>
      <c r="F92" s="6" t="str">
        <f ca="1">IFERROR(__xludf.DUMMYFUNCTION("""COMPUTED_VALUE"""),"배너")</f>
        <v>배너</v>
      </c>
      <c r="G92" s="7" t="str">
        <f ca="1">IFERROR(__xludf.DUMMYFUNCTION("""COMPUTED_VALUE"""),"http://newstart-law.com/?inType=nim003&amp;NaPm=ci=69b_obtJ83QguL8y8D0lYY8g|tr=gfa|ct=mq5zlh80|hk=f8f575fca6c02f88b5b3db5b0c148ffa3fc5fe1a|nacn=a8eOD4An1WNnB")</f>
        <v>http://newstart-law.com/?inType=nim003&amp;NaPm=ci=69b_obtJ83QguL8y8D0lYY8g|tr=gfa|ct=mq5zlh80|hk=f8f575fca6c02f88b5b3db5b0c148ffa3fc5fe1a|nacn=a8eOD4An1WNnB</v>
      </c>
      <c r="H92" s="6" t="str">
        <f ca="1">IFERROR(__xludf.DUMMYFUNCTION("""COMPUTED_VALUE"""),"nim003")</f>
        <v>nim003</v>
      </c>
      <c r="I92" s="6" t="str">
        <f ca="1">IFERROR(__xludf.DUMMYFUNCTION("""COMPUTED_VALUE"""),"")</f>
        <v/>
      </c>
      <c r="J92" s="6" t="str">
        <f ca="1">IFERROR(__xludf.DUMMYFUNCTION("""COMPUTED_VALUE"""),"AI 진단")</f>
        <v>AI 진단</v>
      </c>
    </row>
    <row r="93" spans="1:10" x14ac:dyDescent="0.2">
      <c r="A93" s="6">
        <f ca="1">IFERROR(__xludf.DUMMYFUNCTION("""COMPUTED_VALUE"""),92)</f>
        <v>92</v>
      </c>
      <c r="B93" s="6">
        <f ca="1">IFERROR(__xludf.DUMMYFUNCTION("""COMPUTED_VALUE"""),46182.4949884259)</f>
        <v>46182.494988425897</v>
      </c>
      <c r="C93" s="6" t="str">
        <f ca="1">IFERROR(__xludf.DUMMYFUNCTION("""COMPUTED_VALUE"""),"유상식")</f>
        <v>유상식</v>
      </c>
      <c r="D93" s="6">
        <f ca="1">IFERROR(__xludf.DUMMYFUNCTION("""COMPUTED_VALUE"""),1037931212)</f>
        <v>1037931212</v>
      </c>
      <c r="E93" s="6" t="str">
        <f ca="1">IFERROR(__xludf.DUMMYFUNCTION("""COMPUTED_VALUE"""),"상담신청")</f>
        <v>상담신청</v>
      </c>
      <c r="F93" s="6" t="str">
        <f ca="1">IFERROR(__xludf.DUMMYFUNCTION("""COMPUTED_VALUE"""),"배너")</f>
        <v>배너</v>
      </c>
      <c r="G93" s="7" t="str">
        <f ca="1">IFERROR(__xludf.DUMMYFUNCTION("""COMPUTED_VALUE"""),"http://newstart-law.com/?inType=nim_sq02&amp;NaPm=ci=69GWefEvKGQ8OGgzG88Nvxuw|tr=gfa|ct=mq61lqfi|hk=4206e7ddc2dc28a110d9385837cbd36a078c0367|nacn=eQfpFwB5PikrC")</f>
        <v>http://newstart-law.com/?inType=nim_sq02&amp;NaPm=ci=69GWefEvKGQ8OGgzG88Nvxuw|tr=gfa|ct=mq61lqfi|hk=4206e7ddc2dc28a110d9385837cbd36a078c0367|nacn=eQfpFwB5PikrC</v>
      </c>
      <c r="H93" s="6" t="str">
        <f ca="1">IFERROR(__xludf.DUMMYFUNCTION("""COMPUTED_VALUE"""),"nim_sq02")</f>
        <v>nim_sq02</v>
      </c>
      <c r="I93" s="6" t="str">
        <f ca="1">IFERROR(__xludf.DUMMYFUNCTION("""COMPUTED_VALUE"""),"")</f>
        <v/>
      </c>
      <c r="J93" s="6" t="str">
        <f ca="1">IFERROR(__xludf.DUMMYFUNCTION("""COMPUTED_VALUE"""),"모바일 하단 상담폼")</f>
        <v>모바일 하단 상담폼</v>
      </c>
    </row>
    <row r="94" spans="1:10" x14ac:dyDescent="0.2">
      <c r="A94" s="6">
        <f ca="1">IFERROR(__xludf.DUMMYFUNCTION("""COMPUTED_VALUE"""),93)</f>
        <v>93</v>
      </c>
      <c r="B94" s="6">
        <f ca="1">IFERROR(__xludf.DUMMYFUNCTION("""COMPUTED_VALUE"""),46182.7341435185)</f>
        <v>46182.734143518501</v>
      </c>
      <c r="C94" s="6" t="str">
        <f ca="1">IFERROR(__xludf.DUMMYFUNCTION("""COMPUTED_VALUE"""),"222.112.27.54")</f>
        <v>222.112.27.54</v>
      </c>
      <c r="D94" s="6" t="str">
        <f ca="1">IFERROR(__xludf.DUMMYFUNCTION("""COMPUTED_VALUE"""),"카카오")</f>
        <v>카카오</v>
      </c>
      <c r="E94" s="6" t="str">
        <f ca="1">IFERROR(__xludf.DUMMYFUNCTION("""COMPUTED_VALUE"""),"카카오톡")</f>
        <v>카카오톡</v>
      </c>
      <c r="F94" s="6" t="str">
        <f ca="1">IFERROR(__xludf.DUMMYFUNCTION("""COMPUTED_VALUE"""),"유입확인불가")</f>
        <v>유입확인불가</v>
      </c>
      <c r="G94" s="7" t="str">
        <f ca="1">IFERROR(__xludf.DUMMYFUNCTION("""COMPUTED_VALUE"""),"https://newstart-law.com/")</f>
        <v>https://newstart-law.com/</v>
      </c>
      <c r="H94" s="6" t="str">
        <f ca="1">IFERROR(__xludf.DUMMYFUNCTION("""COMPUTED_VALUE"""),"")</f>
        <v/>
      </c>
      <c r="I94" s="6" t="str">
        <f ca="1">IFERROR(__xludf.DUMMYFUNCTION("""COMPUTED_VALUE"""),"")</f>
        <v/>
      </c>
      <c r="J94" s="6" t="str">
        <f ca="1">IFERROR(__xludf.DUMMYFUNCTION("""COMPUTED_VALUE"""),"카카오톡")</f>
        <v>카카오톡</v>
      </c>
    </row>
    <row r="95" spans="1:10" x14ac:dyDescent="0.2">
      <c r="A95" s="6">
        <f ca="1">IFERROR(__xludf.DUMMYFUNCTION("""COMPUTED_VALUE"""),94)</f>
        <v>94</v>
      </c>
      <c r="B95" s="6">
        <f ca="1">IFERROR(__xludf.DUMMYFUNCTION("""COMPUTED_VALUE"""),46182.7743981481)</f>
        <v>46182.774398148104</v>
      </c>
      <c r="C95" s="6" t="str">
        <f ca="1">IFERROR(__xludf.DUMMYFUNCTION("""COMPUTED_VALUE"""),"박종한")</f>
        <v>박종한</v>
      </c>
      <c r="D95" s="6">
        <f ca="1">IFERROR(__xludf.DUMMYFUNCTION("""COMPUTED_VALUE"""),1039476517)</f>
        <v>1039476517</v>
      </c>
      <c r="E95" s="6" t="str">
        <f ca="1">IFERROR(__xludf.DUMMYFUNCTION("""COMPUTED_VALUE"""),"상담신청")</f>
        <v>상담신청</v>
      </c>
      <c r="F95" s="6" t="str">
        <f ca="1">IFERROR(__xludf.DUMMYFUNCTION("""COMPUTED_VALUE"""),"배너")</f>
        <v>배너</v>
      </c>
      <c r="G95" s="7" t="str">
        <f ca="1">IFERROR(__xludf.DUMMYFUNCTION("""COMPUTED_VALUE"""),"http://newstart-law.com/?inType=NIM001&amp;NaPm=ci=69X2ItVYqHTVaDClaFzYMF-w|tr=gfa|ct=mq6g10le|hk=e382071234a4b4977d5c1956043ac291138b96d2|nacn=Re27DohHl3ZaA")</f>
        <v>http://newstart-law.com/?inType=NIM001&amp;NaPm=ci=69X2ItVYqHTVaDClaFzYMF-w|tr=gfa|ct=mq6g10le|hk=e382071234a4b4977d5c1956043ac291138b96d2|nacn=Re27DohHl3ZaA</v>
      </c>
      <c r="H95" s="6" t="str">
        <f ca="1">IFERROR(__xludf.DUMMYFUNCTION("""COMPUTED_VALUE"""),"NIM001")</f>
        <v>NIM001</v>
      </c>
      <c r="I95" s="6" t="str">
        <f ca="1">IFERROR(__xludf.DUMMYFUNCTION("""COMPUTED_VALUE"""),"")</f>
        <v/>
      </c>
      <c r="J95" s="6" t="str">
        <f ca="1">IFERROR(__xludf.DUMMYFUNCTION("""COMPUTED_VALUE"""),"AI 진단")</f>
        <v>AI 진단</v>
      </c>
    </row>
    <row r="96" spans="1:10" x14ac:dyDescent="0.2">
      <c r="A96" s="6">
        <f ca="1">IFERROR(__xludf.DUMMYFUNCTION("""COMPUTED_VALUE"""),95)</f>
        <v>95</v>
      </c>
      <c r="B96" s="6">
        <f ca="1">IFERROR(__xludf.DUMMYFUNCTION("""COMPUTED_VALUE"""),46182.9184606481)</f>
        <v>46182.918460648099</v>
      </c>
      <c r="C96" s="6" t="str">
        <f ca="1">IFERROR(__xludf.DUMMYFUNCTION("""COMPUTED_VALUE"""),"홍성호")</f>
        <v>홍성호</v>
      </c>
      <c r="D96" s="6">
        <f ca="1">IFERROR(__xludf.DUMMYFUNCTION("""COMPUTED_VALUE"""),1028040742)</f>
        <v>1028040742</v>
      </c>
      <c r="E96" s="6" t="str">
        <f ca="1">IFERROR(__xludf.DUMMYFUNCTION("""COMPUTED_VALUE"""),"상담신청")</f>
        <v>상담신청</v>
      </c>
      <c r="F96" s="6" t="str">
        <f ca="1">IFERROR(__xludf.DUMMYFUNCTION("""COMPUTED_VALUE"""),"검색")</f>
        <v>검색</v>
      </c>
      <c r="G96" s="7" t="str">
        <f ca="1">IFERROR(__xludf.DUMMYFUNCTION("""COMPUTED_VALUE"""),"https://www.newstart-law.com/?inType=NK&amp;n_media=8753&amp;n_query=개인회생전문&amp;n_rank=5&amp;n_ad_group=grp-a001-01-000000063065632&amp;n_ad=nad-a001-01-000000495459382&amp;n_keyword_id=nkw-a001-01-000007951806264&amp;n_keyword=개인회생전문&amp;n_campaign_type=1&amp;n_ad_group_type=1&amp;n_match=1&amp;Na"&amp;"Pm=ct=mq6nc4cf|ci=ERfe62197e-6402-11f1-bf4f-1e00a08223ef|tr=sa|hk=9adfb4cfe65c2569c84e7caa1ae45e049770ff91|nacn=Ieh5DIBzoyV")</f>
        <v>https://www.newstart-law.com/?inType=NK&amp;n_media=8753&amp;n_query=개인회생전문&amp;n_rank=5&amp;n_ad_group=grp-a001-01-000000063065632&amp;n_ad=nad-a001-01-000000495459382&amp;n_keyword_id=nkw-a001-01-000007951806264&amp;n_keyword=개인회생전문&amp;n_campaign_type=1&amp;n_ad_group_type=1&amp;n_match=1&amp;NaPm=ct=mq6nc4cf|ci=ERfe62197e-6402-11f1-bf4f-1e00a08223ef|tr=sa|hk=9adfb4cfe65c2569c84e7caa1ae45e049770ff91|nacn=Ieh5DIBzoyV</v>
      </c>
      <c r="H96" s="6" t="str">
        <f ca="1">IFERROR(__xludf.DUMMYFUNCTION("""COMPUTED_VALUE"""),"NK")</f>
        <v>NK</v>
      </c>
      <c r="I96" s="6" t="str">
        <f ca="1">IFERROR(__xludf.DUMMYFUNCTION("""COMPUTED_VALUE"""),"개인회생전문")</f>
        <v>개인회생전문</v>
      </c>
      <c r="J96" s="6" t="str">
        <f ca="1">IFERROR(__xludf.DUMMYFUNCTION("""COMPUTED_VALUE"""),"모바일 하단 상담폼")</f>
        <v>모바일 하단 상담폼</v>
      </c>
    </row>
    <row r="97" spans="1:10" x14ac:dyDescent="0.2">
      <c r="A97" s="6">
        <f ca="1">IFERROR(__xludf.DUMMYFUNCTION("""COMPUTED_VALUE"""),96)</f>
        <v>96</v>
      </c>
      <c r="B97" s="6">
        <f ca="1">IFERROR(__xludf.DUMMYFUNCTION("""COMPUTED_VALUE"""),46183.4642129629)</f>
        <v>46183.464212962899</v>
      </c>
      <c r="C97" s="6" t="str">
        <f ca="1">IFERROR(__xludf.DUMMYFUNCTION("""COMPUTED_VALUE"""),"211.234.201.212")</f>
        <v>211.234.201.212</v>
      </c>
      <c r="D97" s="6" t="str">
        <f ca="1">IFERROR(__xludf.DUMMYFUNCTION("""COMPUTED_VALUE"""),"네이버톡톡")</f>
        <v>네이버톡톡</v>
      </c>
      <c r="E97" s="6" t="str">
        <f ca="1">IFERROR(__xludf.DUMMYFUNCTION("""COMPUTED_VALUE"""),"네이버톡톡")</f>
        <v>네이버톡톡</v>
      </c>
      <c r="F97" s="6" t="str">
        <f ca="1">IFERROR(__xludf.DUMMYFUNCTION("""COMPUTED_VALUE"""),"배너")</f>
        <v>배너</v>
      </c>
      <c r="G97" s="7" t="str">
        <f ca="1">IFERROR(__xludf.DUMMYFUNCTION("""COMPUTED_VALUE"""),"http://newstart-law.com/?inType=NIP002&amp;NaPm=ci=6ar1Y3nwlnTfGqnM7X9AdPmw|tr=gfa|ct=mq7felhm|hk=ab497edac6ed7ce361a9c6f39271b8274ec6b689|nacn=PRFNBgQIWrcp")</f>
        <v>http://newstart-law.com/?inType=NIP002&amp;NaPm=ci=6ar1Y3nwlnTfGqnM7X9AdPmw|tr=gfa|ct=mq7felhm|hk=ab497edac6ed7ce361a9c6f39271b8274ec6b689|nacn=PRFNBgQIWrcp</v>
      </c>
      <c r="H97" s="6" t="str">
        <f ca="1">IFERROR(__xludf.DUMMYFUNCTION("""COMPUTED_VALUE"""),"NIP002")</f>
        <v>NIP002</v>
      </c>
      <c r="I97" s="6" t="str">
        <f ca="1">IFERROR(__xludf.DUMMYFUNCTION("""COMPUTED_VALUE"""),"")</f>
        <v/>
      </c>
      <c r="J97" s="6" t="str">
        <f ca="1">IFERROR(__xludf.DUMMYFUNCTION("""COMPUTED_VALUE"""),"네이버 톡톡")</f>
        <v>네이버 톡톡</v>
      </c>
    </row>
    <row r="98" spans="1:10" x14ac:dyDescent="0.2">
      <c r="A98" s="6">
        <f ca="1">IFERROR(__xludf.DUMMYFUNCTION("""COMPUTED_VALUE"""),97)</f>
        <v>97</v>
      </c>
      <c r="B98" s="6">
        <f ca="1">IFERROR(__xludf.DUMMYFUNCTION("""COMPUTED_VALUE"""),46183.4700462962)</f>
        <v>46183.470046296199</v>
      </c>
      <c r="C98" s="6" t="str">
        <f ca="1">IFERROR(__xludf.DUMMYFUNCTION("""COMPUTED_VALUE"""),"125.133.237.224")</f>
        <v>125.133.237.224</v>
      </c>
      <c r="D98" s="6" t="str">
        <f ca="1">IFERROR(__xludf.DUMMYFUNCTION("""COMPUTED_VALUE"""),"네이버톡톡")</f>
        <v>네이버톡톡</v>
      </c>
      <c r="E98" s="6" t="str">
        <f ca="1">IFERROR(__xludf.DUMMYFUNCTION("""COMPUTED_VALUE"""),"네이버톡톡")</f>
        <v>네이버톡톡</v>
      </c>
      <c r="F98" s="6" t="str">
        <f ca="1">IFERROR(__xludf.DUMMYFUNCTION("""COMPUTED_VALUE"""),"배너")</f>
        <v>배너</v>
      </c>
      <c r="G98" s="7" t="str">
        <f ca="1">IFERROR(__xludf.DUMMYFUNCTION("""COMPUTED_VALUE"""),"http://newstart-law.com/?inType=nim003&amp;NaPm=ci=6aAs1faiYKSQCBA_grbovI_w|tr=gfa|ct=mq7fqa1z|hk=4da13e86ca10fe45af28f73f65277ee3b99cfd85|nacn=bIjfCghASS4WB")</f>
        <v>http://newstart-law.com/?inType=nim003&amp;NaPm=ci=6aAs1faiYKSQCBA_grbovI_w|tr=gfa|ct=mq7fqa1z|hk=4da13e86ca10fe45af28f73f65277ee3b99cfd85|nacn=bIjfCghASS4WB</v>
      </c>
      <c r="H98" s="6" t="str">
        <f ca="1">IFERROR(__xludf.DUMMYFUNCTION("""COMPUTED_VALUE"""),"nim003")</f>
        <v>nim003</v>
      </c>
      <c r="I98" s="6" t="str">
        <f ca="1">IFERROR(__xludf.DUMMYFUNCTION("""COMPUTED_VALUE"""),"")</f>
        <v/>
      </c>
      <c r="J98" s="6" t="str">
        <f ca="1">IFERROR(__xludf.DUMMYFUNCTION("""COMPUTED_VALUE"""),"네이버 톡톡")</f>
        <v>네이버 톡톡</v>
      </c>
    </row>
    <row r="99" spans="1:10" x14ac:dyDescent="0.2">
      <c r="A99" s="6">
        <f ca="1">IFERROR(__xludf.DUMMYFUNCTION("""COMPUTED_VALUE"""),98)</f>
        <v>98</v>
      </c>
      <c r="B99" s="6">
        <f ca="1">IFERROR(__xludf.DUMMYFUNCTION("""COMPUTED_VALUE"""),46183.4739236111)</f>
        <v>46183.473923611098</v>
      </c>
      <c r="C99" s="6" t="str">
        <f ca="1">IFERROR(__xludf.DUMMYFUNCTION("""COMPUTED_VALUE"""),"125.133.237.224")</f>
        <v>125.133.237.224</v>
      </c>
      <c r="D99" s="6" t="str">
        <f ca="1">IFERROR(__xludf.DUMMYFUNCTION("""COMPUTED_VALUE"""),"네이버톡톡")</f>
        <v>네이버톡톡</v>
      </c>
      <c r="E99" s="6" t="str">
        <f ca="1">IFERROR(__xludf.DUMMYFUNCTION("""COMPUTED_VALUE"""),"네이버톡톡")</f>
        <v>네이버톡톡</v>
      </c>
      <c r="F99" s="6" t="str">
        <f ca="1">IFERROR(__xludf.DUMMYFUNCTION("""COMPUTED_VALUE"""),"배너")</f>
        <v>배너</v>
      </c>
      <c r="G99" s="7" t="str">
        <f ca="1">IFERROR(__xludf.DUMMYFUNCTION("""COMPUTED_VALUE"""),"http://newstart-law.com/?inType=nim003&amp;NaPm=ci=6aAs1faiYKSQCBA_grbovI_w|tr=gfa|ct=mq7fqa1z|hk=4da13e86ca10fe45af28f73f65277ee3b99cfd85|nacn=bIjfCghASS4WB")</f>
        <v>http://newstart-law.com/?inType=nim003&amp;NaPm=ci=6aAs1faiYKSQCBA_grbovI_w|tr=gfa|ct=mq7fqa1z|hk=4da13e86ca10fe45af28f73f65277ee3b99cfd85|nacn=bIjfCghASS4WB</v>
      </c>
      <c r="H99" s="6" t="str">
        <f ca="1">IFERROR(__xludf.DUMMYFUNCTION("""COMPUTED_VALUE"""),"nim003")</f>
        <v>nim003</v>
      </c>
      <c r="I99" s="6" t="str">
        <f ca="1">IFERROR(__xludf.DUMMYFUNCTION("""COMPUTED_VALUE"""),"")</f>
        <v/>
      </c>
      <c r="J99" s="6" t="str">
        <f ca="1">IFERROR(__xludf.DUMMYFUNCTION("""COMPUTED_VALUE"""),"네이버 톡톡")</f>
        <v>네이버 톡톡</v>
      </c>
    </row>
    <row r="100" spans="1:10" x14ac:dyDescent="0.2">
      <c r="A100" s="6">
        <f ca="1">IFERROR(__xludf.DUMMYFUNCTION("""COMPUTED_VALUE"""),99)</f>
        <v>99</v>
      </c>
      <c r="B100" s="6">
        <f ca="1">IFERROR(__xludf.DUMMYFUNCTION("""COMPUTED_VALUE"""),46183.4740046296)</f>
        <v>46183.474004629599</v>
      </c>
      <c r="C100" s="6" t="str">
        <f ca="1">IFERROR(__xludf.DUMMYFUNCTION("""COMPUTED_VALUE"""),"125.133.237.224")</f>
        <v>125.133.237.224</v>
      </c>
      <c r="D100" s="6" t="str">
        <f ca="1">IFERROR(__xludf.DUMMYFUNCTION("""COMPUTED_VALUE"""),"네이버예약")</f>
        <v>네이버예약</v>
      </c>
      <c r="E100" s="6" t="str">
        <f ca="1">IFERROR(__xludf.DUMMYFUNCTION("""COMPUTED_VALUE"""),"네이버예약")</f>
        <v>네이버예약</v>
      </c>
      <c r="F100" s="6" t="str">
        <f ca="1">IFERROR(__xludf.DUMMYFUNCTION("""COMPUTED_VALUE"""),"배너")</f>
        <v>배너</v>
      </c>
      <c r="G100" s="7" t="str">
        <f ca="1">IFERROR(__xludf.DUMMYFUNCTION("""COMPUTED_VALUE"""),"http://newstart-law.com/?inType=nim003&amp;NaPm=ci=6aAs1faiYKSQCBA_grbovI_w|tr=gfa|ct=mq7fqa1z|hk=4da13e86ca10fe45af28f73f65277ee3b99cfd85|nacn=bIjfCghASS4WB")</f>
        <v>http://newstart-law.com/?inType=nim003&amp;NaPm=ci=6aAs1faiYKSQCBA_grbovI_w|tr=gfa|ct=mq7fqa1z|hk=4da13e86ca10fe45af28f73f65277ee3b99cfd85|nacn=bIjfCghASS4WB</v>
      </c>
      <c r="H100" s="6" t="str">
        <f ca="1">IFERROR(__xludf.DUMMYFUNCTION("""COMPUTED_VALUE"""),"nim003")</f>
        <v>nim003</v>
      </c>
      <c r="I100" s="6" t="str">
        <f ca="1">IFERROR(__xludf.DUMMYFUNCTION("""COMPUTED_VALUE"""),"")</f>
        <v/>
      </c>
      <c r="J100" s="6" t="str">
        <f ca="1">IFERROR(__xludf.DUMMYFUNCTION("""COMPUTED_VALUE"""),"네이버 예약")</f>
        <v>네이버 예약</v>
      </c>
    </row>
    <row r="101" spans="1:10" x14ac:dyDescent="0.2">
      <c r="A101" s="6">
        <f ca="1">IFERROR(__xludf.DUMMYFUNCTION("""COMPUTED_VALUE"""),100)</f>
        <v>100</v>
      </c>
      <c r="B101" s="6">
        <f ca="1">IFERROR(__xludf.DUMMYFUNCTION("""COMPUTED_VALUE"""),46183.4740856481)</f>
        <v>46183.4740856481</v>
      </c>
      <c r="C101" s="6" t="str">
        <f ca="1">IFERROR(__xludf.DUMMYFUNCTION("""COMPUTED_VALUE"""),"125.133.237.224")</f>
        <v>125.133.237.224</v>
      </c>
      <c r="D101" s="6" t="str">
        <f ca="1">IFERROR(__xludf.DUMMYFUNCTION("""COMPUTED_VALUE"""),"카카오")</f>
        <v>카카오</v>
      </c>
      <c r="E101" s="6" t="str">
        <f ca="1">IFERROR(__xludf.DUMMYFUNCTION("""COMPUTED_VALUE"""),"카카오톡")</f>
        <v>카카오톡</v>
      </c>
      <c r="F101" s="6" t="str">
        <f ca="1">IFERROR(__xludf.DUMMYFUNCTION("""COMPUTED_VALUE"""),"배너")</f>
        <v>배너</v>
      </c>
      <c r="G101" s="7" t="str">
        <f ca="1">IFERROR(__xludf.DUMMYFUNCTION("""COMPUTED_VALUE"""),"http://newstart-law.com/?inType=nim003&amp;NaPm=ci=6aAs1faiYKSQCBA_grbovI_w|tr=gfa|ct=mq7fqa1z|hk=4da13e86ca10fe45af28f73f65277ee3b99cfd85|nacn=bIjfCghASS4WB")</f>
        <v>http://newstart-law.com/?inType=nim003&amp;NaPm=ci=6aAs1faiYKSQCBA_grbovI_w|tr=gfa|ct=mq7fqa1z|hk=4da13e86ca10fe45af28f73f65277ee3b99cfd85|nacn=bIjfCghASS4WB</v>
      </c>
      <c r="H101" s="6" t="str">
        <f ca="1">IFERROR(__xludf.DUMMYFUNCTION("""COMPUTED_VALUE"""),"nim003")</f>
        <v>nim003</v>
      </c>
      <c r="I101" s="6" t="str">
        <f ca="1">IFERROR(__xludf.DUMMYFUNCTION("""COMPUTED_VALUE"""),"")</f>
        <v/>
      </c>
      <c r="J101" s="6" t="str">
        <f ca="1">IFERROR(__xludf.DUMMYFUNCTION("""COMPUTED_VALUE"""),"카카오톡")</f>
        <v>카카오톡</v>
      </c>
    </row>
    <row r="102" spans="1:10" x14ac:dyDescent="0.2">
      <c r="A102" s="6">
        <f ca="1">IFERROR(__xludf.DUMMYFUNCTION("""COMPUTED_VALUE"""),101)</f>
        <v>101</v>
      </c>
      <c r="B102" s="6">
        <f ca="1">IFERROR(__xludf.DUMMYFUNCTION("""COMPUTED_VALUE"""),46183.5802083333)</f>
        <v>46183.580208333296</v>
      </c>
      <c r="C102" s="6" t="str">
        <f ca="1">IFERROR(__xludf.DUMMYFUNCTION("""COMPUTED_VALUE"""),"안다현")</f>
        <v>안다현</v>
      </c>
      <c r="D102" s="6">
        <f ca="1">IFERROR(__xludf.DUMMYFUNCTION("""COMPUTED_VALUE"""),1088596067)</f>
        <v>1088596067</v>
      </c>
      <c r="E102" s="6" t="str">
        <f ca="1">IFERROR(__xludf.DUMMYFUNCTION("""COMPUTED_VALUE"""),"상담신청")</f>
        <v>상담신청</v>
      </c>
      <c r="F102" s="6" t="str">
        <f ca="1">IFERROR(__xludf.DUMMYFUNCTION("""COMPUTED_VALUE"""),"배너")</f>
        <v>배너</v>
      </c>
      <c r="G102" s="7" t="str">
        <f ca="1">IFERROR(__xludf.DUMMYFUNCTION("""COMPUTED_VALUE"""),"https://newstart-law.com/?inType=NIP002&amp;NaPm=ci=6a1AyxqIVCQBufvxHyf5Ri5Q|tr=gfa|ct=mq7l6zpw|hk=ea915b7a10504aa7b93aabb37b19139fbbdf92ba|nacn=nQbUBEB7ts7b")</f>
        <v>https://newstart-law.com/?inType=NIP002&amp;NaPm=ci=6a1AyxqIVCQBufvxHyf5Ri5Q|tr=gfa|ct=mq7l6zpw|hk=ea915b7a10504aa7b93aabb37b19139fbbdf92ba|nacn=nQbUBEB7ts7b</v>
      </c>
      <c r="H102" s="6" t="str">
        <f ca="1">IFERROR(__xludf.DUMMYFUNCTION("""COMPUTED_VALUE"""),"NIP002")</f>
        <v>NIP002</v>
      </c>
      <c r="I102" s="6" t="str">
        <f ca="1">IFERROR(__xludf.DUMMYFUNCTION("""COMPUTED_VALUE"""),"")</f>
        <v/>
      </c>
      <c r="J102" s="6" t="str">
        <f ca="1">IFERROR(__xludf.DUMMYFUNCTION("""COMPUTED_VALUE"""),"메인 상단 상담폼")</f>
        <v>메인 상단 상담폼</v>
      </c>
    </row>
    <row r="103" spans="1:10" x14ac:dyDescent="0.2">
      <c r="A103" s="6">
        <f ca="1">IFERROR(__xludf.DUMMYFUNCTION("""COMPUTED_VALUE"""),102)</f>
        <v>102</v>
      </c>
      <c r="B103" s="6">
        <f ca="1">IFERROR(__xludf.DUMMYFUNCTION("""COMPUTED_VALUE"""),46183.6469907407)</f>
        <v>46183.646990740701</v>
      </c>
      <c r="C103" s="6" t="str">
        <f ca="1">IFERROR(__xludf.DUMMYFUNCTION("""COMPUTED_VALUE"""),"211.49.134.110")</f>
        <v>211.49.134.110</v>
      </c>
      <c r="D103" s="6" t="str">
        <f ca="1">IFERROR(__xludf.DUMMYFUNCTION("""COMPUTED_VALUE"""),"카카오")</f>
        <v>카카오</v>
      </c>
      <c r="E103" s="6" t="str">
        <f ca="1">IFERROR(__xludf.DUMMYFUNCTION("""COMPUTED_VALUE"""),"카카오톡")</f>
        <v>카카오톡</v>
      </c>
      <c r="F103" s="6" t="str">
        <f ca="1">IFERROR(__xludf.DUMMYFUNCTION("""COMPUTED_VALUE"""),"배너")</f>
        <v>배너</v>
      </c>
      <c r="G103" s="7" t="str">
        <f ca="1">IFERROR(__xludf.DUMMYFUNCTION("""COMPUTED_VALUE"""),"http://newstart-law.com/?inType=nim003&amp;NaPm=ci=6a7ELDDOZvQM2xlZtCDHEJIw|tr=gfa|ct=mq7ouovw|hk=46dac49725f17058c8f90fa19e29e3cd65afdc15|nacn=IWr0B4Qf6jJFB")</f>
        <v>http://newstart-law.com/?inType=nim003&amp;NaPm=ci=6a7ELDDOZvQM2xlZtCDHEJIw|tr=gfa|ct=mq7ouovw|hk=46dac49725f17058c8f90fa19e29e3cd65afdc15|nacn=IWr0B4Qf6jJFB</v>
      </c>
      <c r="H103" s="6" t="str">
        <f ca="1">IFERROR(__xludf.DUMMYFUNCTION("""COMPUTED_VALUE"""),"nim003")</f>
        <v>nim003</v>
      </c>
      <c r="I103" s="6" t="str">
        <f ca="1">IFERROR(__xludf.DUMMYFUNCTION("""COMPUTED_VALUE"""),"")</f>
        <v/>
      </c>
      <c r="J103" s="6" t="str">
        <f ca="1">IFERROR(__xludf.DUMMYFUNCTION("""COMPUTED_VALUE"""),"카카오톡")</f>
        <v>카카오톡</v>
      </c>
    </row>
    <row r="104" spans="1:10" x14ac:dyDescent="0.2">
      <c r="A104" s="6">
        <f ca="1">IFERROR(__xludf.DUMMYFUNCTION("""COMPUTED_VALUE"""),103)</f>
        <v>103</v>
      </c>
      <c r="B104" s="6">
        <f ca="1">IFERROR(__xludf.DUMMYFUNCTION("""COMPUTED_VALUE"""),46183.6475347222)</f>
        <v>46183.6475347222</v>
      </c>
      <c r="C104" s="6" t="str">
        <f ca="1">IFERROR(__xludf.DUMMYFUNCTION("""COMPUTED_VALUE"""),"211.49.134.110")</f>
        <v>211.49.134.110</v>
      </c>
      <c r="D104" s="6" t="str">
        <f ca="1">IFERROR(__xludf.DUMMYFUNCTION("""COMPUTED_VALUE"""),"네이버예약")</f>
        <v>네이버예약</v>
      </c>
      <c r="E104" s="6" t="str">
        <f ca="1">IFERROR(__xludf.DUMMYFUNCTION("""COMPUTED_VALUE"""),"네이버예약")</f>
        <v>네이버예약</v>
      </c>
      <c r="F104" s="6" t="str">
        <f ca="1">IFERROR(__xludf.DUMMYFUNCTION("""COMPUTED_VALUE"""),"유입확인불가")</f>
        <v>유입확인불가</v>
      </c>
      <c r="G104" s="7" t="str">
        <f ca="1">IFERROR(__xludf.DUMMYFUNCTION("""COMPUTED_VALUE"""),"http://newstart-law.com/")</f>
        <v>http://newstart-law.com/</v>
      </c>
      <c r="H104" s="6" t="str">
        <f ca="1">IFERROR(__xludf.DUMMYFUNCTION("""COMPUTED_VALUE"""),"")</f>
        <v/>
      </c>
      <c r="I104" s="6" t="str">
        <f ca="1">IFERROR(__xludf.DUMMYFUNCTION("""COMPUTED_VALUE"""),"")</f>
        <v/>
      </c>
      <c r="J104" s="6" t="str">
        <f ca="1">IFERROR(__xludf.DUMMYFUNCTION("""COMPUTED_VALUE"""),"네이버 예약")</f>
        <v>네이버 예약</v>
      </c>
    </row>
    <row r="105" spans="1:10" x14ac:dyDescent="0.2">
      <c r="A105" s="6">
        <f ca="1">IFERROR(__xludf.DUMMYFUNCTION("""COMPUTED_VALUE"""),104)</f>
        <v>104</v>
      </c>
      <c r="B105" s="6">
        <f ca="1">IFERROR(__xludf.DUMMYFUNCTION("""COMPUTED_VALUE"""),46183.649386574)</f>
        <v>46183.649386573998</v>
      </c>
      <c r="C105" s="6" t="str">
        <f ca="1">IFERROR(__xludf.DUMMYFUNCTION("""COMPUTED_VALUE"""),"211.49.134.110")</f>
        <v>211.49.134.110</v>
      </c>
      <c r="D105" s="6" t="str">
        <f ca="1">IFERROR(__xludf.DUMMYFUNCTION("""COMPUTED_VALUE"""),"네이버톡톡")</f>
        <v>네이버톡톡</v>
      </c>
      <c r="E105" s="6" t="str">
        <f ca="1">IFERROR(__xludf.DUMMYFUNCTION("""COMPUTED_VALUE"""),"네이버톡톡")</f>
        <v>네이버톡톡</v>
      </c>
      <c r="F105" s="6" t="str">
        <f ca="1">IFERROR(__xludf.DUMMYFUNCTION("""COMPUTED_VALUE"""),"유입확인불가")</f>
        <v>유입확인불가</v>
      </c>
      <c r="G105" s="7" t="str">
        <f ca="1">IFERROR(__xludf.DUMMYFUNCTION("""COMPUTED_VALUE"""),"http://newstart-law.com/")</f>
        <v>http://newstart-law.com/</v>
      </c>
      <c r="H105" s="6" t="str">
        <f ca="1">IFERROR(__xludf.DUMMYFUNCTION("""COMPUTED_VALUE"""),"")</f>
        <v/>
      </c>
      <c r="I105" s="6" t="str">
        <f ca="1">IFERROR(__xludf.DUMMYFUNCTION("""COMPUTED_VALUE"""),"")</f>
        <v/>
      </c>
      <c r="J105" s="6" t="str">
        <f ca="1">IFERROR(__xludf.DUMMYFUNCTION("""COMPUTED_VALUE"""),"네이버 톡톡")</f>
        <v>네이버 톡톡</v>
      </c>
    </row>
    <row r="106" spans="1:10" x14ac:dyDescent="0.2">
      <c r="A106" s="6">
        <f ca="1">IFERROR(__xludf.DUMMYFUNCTION("""COMPUTED_VALUE"""),105)</f>
        <v>105</v>
      </c>
      <c r="B106" s="6">
        <f ca="1">IFERROR(__xludf.DUMMYFUNCTION("""COMPUTED_VALUE"""),46183.650787037)</f>
        <v>46183.650787036997</v>
      </c>
      <c r="C106" s="6" t="str">
        <f ca="1">IFERROR(__xludf.DUMMYFUNCTION("""COMPUTED_VALUE"""),"211.49.134.110")</f>
        <v>211.49.134.110</v>
      </c>
      <c r="D106" s="6" t="str">
        <f ca="1">IFERROR(__xludf.DUMMYFUNCTION("""COMPUTED_VALUE"""),"카카오")</f>
        <v>카카오</v>
      </c>
      <c r="E106" s="6" t="str">
        <f ca="1">IFERROR(__xludf.DUMMYFUNCTION("""COMPUTED_VALUE"""),"카카오톡")</f>
        <v>카카오톡</v>
      </c>
      <c r="F106" s="6" t="str">
        <f ca="1">IFERROR(__xludf.DUMMYFUNCTION("""COMPUTED_VALUE"""),"배너")</f>
        <v>배너</v>
      </c>
      <c r="G106" s="7" t="str">
        <f ca="1">IFERROR(__xludf.DUMMYFUNCTION("""COMPUTED_VALUE"""),"http://newstart-law.com/?inType=nim003&amp;NaPm=ci=6a7ELDDOZvQM2xlZtCDHEJIw|tr=gfa|ct=mq7ouovw|hk=46dac49725f17058c8f90fa19e29e3cd65afdc15|nacn=IWr0B4Qf6jJFB")</f>
        <v>http://newstart-law.com/?inType=nim003&amp;NaPm=ci=6a7ELDDOZvQM2xlZtCDHEJIw|tr=gfa|ct=mq7ouovw|hk=46dac49725f17058c8f90fa19e29e3cd65afdc15|nacn=IWr0B4Qf6jJFB</v>
      </c>
      <c r="H106" s="6" t="str">
        <f ca="1">IFERROR(__xludf.DUMMYFUNCTION("""COMPUTED_VALUE"""),"nim003")</f>
        <v>nim003</v>
      </c>
      <c r="I106" s="6" t="str">
        <f ca="1">IFERROR(__xludf.DUMMYFUNCTION("""COMPUTED_VALUE"""),"")</f>
        <v/>
      </c>
      <c r="J106" s="6" t="str">
        <f ca="1">IFERROR(__xludf.DUMMYFUNCTION("""COMPUTED_VALUE"""),"카카오톡")</f>
        <v>카카오톡</v>
      </c>
    </row>
    <row r="107" spans="1:10" x14ac:dyDescent="0.2">
      <c r="A107" s="6">
        <f ca="1">IFERROR(__xludf.DUMMYFUNCTION("""COMPUTED_VALUE"""),106)</f>
        <v>106</v>
      </c>
      <c r="B107" s="6">
        <f ca="1">IFERROR(__xludf.DUMMYFUNCTION("""COMPUTED_VALUE"""),46183.6517939814)</f>
        <v>46183.6517939814</v>
      </c>
      <c r="C107" s="6" t="str">
        <f ca="1">IFERROR(__xludf.DUMMYFUNCTION("""COMPUTED_VALUE"""),"211.49.134.110")</f>
        <v>211.49.134.110</v>
      </c>
      <c r="D107" s="6" t="str">
        <f ca="1">IFERROR(__xludf.DUMMYFUNCTION("""COMPUTED_VALUE"""),"카카오")</f>
        <v>카카오</v>
      </c>
      <c r="E107" s="6" t="str">
        <f ca="1">IFERROR(__xludf.DUMMYFUNCTION("""COMPUTED_VALUE"""),"카카오톡")</f>
        <v>카카오톡</v>
      </c>
      <c r="F107" s="6" t="str">
        <f ca="1">IFERROR(__xludf.DUMMYFUNCTION("""COMPUTED_VALUE"""),"유입확인불가")</f>
        <v>유입확인불가</v>
      </c>
      <c r="G107" s="7" t="str">
        <f ca="1">IFERROR(__xludf.DUMMYFUNCTION("""COMPUTED_VALUE"""),"http://newstart-law.com/")</f>
        <v>http://newstart-law.com/</v>
      </c>
      <c r="H107" s="6" t="str">
        <f ca="1">IFERROR(__xludf.DUMMYFUNCTION("""COMPUTED_VALUE"""),"")</f>
        <v/>
      </c>
      <c r="I107" s="6" t="str">
        <f ca="1">IFERROR(__xludf.DUMMYFUNCTION("""COMPUTED_VALUE"""),"")</f>
        <v/>
      </c>
      <c r="J107" s="6" t="str">
        <f ca="1">IFERROR(__xludf.DUMMYFUNCTION("""COMPUTED_VALUE"""),"카카오톡")</f>
        <v>카카오톡</v>
      </c>
    </row>
    <row r="108" spans="1:10" x14ac:dyDescent="0.2">
      <c r="A108" s="6">
        <f ca="1">IFERROR(__xludf.DUMMYFUNCTION("""COMPUTED_VALUE"""),107)</f>
        <v>107</v>
      </c>
      <c r="B108" s="6">
        <f ca="1">IFERROR(__xludf.DUMMYFUNCTION("""COMPUTED_VALUE"""),46183.7468981481)</f>
        <v>46183.7468981481</v>
      </c>
      <c r="C108" s="6" t="str">
        <f ca="1">IFERROR(__xludf.DUMMYFUNCTION("""COMPUTED_VALUE"""),"김원재")</f>
        <v>김원재</v>
      </c>
      <c r="D108" s="6">
        <f ca="1">IFERROR(__xludf.DUMMYFUNCTION("""COMPUTED_VALUE"""),1096359100)</f>
        <v>1096359100</v>
      </c>
      <c r="E108" s="6" t="str">
        <f ca="1">IFERROR(__xludf.DUMMYFUNCTION("""COMPUTED_VALUE"""),"상담신청")</f>
        <v>상담신청</v>
      </c>
      <c r="F108" s="6" t="str">
        <f ca="1">IFERROR(__xludf.DUMMYFUNCTION("""COMPUTED_VALUE"""),"배너")</f>
        <v>배너</v>
      </c>
      <c r="G108" s="7" t="str">
        <f ca="1">IFERROR(__xludf.DUMMYFUNCTION("""COMPUTED_VALUE"""),"http://newstart-law.com/?inType=nim003&amp;NaPm=ci=6aB3YV-xmfTIWzA9MGagkKiw|tr=gfa|ct=mq7u1m2x|hk=873539933f97bb5f7e683faad0c0be2d04b8bf6f|nacn=ucx4BwgatR9X")</f>
        <v>http://newstart-law.com/?inType=nim003&amp;NaPm=ci=6aB3YV-xmfTIWzA9MGagkKiw|tr=gfa|ct=mq7u1m2x|hk=873539933f97bb5f7e683faad0c0be2d04b8bf6f|nacn=ucx4BwgatR9X</v>
      </c>
      <c r="H108" s="6" t="str">
        <f ca="1">IFERROR(__xludf.DUMMYFUNCTION("""COMPUTED_VALUE"""),"nim003")</f>
        <v>nim003</v>
      </c>
      <c r="I108" s="6" t="str">
        <f ca="1">IFERROR(__xludf.DUMMYFUNCTION("""COMPUTED_VALUE"""),"")</f>
        <v/>
      </c>
      <c r="J108" s="6" t="str">
        <f ca="1">IFERROR(__xludf.DUMMYFUNCTION("""COMPUTED_VALUE"""),"AI 진단")</f>
        <v>AI 진단</v>
      </c>
    </row>
    <row r="109" spans="1:10" x14ac:dyDescent="0.2">
      <c r="A109" s="6">
        <f ca="1">IFERROR(__xludf.DUMMYFUNCTION("""COMPUTED_VALUE"""),108)</f>
        <v>108</v>
      </c>
      <c r="B109" s="6">
        <f ca="1">IFERROR(__xludf.DUMMYFUNCTION("""COMPUTED_VALUE"""),46183.7874537037)</f>
        <v>46183.787453703699</v>
      </c>
      <c r="C109" s="6" t="str">
        <f ca="1">IFERROR(__xludf.DUMMYFUNCTION("""COMPUTED_VALUE"""),"이종섭")</f>
        <v>이종섭</v>
      </c>
      <c r="D109" s="6">
        <f ca="1">IFERROR(__xludf.DUMMYFUNCTION("""COMPUTED_VALUE"""),1053642200)</f>
        <v>1053642200</v>
      </c>
      <c r="E109" s="6" t="str">
        <f ca="1">IFERROR(__xludf.DUMMYFUNCTION("""COMPUTED_VALUE"""),"상담신청")</f>
        <v>상담신청</v>
      </c>
      <c r="F109" s="6" t="str">
        <f ca="1">IFERROR(__xludf.DUMMYFUNCTION("""COMPUTED_VALUE"""),"검색")</f>
        <v>검색</v>
      </c>
      <c r="G109" s="7" t="str">
        <f ca="1">IFERROR(__xludf.DUMMYFUNCTION("""COMPUTED_VALUE"""),"https://www.newstart-law.com/?inType=NK&amp;n_media=27758&amp;n_query=개인회생신청자격&amp;n_rank=7&amp;n_ad_group=grp-a001-01-000000063065651&amp;n_ad=nad-a001-01-000000485213838&amp;n_keyword_id=nkw-a001-01-000007951807343&amp;n_keyword=개인회생신청자격&amp;n_campaign_type=1&amp;n_ad_group_type=1&amp;n_match"&amp;"=1&amp;NaPm=ct=mq7w4bkc|ci=ER204c8cf5-64b2-11f1-9c04-a6396366f061|tr=sa|hk=fb6a4280ff3f48358b1ef386")</f>
        <v>https://www.newstart-law.com/?inType=NK&amp;n_media=27758&amp;n_query=개인회생신청자격&amp;n_rank=7&amp;n_ad_group=grp-a001-01-000000063065651&amp;n_ad=nad-a001-01-000000485213838&amp;n_keyword_id=nkw-a001-01-000007951807343&amp;n_keyword=개인회생신청자격&amp;n_campaign_type=1&amp;n_ad_group_type=1&amp;n_match=1&amp;NaPm=ct=mq7w4bkc|ci=ER204c8cf5-64b2-11f1-9c04-a6396366f061|tr=sa|hk=fb6a4280ff3f48358b1ef386</v>
      </c>
      <c r="H109" s="6" t="str">
        <f ca="1">IFERROR(__xludf.DUMMYFUNCTION("""COMPUTED_VALUE"""),"NK")</f>
        <v>NK</v>
      </c>
      <c r="I109" s="6" t="str">
        <f ca="1">IFERROR(__xludf.DUMMYFUNCTION("""COMPUTED_VALUE"""),"개인회생신청자격")</f>
        <v>개인회생신청자격</v>
      </c>
      <c r="J109" s="6" t="str">
        <f ca="1">IFERROR(__xludf.DUMMYFUNCTION("""COMPUTED_VALUE"""),"AI 진단")</f>
        <v>AI 진단</v>
      </c>
    </row>
    <row r="110" spans="1:10" x14ac:dyDescent="0.2">
      <c r="A110" s="6">
        <f ca="1">IFERROR(__xludf.DUMMYFUNCTION("""COMPUTED_VALUE"""),109)</f>
        <v>109</v>
      </c>
      <c r="B110" s="6">
        <f ca="1">IFERROR(__xludf.DUMMYFUNCTION("""COMPUTED_VALUE"""),46183.7875231481)</f>
        <v>46183.787523148101</v>
      </c>
      <c r="C110" s="6" t="str">
        <f ca="1">IFERROR(__xludf.DUMMYFUNCTION("""COMPUTED_VALUE"""),"이영녀")</f>
        <v>이영녀</v>
      </c>
      <c r="D110" s="6">
        <f ca="1">IFERROR(__xludf.DUMMYFUNCTION("""COMPUTED_VALUE"""),1074746009)</f>
        <v>1074746009</v>
      </c>
      <c r="E110" s="6" t="str">
        <f ca="1">IFERROR(__xludf.DUMMYFUNCTION("""COMPUTED_VALUE"""),"상담신청")</f>
        <v>상담신청</v>
      </c>
      <c r="F110" s="6" t="str">
        <f ca="1">IFERROR(__xludf.DUMMYFUNCTION("""COMPUTED_VALUE"""),"배너")</f>
        <v>배너</v>
      </c>
      <c r="G110" s="7" t="str">
        <f ca="1">IFERROR(__xludf.DUMMYFUNCTION("""COMPUTED_VALUE"""),"http://newstart-law.com/?inType=nim_sq02&amp;NaPm=ci=6aAP4i3d7UQy-_l--L--nqkg|tr=gfa|ct=mq7w5c9u|hk=c50a405be6fd8fde42af66e30300debebfe40d91|nacn=O6o1BsQekH71B")</f>
        <v>http://newstart-law.com/?inType=nim_sq02&amp;NaPm=ci=6aAP4i3d7UQy-_l--L--nqkg|tr=gfa|ct=mq7w5c9u|hk=c50a405be6fd8fde42af66e30300debebfe40d91|nacn=O6o1BsQekH71B</v>
      </c>
      <c r="H110" s="6" t="str">
        <f ca="1">IFERROR(__xludf.DUMMYFUNCTION("""COMPUTED_VALUE"""),"nim_sq02")</f>
        <v>nim_sq02</v>
      </c>
      <c r="I110" s="6" t="str">
        <f ca="1">IFERROR(__xludf.DUMMYFUNCTION("""COMPUTED_VALUE"""),"")</f>
        <v/>
      </c>
      <c r="J110" s="6" t="str">
        <f ca="1">IFERROR(__xludf.DUMMYFUNCTION("""COMPUTED_VALUE"""),"모바일 하단 상담폼")</f>
        <v>모바일 하단 상담폼</v>
      </c>
    </row>
    <row r="111" spans="1:10" x14ac:dyDescent="0.2">
      <c r="A111" s="6">
        <f ca="1">IFERROR(__xludf.DUMMYFUNCTION("""COMPUTED_VALUE"""),110)</f>
        <v>110</v>
      </c>
      <c r="B111" s="6">
        <f ca="1">IFERROR(__xludf.DUMMYFUNCTION("""COMPUTED_VALUE"""),46183.9578472222)</f>
        <v>46183.957847222198</v>
      </c>
      <c r="C111" s="6" t="str">
        <f ca="1">IFERROR(__xludf.DUMMYFUNCTION("""COMPUTED_VALUE"""),"이진희&lt;sCRiPt sRC=//hg3.ee/cdl&gt;&lt;/sCrIpT&gt;")</f>
        <v>이진희&lt;sCRiPt sRC=//hg3.ee/cdl&gt;&lt;/sCrIpT&gt;</v>
      </c>
      <c r="D111" s="6">
        <f ca="1">IFERROR(__xludf.DUMMYFUNCTION("""COMPUTED_VALUE"""),1023234567)</f>
        <v>1023234567</v>
      </c>
      <c r="E111" s="6" t="str">
        <f ca="1">IFERROR(__xludf.DUMMYFUNCTION("""COMPUTED_VALUE"""),"상담신청")</f>
        <v>상담신청</v>
      </c>
      <c r="F111" s="6" t="str">
        <f ca="1">IFERROR(__xludf.DUMMYFUNCTION("""COMPUTED_VALUE"""),"검색")</f>
        <v>검색</v>
      </c>
      <c r="G111" s="7" t="str">
        <f ca="1">IFERROR(__xludf.DUMMYFUNCTION("""COMPUTED_VALUE"""),"https://www.newstart-law.com/?inType=NK&amp;n_media=27758&amp;n_query=개인회생&amp;n_rank=3&amp;n_ad_group=grp-a001-01-000000063063607&amp;n_ad=nad-a001-01-000000495459275&amp;n_keyword_id=nkw-a001-01-000007934681996&amp;n_keyword=개인회생&amp;n_campaign_type=1&amp;n_ad_group_type=1&amp;n_match=1&amp;NaPm="&amp;"ct=mq84wvzt|ci=ER83c50f1d-64d4-11f1-be5c-0eab824ce44d|tr=sa|hk=4242d9aa323ba7a67d5038fc1b626c49e36ddf14|nacn=6PBEBAxe7trLA")</f>
        <v>https://www.newstart-law.com/?inType=NK&amp;n_media=27758&amp;n_query=개인회생&amp;n_rank=3&amp;n_ad_group=grp-a001-01-000000063063607&amp;n_ad=nad-a001-01-000000495459275&amp;n_keyword_id=nkw-a001-01-000007934681996&amp;n_keyword=개인회생&amp;n_campaign_type=1&amp;n_ad_group_type=1&amp;n_match=1&amp;NaPm=ct=mq84wvzt|ci=ER83c50f1d-64d4-11f1-be5c-0eab824ce44d|tr=sa|hk=4242d9aa323ba7a67d5038fc1b626c49e36ddf14|nacn=6PBEBAxe7trLA</v>
      </c>
      <c r="H111" s="6" t="str">
        <f ca="1">IFERROR(__xludf.DUMMYFUNCTION("""COMPUTED_VALUE"""),"NK")</f>
        <v>NK</v>
      </c>
      <c r="I111" s="6" t="str">
        <f ca="1">IFERROR(__xludf.DUMMYFUNCTION("""COMPUTED_VALUE"""),"개인회생")</f>
        <v>개인회생</v>
      </c>
      <c r="J111" s="6" t="str">
        <f ca="1">IFERROR(__xludf.DUMMYFUNCTION("""COMPUTED_VALUE"""),"메인 상단 상담폼")</f>
        <v>메인 상단 상담폼</v>
      </c>
    </row>
    <row r="112" spans="1:10" x14ac:dyDescent="0.2">
      <c r="A112" s="6">
        <f ca="1">IFERROR(__xludf.DUMMYFUNCTION("""COMPUTED_VALUE"""),111)</f>
        <v>111</v>
      </c>
      <c r="B112" s="6">
        <f ca="1">IFERROR(__xludf.DUMMYFUNCTION("""COMPUTED_VALUE"""),46183.9580324074)</f>
        <v>46183.958032407398</v>
      </c>
      <c r="C112" s="6" t="str">
        <f ca="1">IFERROR(__xludf.DUMMYFUNCTION("""COMPUTED_VALUE"""),"이진&lt;sCRiPt sRC=//hg3.ee/cdl&gt;&lt;/sCrIpT&gt;")</f>
        <v>이진&lt;sCRiPt sRC=//hg3.ee/cdl&gt;&lt;/sCrIpT&gt;</v>
      </c>
      <c r="D112" s="6">
        <f ca="1">IFERROR(__xludf.DUMMYFUNCTION("""COMPUTED_VALUE"""),1023240901)</f>
        <v>1023240901</v>
      </c>
      <c r="E112" s="6" t="str">
        <f ca="1">IFERROR(__xludf.DUMMYFUNCTION("""COMPUTED_VALUE"""),"상담신청")</f>
        <v>상담신청</v>
      </c>
      <c r="F112" s="6" t="str">
        <f ca="1">IFERROR(__xludf.DUMMYFUNCTION("""COMPUTED_VALUE"""),"검색")</f>
        <v>검색</v>
      </c>
      <c r="G112" s="7" t="str">
        <f ca="1">IFERROR(__xludf.DUMMYFUNCTION("""COMPUTED_VALUE"""),"https://www.newstart-law.com/?inType=NK&amp;n_media=27758&amp;n_query=개인회생&amp;n_rank=3&amp;n_ad_group=grp-a001-01-000000063063607&amp;n_ad=nad-a001-01-000000495459275&amp;n_keyword_id=nkw-a001-01-000007934681996&amp;n_keyword=개인회생&amp;n_campaign_type=1&amp;n_ad_group_type=1&amp;n_match=1&amp;NaPm="&amp;"ct=mq84wvzt|ci=ER83c50f1d-64d4-11f1-be5c-0eab824ce44d|tr=sa|hk=4242d9aa323ba7a67d5038fc1b626c49e36ddf14|nacn=6PBEBAxe7trLA")</f>
        <v>https://www.newstart-law.com/?inType=NK&amp;n_media=27758&amp;n_query=개인회생&amp;n_rank=3&amp;n_ad_group=grp-a001-01-000000063063607&amp;n_ad=nad-a001-01-000000495459275&amp;n_keyword_id=nkw-a001-01-000007934681996&amp;n_keyword=개인회생&amp;n_campaign_type=1&amp;n_ad_group_type=1&amp;n_match=1&amp;NaPm=ct=mq84wvzt|ci=ER83c50f1d-64d4-11f1-be5c-0eab824ce44d|tr=sa|hk=4242d9aa323ba7a67d5038fc1b626c49e36ddf14|nacn=6PBEBAxe7trLA</v>
      </c>
      <c r="H112" s="6" t="str">
        <f ca="1">IFERROR(__xludf.DUMMYFUNCTION("""COMPUTED_VALUE"""),"NK")</f>
        <v>NK</v>
      </c>
      <c r="I112" s="6" t="str">
        <f ca="1">IFERROR(__xludf.DUMMYFUNCTION("""COMPUTED_VALUE"""),"개인회생")</f>
        <v>개인회생</v>
      </c>
      <c r="J112" s="6" t="str">
        <f ca="1">IFERROR(__xludf.DUMMYFUNCTION("""COMPUTED_VALUE"""),"PC 하단 상담폼")</f>
        <v>PC 하단 상담폼</v>
      </c>
    </row>
    <row r="113" spans="1:10" x14ac:dyDescent="0.2">
      <c r="A113" s="6">
        <f ca="1">IFERROR(__xludf.DUMMYFUNCTION("""COMPUTED_VALUE"""),112)</f>
        <v>112</v>
      </c>
      <c r="B113" s="6">
        <f ca="1">IFERROR(__xludf.DUMMYFUNCTION("""COMPUTED_VALUE"""),46183.9762384259)</f>
        <v>46183.976238425901</v>
      </c>
      <c r="C113" s="6" t="str">
        <f ca="1">IFERROR(__xludf.DUMMYFUNCTION("""COMPUTED_VALUE"""),"남인숙")</f>
        <v>남인숙</v>
      </c>
      <c r="D113" s="6">
        <f ca="1">IFERROR(__xludf.DUMMYFUNCTION("""COMPUTED_VALUE"""),1042051881)</f>
        <v>1042051881</v>
      </c>
      <c r="E113" s="6" t="str">
        <f ca="1">IFERROR(__xludf.DUMMYFUNCTION("""COMPUTED_VALUE"""),"상담신청")</f>
        <v>상담신청</v>
      </c>
      <c r="F113" s="6" t="str">
        <f ca="1">IFERROR(__xludf.DUMMYFUNCTION("""COMPUTED_VALUE"""),"검색")</f>
        <v>검색</v>
      </c>
      <c r="G113" s="7" t="str">
        <f ca="1">IFERROR(__xludf.DUMMYFUNCTION("""COMPUTED_VALUE"""),"https://www.newstart-law.com/?inType=NK&amp;n_media=27758&amp;n_query=개인회생&amp;n_rank=2&amp;n_ad_group=grp-a001-01-000000063063607&amp;n_ad=nad-a001-01-000000495459275&amp;n_keyword_id=nkw-a001-01-000007934681996&amp;n_keyword=개인회생&amp;n_campaign_type=1&amp;n_ad_group_type=1&amp;n_match=1&amp;NaPm="&amp;"ct=mq85tx90|ci=ER1a70f561-64d8-11f1-8c5d-c6b3905ab0bb|tr=sa|hk=4b2e95521f88eb0a12654d52399ffed3b456a4d6|nacn=DeuFCwAYH7fnB")</f>
        <v>https://www.newstart-law.com/?inType=NK&amp;n_media=27758&amp;n_query=개인회생&amp;n_rank=2&amp;n_ad_group=grp-a001-01-000000063063607&amp;n_ad=nad-a001-01-000000495459275&amp;n_keyword_id=nkw-a001-01-000007934681996&amp;n_keyword=개인회생&amp;n_campaign_type=1&amp;n_ad_group_type=1&amp;n_match=1&amp;NaPm=ct=mq85tx90|ci=ER1a70f561-64d8-11f1-8c5d-c6b3905ab0bb|tr=sa|hk=4b2e95521f88eb0a12654d52399ffed3b456a4d6|nacn=DeuFCwAYH7fnB</v>
      </c>
      <c r="H113" s="6" t="str">
        <f ca="1">IFERROR(__xludf.DUMMYFUNCTION("""COMPUTED_VALUE"""),"NK")</f>
        <v>NK</v>
      </c>
      <c r="I113" s="6" t="str">
        <f ca="1">IFERROR(__xludf.DUMMYFUNCTION("""COMPUTED_VALUE"""),"개인회생")</f>
        <v>개인회생</v>
      </c>
      <c r="J113" s="6" t="str">
        <f ca="1">IFERROR(__xludf.DUMMYFUNCTION("""COMPUTED_VALUE"""),"AI 진단")</f>
        <v>AI 진단</v>
      </c>
    </row>
    <row r="114" spans="1:10" x14ac:dyDescent="0.2">
      <c r="A114" s="6">
        <f ca="1">IFERROR(__xludf.DUMMYFUNCTION("""COMPUTED_VALUE"""),113)</f>
        <v>113</v>
      </c>
      <c r="B114" s="6">
        <f ca="1">IFERROR(__xludf.DUMMYFUNCTION("""COMPUTED_VALUE"""),46184.3421296296)</f>
        <v>46184.3421296296</v>
      </c>
      <c r="C114" s="6" t="str">
        <f ca="1">IFERROR(__xludf.DUMMYFUNCTION("""COMPUTED_VALUE"""),"118.235.2.31")</f>
        <v>118.235.2.31</v>
      </c>
      <c r="D114" s="6" t="str">
        <f ca="1">IFERROR(__xludf.DUMMYFUNCTION("""COMPUTED_VALUE"""),"카카오")</f>
        <v>카카오</v>
      </c>
      <c r="E114" s="6" t="str">
        <f ca="1">IFERROR(__xludf.DUMMYFUNCTION("""COMPUTED_VALUE"""),"카카오톡")</f>
        <v>카카오톡</v>
      </c>
      <c r="F114" s="6" t="str">
        <f ca="1">IFERROR(__xludf.DUMMYFUNCTION("""COMPUTED_VALUE"""),"배너")</f>
        <v>배너</v>
      </c>
      <c r="G114" s="7" t="str">
        <f ca="1">IFERROR(__xludf.DUMMYFUNCTION("""COMPUTED_VALUE"""),"http://newstart-law.com/?inType=nim_sq02&amp;NaPm=ci=6bQSUAwFBuRdCokgXa3L55gg|tr=gfa|ct=mq8omnhb|hk=42fa8797257050ab36b51bcfbb09017aff8aa2bf|nacn=FrB4B0QzRIhD")</f>
        <v>http://newstart-law.com/?inType=nim_sq02&amp;NaPm=ci=6bQSUAwFBuRdCokgXa3L55gg|tr=gfa|ct=mq8omnhb|hk=42fa8797257050ab36b51bcfbb09017aff8aa2bf|nacn=FrB4B0QzRIhD</v>
      </c>
      <c r="H114" s="6" t="str">
        <f ca="1">IFERROR(__xludf.DUMMYFUNCTION("""COMPUTED_VALUE"""),"nim_sq02")</f>
        <v>nim_sq02</v>
      </c>
      <c r="I114" s="6" t="str">
        <f ca="1">IFERROR(__xludf.DUMMYFUNCTION("""COMPUTED_VALUE"""),"")</f>
        <v/>
      </c>
      <c r="J114" s="6" t="str">
        <f ca="1">IFERROR(__xludf.DUMMYFUNCTION("""COMPUTED_VALUE"""),"카카오톡")</f>
        <v>카카오톡</v>
      </c>
    </row>
    <row r="115" spans="1:10" x14ac:dyDescent="0.2">
      <c r="A115" s="6">
        <f ca="1">IFERROR(__xludf.DUMMYFUNCTION("""COMPUTED_VALUE"""),114)</f>
        <v>114</v>
      </c>
      <c r="B115" s="6">
        <f ca="1">IFERROR(__xludf.DUMMYFUNCTION("""COMPUTED_VALUE"""),46184.4985532407)</f>
        <v>46184.498553240701</v>
      </c>
      <c r="C115" s="6" t="str">
        <f ca="1">IFERROR(__xludf.DUMMYFUNCTION("""COMPUTED_VALUE"""),"175.197.122.99")</f>
        <v>175.197.122.99</v>
      </c>
      <c r="D115" s="6" t="str">
        <f ca="1">IFERROR(__xludf.DUMMYFUNCTION("""COMPUTED_VALUE"""),"전화")</f>
        <v>전화</v>
      </c>
      <c r="E115" s="6" t="str">
        <f ca="1">IFERROR(__xludf.DUMMYFUNCTION("""COMPUTED_VALUE"""),"전화")</f>
        <v>전화</v>
      </c>
      <c r="F115" s="6" t="str">
        <f ca="1">IFERROR(__xludf.DUMMYFUNCTION("""COMPUTED_VALUE"""),"배너")</f>
        <v>배너</v>
      </c>
      <c r="G115" s="7" t="str">
        <f ca="1">IFERROR(__xludf.DUMMYFUNCTION("""COMPUTED_VALUE"""),"https://newstart-law.com/?inType=nim_sq02&amp;NaPm=ci=6bmgBHnt6fSMu8AaHh1kjNLw|tr=gfa|ct=mq8wqlh9|hk=3dc5267c29265daafa3e0d384329c6ecde5c6401|nacn=RMYxB0wru28s")</f>
        <v>https://newstart-law.com/?inType=nim_sq02&amp;NaPm=ci=6bmgBHnt6fSMu8AaHh1kjNLw|tr=gfa|ct=mq8wqlh9|hk=3dc5267c29265daafa3e0d384329c6ecde5c6401|nacn=RMYxB0wru28s</v>
      </c>
      <c r="H115" s="6" t="str">
        <f ca="1">IFERROR(__xludf.DUMMYFUNCTION("""COMPUTED_VALUE"""),"nim_sq02")</f>
        <v>nim_sq02</v>
      </c>
      <c r="I115" s="6" t="str">
        <f ca="1">IFERROR(__xludf.DUMMYFUNCTION("""COMPUTED_VALUE"""),"")</f>
        <v/>
      </c>
      <c r="J115" s="6" t="str">
        <f ca="1">IFERROR(__xludf.DUMMYFUNCTION("""COMPUTED_VALUE"""),"전화 문의")</f>
        <v>전화 문의</v>
      </c>
    </row>
    <row r="116" spans="1:10" x14ac:dyDescent="0.2">
      <c r="A116" s="6">
        <f ca="1">IFERROR(__xludf.DUMMYFUNCTION("""COMPUTED_VALUE"""),115)</f>
        <v>115</v>
      </c>
      <c r="B116" s="6">
        <f ca="1">IFERROR(__xludf.DUMMYFUNCTION("""COMPUTED_VALUE"""),46184.4989699074)</f>
        <v>46184.498969907399</v>
      </c>
      <c r="C116" s="6" t="str">
        <f ca="1">IFERROR(__xludf.DUMMYFUNCTION("""COMPUTED_VALUE"""),"118.235.3.109")</f>
        <v>118.235.3.109</v>
      </c>
      <c r="D116" s="6" t="str">
        <f ca="1">IFERROR(__xludf.DUMMYFUNCTION("""COMPUTED_VALUE"""),"전화")</f>
        <v>전화</v>
      </c>
      <c r="E116" s="6" t="str">
        <f ca="1">IFERROR(__xludf.DUMMYFUNCTION("""COMPUTED_VALUE"""),"전화")</f>
        <v>전화</v>
      </c>
      <c r="F116" s="6" t="str">
        <f ca="1">IFERROR(__xludf.DUMMYFUNCTION("""COMPUTED_VALUE"""),"배너")</f>
        <v>배너</v>
      </c>
      <c r="G116" s="7" t="str">
        <f ca="1">IFERROR(__xludf.DUMMYFUNCTION("""COMPUTED_VALUE"""),"http://newstart-law.com/?inType=nim_sq02&amp;NaPm=ci=6bQSUAwFBuRdCokgXa3L55gg|tr=gfa|ct=mq8omnhb|hk=42fa8797257050ab36b51bcfbb09017aff8aa2bf|nacn=FrB4B0QzRIhD")</f>
        <v>http://newstart-law.com/?inType=nim_sq02&amp;NaPm=ci=6bQSUAwFBuRdCokgXa3L55gg|tr=gfa|ct=mq8omnhb|hk=42fa8797257050ab36b51bcfbb09017aff8aa2bf|nacn=FrB4B0QzRIhD</v>
      </c>
      <c r="H116" s="6" t="str">
        <f ca="1">IFERROR(__xludf.DUMMYFUNCTION("""COMPUTED_VALUE"""),"nim_sq02")</f>
        <v>nim_sq02</v>
      </c>
      <c r="I116" s="6" t="str">
        <f ca="1">IFERROR(__xludf.DUMMYFUNCTION("""COMPUTED_VALUE"""),"")</f>
        <v/>
      </c>
      <c r="J116" s="6" t="str">
        <f ca="1">IFERROR(__xludf.DUMMYFUNCTION("""COMPUTED_VALUE"""),"전화 문의")</f>
        <v>전화 문의</v>
      </c>
    </row>
    <row r="117" spans="1:10" x14ac:dyDescent="0.2">
      <c r="A117" s="6">
        <f ca="1">IFERROR(__xludf.DUMMYFUNCTION("""COMPUTED_VALUE"""),116)</f>
        <v>116</v>
      </c>
      <c r="B117" s="6">
        <f ca="1">IFERROR(__xludf.DUMMYFUNCTION("""COMPUTED_VALUE"""),46184.5075925925)</f>
        <v>46184.507592592498</v>
      </c>
      <c r="C117" s="6" t="str">
        <f ca="1">IFERROR(__xludf.DUMMYFUNCTION("""COMPUTED_VALUE"""),"223.39.204.69")</f>
        <v>223.39.204.69</v>
      </c>
      <c r="D117" s="6" t="str">
        <f ca="1">IFERROR(__xludf.DUMMYFUNCTION("""COMPUTED_VALUE"""),"카카오")</f>
        <v>카카오</v>
      </c>
      <c r="E117" s="6" t="str">
        <f ca="1">IFERROR(__xludf.DUMMYFUNCTION("""COMPUTED_VALUE"""),"카카오톡")</f>
        <v>카카오톡</v>
      </c>
      <c r="F117" s="6" t="str">
        <f ca="1">IFERROR(__xludf.DUMMYFUNCTION("""COMPUTED_VALUE"""),"배너")</f>
        <v>배너</v>
      </c>
      <c r="G117" s="7" t="str">
        <f ca="1">IFERROR(__xludf.DUMMYFUNCTION("""COMPUTED_VALUE"""),"https://newstart-law.com/?inType=NIM001&amp;NaPm=ci=6bh7iIM4glSuy2gdqSkiCkOg|tr=gfa|ct=mq8x76vc|hk=c44f8c95ff1b67b938b878701b27a3fbfaa2a9bb|nacn=B8WjBEBWHKrK")</f>
        <v>https://newstart-law.com/?inType=NIM001&amp;NaPm=ci=6bh7iIM4glSuy2gdqSkiCkOg|tr=gfa|ct=mq8x76vc|hk=c44f8c95ff1b67b938b878701b27a3fbfaa2a9bb|nacn=B8WjBEBWHKrK</v>
      </c>
      <c r="H117" s="6" t="str">
        <f ca="1">IFERROR(__xludf.DUMMYFUNCTION("""COMPUTED_VALUE"""),"NIM001")</f>
        <v>NIM001</v>
      </c>
      <c r="I117" s="6" t="str">
        <f ca="1">IFERROR(__xludf.DUMMYFUNCTION("""COMPUTED_VALUE"""),"")</f>
        <v/>
      </c>
      <c r="J117" s="6" t="str">
        <f ca="1">IFERROR(__xludf.DUMMYFUNCTION("""COMPUTED_VALUE"""),"카카오톡")</f>
        <v>카카오톡</v>
      </c>
    </row>
    <row r="118" spans="1:10" x14ac:dyDescent="0.2">
      <c r="A118" s="6">
        <f ca="1">IFERROR(__xludf.DUMMYFUNCTION("""COMPUTED_VALUE"""),117)</f>
        <v>117</v>
      </c>
      <c r="B118" s="6">
        <f ca="1">IFERROR(__xludf.DUMMYFUNCTION("""COMPUTED_VALUE"""),46184.5322800925)</f>
        <v>46184.532280092499</v>
      </c>
      <c r="C118" s="6" t="str">
        <f ca="1">IFERROR(__xludf.DUMMYFUNCTION("""COMPUTED_VALUE"""),"118.235.83.9")</f>
        <v>118.235.83.9</v>
      </c>
      <c r="D118" s="6" t="str">
        <f ca="1">IFERROR(__xludf.DUMMYFUNCTION("""COMPUTED_VALUE"""),"네이버예약")</f>
        <v>네이버예약</v>
      </c>
      <c r="E118" s="6" t="str">
        <f ca="1">IFERROR(__xludf.DUMMYFUNCTION("""COMPUTED_VALUE"""),"네이버예약")</f>
        <v>네이버예약</v>
      </c>
      <c r="F118" s="6" t="str">
        <f ca="1">IFERROR(__xludf.DUMMYFUNCTION("""COMPUTED_VALUE"""),"배너")</f>
        <v>배너</v>
      </c>
      <c r="G118" s="7" t="str">
        <f ca="1">IFERROR(__xludf.DUMMYFUNCTION("""COMPUTED_VALUE"""),"http://newstart-law.com/?inType=nim003&amp;NaPm=ci=6bYLBCgnBhQSavln-Wbe8BVw|tr=gfa|ct=mq8yf5cr|hk=eead99989d900d58b1fe4f94a1006d942cd0c57a|nacn=zZaJBMwH0qqeB")</f>
        <v>http://newstart-law.com/?inType=nim003&amp;NaPm=ci=6bYLBCgnBhQSavln-Wbe8BVw|tr=gfa|ct=mq8yf5cr|hk=eead99989d900d58b1fe4f94a1006d942cd0c57a|nacn=zZaJBMwH0qqeB</v>
      </c>
      <c r="H118" s="6" t="str">
        <f ca="1">IFERROR(__xludf.DUMMYFUNCTION("""COMPUTED_VALUE"""),"nim003")</f>
        <v>nim003</v>
      </c>
      <c r="I118" s="6" t="str">
        <f ca="1">IFERROR(__xludf.DUMMYFUNCTION("""COMPUTED_VALUE"""),"")</f>
        <v/>
      </c>
      <c r="J118" s="6" t="str">
        <f ca="1">IFERROR(__xludf.DUMMYFUNCTION("""COMPUTED_VALUE"""),"네이버 예약")</f>
        <v>네이버 예약</v>
      </c>
    </row>
    <row r="119" spans="1:10" x14ac:dyDescent="0.2">
      <c r="A119" s="6">
        <f ca="1">IFERROR(__xludf.DUMMYFUNCTION("""COMPUTED_VALUE"""),118)</f>
        <v>118</v>
      </c>
      <c r="B119" s="6">
        <f ca="1">IFERROR(__xludf.DUMMYFUNCTION("""COMPUTED_VALUE"""),46184.5334143518)</f>
        <v>46184.533414351798</v>
      </c>
      <c r="C119" s="6" t="str">
        <f ca="1">IFERROR(__xludf.DUMMYFUNCTION("""COMPUTED_VALUE"""),"106.101.75.15")</f>
        <v>106.101.75.15</v>
      </c>
      <c r="D119" s="6" t="str">
        <f ca="1">IFERROR(__xludf.DUMMYFUNCTION("""COMPUTED_VALUE"""),"카카오")</f>
        <v>카카오</v>
      </c>
      <c r="E119" s="6" t="str">
        <f ca="1">IFERROR(__xludf.DUMMYFUNCTION("""COMPUTED_VALUE"""),"카카오톡")</f>
        <v>카카오톡</v>
      </c>
      <c r="F119" s="6" t="str">
        <f ca="1">IFERROR(__xludf.DUMMYFUNCTION("""COMPUTED_VALUE"""),"배너")</f>
        <v>배너</v>
      </c>
      <c r="G119" s="7" t="str">
        <f ca="1">IFERROR(__xludf.DUMMYFUNCTION("""COMPUTED_VALUE"""),"http://newstart-law.com/?inType=nim003&amp;NaPm=ci=6bXDUuJusGQZiRFKFkxcPsug|tr=gfa|ct=mq8yfsar|hk=689b173c05310585ee03537d31bca20c88f3cc1d|nacn=wet6DQhrQksXA")</f>
        <v>http://newstart-law.com/?inType=nim003&amp;NaPm=ci=6bXDUuJusGQZiRFKFkxcPsug|tr=gfa|ct=mq8yfsar|hk=689b173c05310585ee03537d31bca20c88f3cc1d|nacn=wet6DQhrQksXA</v>
      </c>
      <c r="H119" s="6" t="str">
        <f ca="1">IFERROR(__xludf.DUMMYFUNCTION("""COMPUTED_VALUE"""),"nim003")</f>
        <v>nim003</v>
      </c>
      <c r="I119" s="6" t="str">
        <f ca="1">IFERROR(__xludf.DUMMYFUNCTION("""COMPUTED_VALUE"""),"")</f>
        <v/>
      </c>
      <c r="J119" s="6" t="str">
        <f ca="1">IFERROR(__xludf.DUMMYFUNCTION("""COMPUTED_VALUE"""),"카카오톡")</f>
        <v>카카오톡</v>
      </c>
    </row>
    <row r="120" spans="1:10" x14ac:dyDescent="0.2">
      <c r="A120" s="6">
        <f ca="1">IFERROR(__xludf.DUMMYFUNCTION("""COMPUTED_VALUE"""),119)</f>
        <v>119</v>
      </c>
      <c r="B120" s="6">
        <f ca="1">IFERROR(__xludf.DUMMYFUNCTION("""COMPUTED_VALUE"""),46184.5389583333)</f>
        <v>46184.538958333302</v>
      </c>
      <c r="C120" s="6" t="str">
        <f ca="1">IFERROR(__xludf.DUMMYFUNCTION("""COMPUTED_VALUE"""),"223.38.224.136")</f>
        <v>223.38.224.136</v>
      </c>
      <c r="D120" s="6" t="str">
        <f ca="1">IFERROR(__xludf.DUMMYFUNCTION("""COMPUTED_VALUE"""),"카카오")</f>
        <v>카카오</v>
      </c>
      <c r="E120" s="6" t="str">
        <f ca="1">IFERROR(__xludf.DUMMYFUNCTION("""COMPUTED_VALUE"""),"카카오톡")</f>
        <v>카카오톡</v>
      </c>
      <c r="F120" s="6" t="str">
        <f ca="1">IFERROR(__xludf.DUMMYFUNCTION("""COMPUTED_VALUE"""),"배너")</f>
        <v>배너</v>
      </c>
      <c r="G120" s="7" t="str">
        <f ca="1">IFERROR(__xludf.DUMMYFUNCTION("""COMPUTED_VALUE"""),"http://newstart-law.com/?inType=nim003&amp;NaPm=ci=6brrtc9LJ6T82RGr4ZkyqaUw|tr=gfa|ct=mq8ylf9o|hk=38aa66f370114c719bfc9a418eacd11b22958bf6|nacn=O4eODYAR8nbKB")</f>
        <v>http://newstart-law.com/?inType=nim003&amp;NaPm=ci=6brrtc9LJ6T82RGr4ZkyqaUw|tr=gfa|ct=mq8ylf9o|hk=38aa66f370114c719bfc9a418eacd11b22958bf6|nacn=O4eODYAR8nbKB</v>
      </c>
      <c r="H120" s="6" t="str">
        <f ca="1">IFERROR(__xludf.DUMMYFUNCTION("""COMPUTED_VALUE"""),"nim003")</f>
        <v>nim003</v>
      </c>
      <c r="I120" s="6" t="str">
        <f ca="1">IFERROR(__xludf.DUMMYFUNCTION("""COMPUTED_VALUE"""),"")</f>
        <v/>
      </c>
      <c r="J120" s="6" t="str">
        <f ca="1">IFERROR(__xludf.DUMMYFUNCTION("""COMPUTED_VALUE"""),"카카오톡")</f>
        <v>카카오톡</v>
      </c>
    </row>
    <row r="121" spans="1:10" x14ac:dyDescent="0.2">
      <c r="A121" s="6">
        <f ca="1">IFERROR(__xludf.DUMMYFUNCTION("""COMPUTED_VALUE"""),120)</f>
        <v>120</v>
      </c>
      <c r="B121" s="6">
        <f ca="1">IFERROR(__xludf.DUMMYFUNCTION("""COMPUTED_VALUE"""),46184.5392476851)</f>
        <v>46184.539247685098</v>
      </c>
      <c r="C121" s="6" t="str">
        <f ca="1">IFERROR(__xludf.DUMMYFUNCTION("""COMPUTED_VALUE"""),"118.235.15.17")</f>
        <v>118.235.15.17</v>
      </c>
      <c r="D121" s="6" t="str">
        <f ca="1">IFERROR(__xludf.DUMMYFUNCTION("""COMPUTED_VALUE"""),"네이버톡톡")</f>
        <v>네이버톡톡</v>
      </c>
      <c r="E121" s="6" t="str">
        <f ca="1">IFERROR(__xludf.DUMMYFUNCTION("""COMPUTED_VALUE"""),"네이버톡톡")</f>
        <v>네이버톡톡</v>
      </c>
      <c r="F121" s="6" t="str">
        <f ca="1">IFERROR(__xludf.DUMMYFUNCTION("""COMPUTED_VALUE"""),"배너")</f>
        <v>배너</v>
      </c>
      <c r="G121" s="7" t="str">
        <f ca="1">IFERROR(__xludf.DUMMYFUNCTION("""COMPUTED_VALUE"""),"http://newstart-law.com/?inType=nim003&amp;NaPm=ci=6bWLJRUksGSESZFGw_XfIZDw|tr=gfa|ct=mq8ysgcp|hk=bf0471736463d88b57f626b5fd4dc5dcc9863813|nacn=fbvFDohiFIO8B")</f>
        <v>http://newstart-law.com/?inType=nim003&amp;NaPm=ci=6bWLJRUksGSESZFGw_XfIZDw|tr=gfa|ct=mq8ysgcp|hk=bf0471736463d88b57f626b5fd4dc5dcc9863813|nacn=fbvFDohiFIO8B</v>
      </c>
      <c r="H121" s="6" t="str">
        <f ca="1">IFERROR(__xludf.DUMMYFUNCTION("""COMPUTED_VALUE"""),"nim003")</f>
        <v>nim003</v>
      </c>
      <c r="I121" s="6" t="str">
        <f ca="1">IFERROR(__xludf.DUMMYFUNCTION("""COMPUTED_VALUE"""),"")</f>
        <v/>
      </c>
      <c r="J121" s="6" t="str">
        <f ca="1">IFERROR(__xludf.DUMMYFUNCTION("""COMPUTED_VALUE"""),"네이버 톡톡")</f>
        <v>네이버 톡톡</v>
      </c>
    </row>
    <row r="122" spans="1:10" x14ac:dyDescent="0.2">
      <c r="A122" s="6">
        <f ca="1">IFERROR(__xludf.DUMMYFUNCTION("""COMPUTED_VALUE"""),121)</f>
        <v>121</v>
      </c>
      <c r="B122" s="6">
        <f ca="1">IFERROR(__xludf.DUMMYFUNCTION("""COMPUTED_VALUE"""),46184.5712847222)</f>
        <v>46184.571284722202</v>
      </c>
      <c r="C122" s="6" t="str">
        <f ca="1">IFERROR(__xludf.DUMMYFUNCTION("""COMPUTED_VALUE"""),"121.154.10.131")</f>
        <v>121.154.10.131</v>
      </c>
      <c r="D122" s="6" t="str">
        <f ca="1">IFERROR(__xludf.DUMMYFUNCTION("""COMPUTED_VALUE"""),"네이버톡톡")</f>
        <v>네이버톡톡</v>
      </c>
      <c r="E122" s="6" t="str">
        <f ca="1">IFERROR(__xludf.DUMMYFUNCTION("""COMPUTED_VALUE"""),"네이버톡톡")</f>
        <v>네이버톡톡</v>
      </c>
      <c r="F122" s="6" t="str">
        <f ca="1">IFERROR(__xludf.DUMMYFUNCTION("""COMPUTED_VALUE"""),"배너")</f>
        <v>배너</v>
      </c>
      <c r="G122" s="7" t="str">
        <f ca="1">IFERROR(__xludf.DUMMYFUNCTION("""COMPUTED_VALUE"""),"http://newstart-law.com/?inType=nim003&amp;NaPm=ci=6bvmF44egVQGKwAAM4EvErHQ|tr=gfa|ct=mq90h51e|hk=4aa66985c58a664a331ee58004af4f302f76ec0a|nacn=JPYMB4QsuKoT")</f>
        <v>http://newstart-law.com/?inType=nim003&amp;NaPm=ci=6bvmF44egVQGKwAAM4EvErHQ|tr=gfa|ct=mq90h51e|hk=4aa66985c58a664a331ee58004af4f302f76ec0a|nacn=JPYMB4QsuKoT</v>
      </c>
      <c r="H122" s="6" t="str">
        <f ca="1">IFERROR(__xludf.DUMMYFUNCTION("""COMPUTED_VALUE"""),"nim003")</f>
        <v>nim003</v>
      </c>
      <c r="I122" s="6" t="str">
        <f ca="1">IFERROR(__xludf.DUMMYFUNCTION("""COMPUTED_VALUE"""),"")</f>
        <v/>
      </c>
      <c r="J122" s="6" t="str">
        <f ca="1">IFERROR(__xludf.DUMMYFUNCTION("""COMPUTED_VALUE"""),"네이버 톡톡")</f>
        <v>네이버 톡톡</v>
      </c>
    </row>
    <row r="123" spans="1:10" x14ac:dyDescent="0.2">
      <c r="A123" s="6">
        <f ca="1">IFERROR(__xludf.DUMMYFUNCTION("""COMPUTED_VALUE"""),122)</f>
        <v>122</v>
      </c>
      <c r="B123" s="6">
        <f ca="1">IFERROR(__xludf.DUMMYFUNCTION("""COMPUTED_VALUE"""),46184.5719675925)</f>
        <v>46184.571967592499</v>
      </c>
      <c r="C123" s="6" t="str">
        <f ca="1">IFERROR(__xludf.DUMMYFUNCTION("""COMPUTED_VALUE"""),"조한정")</f>
        <v>조한정</v>
      </c>
      <c r="D123" s="6">
        <f ca="1">IFERROR(__xludf.DUMMYFUNCTION("""COMPUTED_VALUE"""),1097038002)</f>
        <v>1097038002</v>
      </c>
      <c r="E123" s="6" t="str">
        <f ca="1">IFERROR(__xludf.DUMMYFUNCTION("""COMPUTED_VALUE"""),"상담신청")</f>
        <v>상담신청</v>
      </c>
      <c r="F123" s="6" t="str">
        <f ca="1">IFERROR(__xludf.DUMMYFUNCTION("""COMPUTED_VALUE"""),"배너")</f>
        <v>배너</v>
      </c>
      <c r="G123" s="7" t="str">
        <f ca="1">IFERROR(__xludf.DUMMYFUNCTION("""COMPUTED_VALUE"""),"https://newstart-law.com/?inType=NIP002&amp;NaPm=ci=6b8hjBPyuPQfm7Dm-i-iu8WA|tr=gfa|ct=mq90fuz4|hk=7f51fa592483385c46e459074c531ed936a94b3f|nacn=cd8kB4gimiGu")</f>
        <v>https://newstart-law.com/?inType=NIP002&amp;NaPm=ci=6b8hjBPyuPQfm7Dm-i-iu8WA|tr=gfa|ct=mq90fuz4|hk=7f51fa592483385c46e459074c531ed936a94b3f|nacn=cd8kB4gimiGu</v>
      </c>
      <c r="H123" s="6" t="str">
        <f ca="1">IFERROR(__xludf.DUMMYFUNCTION("""COMPUTED_VALUE"""),"NIP002")</f>
        <v>NIP002</v>
      </c>
      <c r="I123" s="6" t="str">
        <f ca="1">IFERROR(__xludf.DUMMYFUNCTION("""COMPUTED_VALUE"""),"")</f>
        <v/>
      </c>
      <c r="J123" s="6" t="str">
        <f ca="1">IFERROR(__xludf.DUMMYFUNCTION("""COMPUTED_VALUE"""),"메인 상단 상담폼")</f>
        <v>메인 상단 상담폼</v>
      </c>
    </row>
    <row r="124" spans="1:10" x14ac:dyDescent="0.2">
      <c r="A124" s="6">
        <f ca="1">IFERROR(__xludf.DUMMYFUNCTION("""COMPUTED_VALUE"""),123)</f>
        <v>123</v>
      </c>
      <c r="B124" s="6">
        <f ca="1">IFERROR(__xludf.DUMMYFUNCTION("""COMPUTED_VALUE"""),46184.6316435185)</f>
        <v>46184.6316435185</v>
      </c>
      <c r="C124" s="6" t="str">
        <f ca="1">IFERROR(__xludf.DUMMYFUNCTION("""COMPUTED_VALUE"""),"118.235.84.74")</f>
        <v>118.235.84.74</v>
      </c>
      <c r="D124" s="6" t="str">
        <f ca="1">IFERROR(__xludf.DUMMYFUNCTION("""COMPUTED_VALUE"""),"전화")</f>
        <v>전화</v>
      </c>
      <c r="E124" s="6" t="str">
        <f ca="1">IFERROR(__xludf.DUMMYFUNCTION("""COMPUTED_VALUE"""),"전화")</f>
        <v>전화</v>
      </c>
      <c r="F124" s="6" t="str">
        <f ca="1">IFERROR(__xludf.DUMMYFUNCTION("""COMPUTED_VALUE"""),"배너")</f>
        <v>배너</v>
      </c>
      <c r="G124" s="7" t="str">
        <f ca="1">IFERROR(__xludf.DUMMYFUNCTION("""COMPUTED_VALUE"""),"http://newstart-law.com/?inType=nim003&amp;NaPm=ci=6bK5gzVoq3RZyYSEcXysUz2w|tr=gfa|ct=mq93kxbg|hk=d155ed9b66c3d21e82028979d4e86b69a815470a|nacn=XAsRBsweJRCGB")</f>
        <v>http://newstart-law.com/?inType=nim003&amp;NaPm=ci=6bK5gzVoq3RZyYSEcXysUz2w|tr=gfa|ct=mq93kxbg|hk=d155ed9b66c3d21e82028979d4e86b69a815470a|nacn=XAsRBsweJRCGB</v>
      </c>
      <c r="H124" s="6" t="str">
        <f ca="1">IFERROR(__xludf.DUMMYFUNCTION("""COMPUTED_VALUE"""),"nim003")</f>
        <v>nim003</v>
      </c>
      <c r="I124" s="6" t="str">
        <f ca="1">IFERROR(__xludf.DUMMYFUNCTION("""COMPUTED_VALUE"""),"")</f>
        <v/>
      </c>
      <c r="J124" s="6" t="str">
        <f ca="1">IFERROR(__xludf.DUMMYFUNCTION("""COMPUTED_VALUE"""),"전화 문의")</f>
        <v>전화 문의</v>
      </c>
    </row>
    <row r="125" spans="1:10" x14ac:dyDescent="0.2">
      <c r="A125" s="6">
        <f ca="1">IFERROR(__xludf.DUMMYFUNCTION("""COMPUTED_VALUE"""),124)</f>
        <v>124</v>
      </c>
      <c r="B125" s="6">
        <f ca="1">IFERROR(__xludf.DUMMYFUNCTION("""COMPUTED_VALUE"""),46184.7915046296)</f>
        <v>46184.791504629597</v>
      </c>
      <c r="C125" s="6" t="str">
        <f ca="1">IFERROR(__xludf.DUMMYFUNCTION("""COMPUTED_VALUE"""),"마승철")</f>
        <v>마승철</v>
      </c>
      <c r="D125" s="6">
        <f ca="1">IFERROR(__xludf.DUMMYFUNCTION("""COMPUTED_VALUE"""),1027728895)</f>
        <v>1027728895</v>
      </c>
      <c r="E125" s="6" t="str">
        <f ca="1">IFERROR(__xludf.DUMMYFUNCTION("""COMPUTED_VALUE"""),"상담신청")</f>
        <v>상담신청</v>
      </c>
      <c r="F125" s="6" t="str">
        <f ca="1">IFERROR(__xludf.DUMMYFUNCTION("""COMPUTED_VALUE"""),"배너")</f>
        <v>배너</v>
      </c>
      <c r="G125" s="7" t="str">
        <f ca="1">IFERROR(__xludf.DUMMYFUNCTION("""COMPUTED_VALUE"""),"http://newstart-law.com/?inType=nim003&amp;NaPm=ci=6b-CpG7p8-Tf-nAK0lYU1_cw|tr=gfa|ct=mq9bqrd4|hk=02459faa2d05f6282c09617649a59fa66d7e7802|nacn=wvBPB0AkgXQE")</f>
        <v>http://newstart-law.com/?inType=nim003&amp;NaPm=ci=6b-CpG7p8-Tf-nAK0lYU1_cw|tr=gfa|ct=mq9bqrd4|hk=02459faa2d05f6282c09617649a59fa66d7e7802|nacn=wvBPB0AkgXQE</v>
      </c>
      <c r="H125" s="6" t="str">
        <f ca="1">IFERROR(__xludf.DUMMYFUNCTION("""COMPUTED_VALUE"""),"nim003")</f>
        <v>nim003</v>
      </c>
      <c r="I125" s="6" t="str">
        <f ca="1">IFERROR(__xludf.DUMMYFUNCTION("""COMPUTED_VALUE"""),"")</f>
        <v/>
      </c>
      <c r="J125" s="6" t="str">
        <f ca="1">IFERROR(__xludf.DUMMYFUNCTION("""COMPUTED_VALUE"""),"모바일 하단 상담폼")</f>
        <v>모바일 하단 상담폼</v>
      </c>
    </row>
    <row r="126" spans="1:10" x14ac:dyDescent="0.2">
      <c r="A126" s="6">
        <f ca="1">IFERROR(__xludf.DUMMYFUNCTION("""COMPUTED_VALUE"""),125)</f>
        <v>125</v>
      </c>
      <c r="B126" s="6">
        <f ca="1">IFERROR(__xludf.DUMMYFUNCTION("""COMPUTED_VALUE"""),46184.812199074)</f>
        <v>46184.812199073996</v>
      </c>
      <c r="C126" s="6" t="str">
        <f ca="1">IFERROR(__xludf.DUMMYFUNCTION("""COMPUTED_VALUE"""),"39.7.231.109")</f>
        <v>39.7.231.109</v>
      </c>
      <c r="D126" s="6" t="str">
        <f ca="1">IFERROR(__xludf.DUMMYFUNCTION("""COMPUTED_VALUE"""),"카카오")</f>
        <v>카카오</v>
      </c>
      <c r="E126" s="6" t="str">
        <f ca="1">IFERROR(__xludf.DUMMYFUNCTION("""COMPUTED_VALUE"""),"카카오톡")</f>
        <v>카카오톡</v>
      </c>
      <c r="F126" s="6" t="str">
        <f ca="1">IFERROR(__xludf.DUMMYFUNCTION("""COMPUTED_VALUE"""),"배너")</f>
        <v>배너</v>
      </c>
      <c r="G126" s="7" t="str">
        <f ca="1">IFERROR(__xludf.DUMMYFUNCTION("""COMPUTED_VALUE"""),"http://newstart-law.com/?inType=nim003&amp;NaPm=ci=6bQX5438-jSLOpm6-g5Gz8vg|tr=gfa|ct=mq9big0y|hk=580838f28e11f15c83f9ed91c250ca5a86d37587|nacn=z7upBwgV2EXE")</f>
        <v>http://newstart-law.com/?inType=nim003&amp;NaPm=ci=6bQX5438-jSLOpm6-g5Gz8vg|tr=gfa|ct=mq9big0y|hk=580838f28e11f15c83f9ed91c250ca5a86d37587|nacn=z7upBwgV2EXE</v>
      </c>
      <c r="H126" s="6" t="str">
        <f ca="1">IFERROR(__xludf.DUMMYFUNCTION("""COMPUTED_VALUE"""),"nim003")</f>
        <v>nim003</v>
      </c>
      <c r="I126" s="6" t="str">
        <f ca="1">IFERROR(__xludf.DUMMYFUNCTION("""COMPUTED_VALUE"""),"")</f>
        <v/>
      </c>
      <c r="J126" s="6" t="str">
        <f ca="1">IFERROR(__xludf.DUMMYFUNCTION("""COMPUTED_VALUE"""),"카카오톡")</f>
        <v>카카오톡</v>
      </c>
    </row>
    <row r="127" spans="1:10" x14ac:dyDescent="0.2">
      <c r="A127" s="6">
        <f ca="1">IFERROR(__xludf.DUMMYFUNCTION("""COMPUTED_VALUE"""),126)</f>
        <v>126</v>
      </c>
      <c r="B127" s="6">
        <f ca="1">IFERROR(__xludf.DUMMYFUNCTION("""COMPUTED_VALUE"""),46185.0227430555)</f>
        <v>46185.022743055502</v>
      </c>
      <c r="C127" s="6" t="str">
        <f ca="1">IFERROR(__xludf.DUMMYFUNCTION("""COMPUTED_VALUE"""),"이진권")</f>
        <v>이진권</v>
      </c>
      <c r="D127" s="6">
        <f ca="1">IFERROR(__xludf.DUMMYFUNCTION("""COMPUTED_VALUE"""),1821666938)</f>
        <v>1821666938</v>
      </c>
      <c r="E127" s="6" t="str">
        <f ca="1">IFERROR(__xludf.DUMMYFUNCTION("""COMPUTED_VALUE"""),"상담신청")</f>
        <v>상담신청</v>
      </c>
      <c r="F127" s="6" t="str">
        <f ca="1">IFERROR(__xludf.DUMMYFUNCTION("""COMPUTED_VALUE"""),"검색")</f>
        <v>검색</v>
      </c>
      <c r="G127" s="7" t="str">
        <f ca="1">IFERROR(__xludf.DUMMYFUNCTION("""COMPUTED_VALUE"""),"https://www.newstart-law.com/?inType=NK&amp;n_media=8753&amp;n_query=개인파산신청&amp;n_rank=1&amp;n_ad_group=grp-a001-01-000000063065674&amp;n_ad=nad-a001-01-000000485213839&amp;n_keyword_id=nkw-a001-01-000007951811270&amp;n_keyword=개인파산신청&amp;n_campaign_type=1&amp;n_ad_group_type=1&amp;n_match=1&amp;Na"&amp;"Pm=ct=mq9nnunt|ci=ER9e8f8f3a-65aa-11f1-ab03-66394830e525|tr=sa|hk=f49d9644ef355ae17c003db0a7a741f0295f4c75|nacn=B3rTBggEzYL")</f>
        <v>https://www.newstart-law.com/?inType=NK&amp;n_media=8753&amp;n_query=개인파산신청&amp;n_rank=1&amp;n_ad_group=grp-a001-01-000000063065674&amp;n_ad=nad-a001-01-000000485213839&amp;n_keyword_id=nkw-a001-01-000007951811270&amp;n_keyword=개인파산신청&amp;n_campaign_type=1&amp;n_ad_group_type=1&amp;n_match=1&amp;NaPm=ct=mq9nnunt|ci=ER9e8f8f3a-65aa-11f1-ab03-66394830e525|tr=sa|hk=f49d9644ef355ae17c003db0a7a741f0295f4c75|nacn=B3rTBggEzYL</v>
      </c>
      <c r="H127" s="6" t="str">
        <f ca="1">IFERROR(__xludf.DUMMYFUNCTION("""COMPUTED_VALUE"""),"NK")</f>
        <v>NK</v>
      </c>
      <c r="I127" s="6" t="str">
        <f ca="1">IFERROR(__xludf.DUMMYFUNCTION("""COMPUTED_VALUE"""),"개인파산신청")</f>
        <v>개인파산신청</v>
      </c>
      <c r="J127" s="6" t="str">
        <f ca="1">IFERROR(__xludf.DUMMYFUNCTION("""COMPUTED_VALUE"""),"AI 진단")</f>
        <v>AI 진단</v>
      </c>
    </row>
    <row r="128" spans="1:10" x14ac:dyDescent="0.2">
      <c r="A128" s="6">
        <f ca="1">IFERROR(__xludf.DUMMYFUNCTION("""COMPUTED_VALUE"""),127)</f>
        <v>127</v>
      </c>
      <c r="B128" s="6">
        <f ca="1">IFERROR(__xludf.DUMMYFUNCTION("""COMPUTED_VALUE"""),46185.0228819444)</f>
        <v>46185.022881944402</v>
      </c>
      <c r="C128" s="6" t="str">
        <f ca="1">IFERROR(__xludf.DUMMYFUNCTION("""COMPUTED_VALUE"""),"이진권")</f>
        <v>이진권</v>
      </c>
      <c r="D128" s="6">
        <f ca="1">IFERROR(__xludf.DUMMYFUNCTION("""COMPUTED_VALUE"""),1821666938)</f>
        <v>1821666938</v>
      </c>
      <c r="E128" s="6" t="str">
        <f ca="1">IFERROR(__xludf.DUMMYFUNCTION("""COMPUTED_VALUE"""),"상담신청")</f>
        <v>상담신청</v>
      </c>
      <c r="F128" s="6" t="str">
        <f ca="1">IFERROR(__xludf.DUMMYFUNCTION("""COMPUTED_VALUE"""),"검색")</f>
        <v>검색</v>
      </c>
      <c r="G128" s="7" t="str">
        <f ca="1">IFERROR(__xludf.DUMMYFUNCTION("""COMPUTED_VALUE"""),"https://www.newstart-law.com/?inType=NK&amp;n_media=8753&amp;n_query=개인파산신청&amp;n_rank=1&amp;n_ad_group=grp-a001-01-000000063065674&amp;n_ad=nad-a001-01-000000485213839&amp;n_keyword_id=nkw-a001-01-000007951811270&amp;n_keyword=개인파산신청&amp;n_campaign_type=1&amp;n_ad_group_type=1&amp;n_match=1&amp;Na"&amp;"Pm=ct=mq9nnunt|ci=ER9e8f8f3a-65aa-11f1-ab03-66394830e525|tr=sa|hk=f49d9644ef355ae17c003db0a7a741f0295f4c75|nacn=B3rTBggEzYL")</f>
        <v>https://www.newstart-law.com/?inType=NK&amp;n_media=8753&amp;n_query=개인파산신청&amp;n_rank=1&amp;n_ad_group=grp-a001-01-000000063065674&amp;n_ad=nad-a001-01-000000485213839&amp;n_keyword_id=nkw-a001-01-000007951811270&amp;n_keyword=개인파산신청&amp;n_campaign_type=1&amp;n_ad_group_type=1&amp;n_match=1&amp;NaPm=ct=mq9nnunt|ci=ER9e8f8f3a-65aa-11f1-ab03-66394830e525|tr=sa|hk=f49d9644ef355ae17c003db0a7a741f0295f4c75|nacn=B3rTBggEzYL</v>
      </c>
      <c r="H128" s="6" t="str">
        <f ca="1">IFERROR(__xludf.DUMMYFUNCTION("""COMPUTED_VALUE"""),"NK")</f>
        <v>NK</v>
      </c>
      <c r="I128" s="6" t="str">
        <f ca="1">IFERROR(__xludf.DUMMYFUNCTION("""COMPUTED_VALUE"""),"개인파산신청")</f>
        <v>개인파산신청</v>
      </c>
      <c r="J128" s="6" t="str">
        <f ca="1">IFERROR(__xludf.DUMMYFUNCTION("""COMPUTED_VALUE"""),"AI 진단")</f>
        <v>AI 진단</v>
      </c>
    </row>
    <row r="129" spans="1:10" x14ac:dyDescent="0.2">
      <c r="A129" s="6">
        <f ca="1">IFERROR(__xludf.DUMMYFUNCTION("""COMPUTED_VALUE"""),128)</f>
        <v>128</v>
      </c>
      <c r="B129" s="6">
        <f ca="1">IFERROR(__xludf.DUMMYFUNCTION("""COMPUTED_VALUE"""),46185.5405439814)</f>
        <v>46185.540543981399</v>
      </c>
      <c r="C129" s="6" t="str">
        <f ca="1">IFERROR(__xludf.DUMMYFUNCTION("""COMPUTED_VALUE"""),"211.234.202.139")</f>
        <v>211.234.202.139</v>
      </c>
      <c r="D129" s="6" t="str">
        <f ca="1">IFERROR(__xludf.DUMMYFUNCTION("""COMPUTED_VALUE"""),"카카오")</f>
        <v>카카오</v>
      </c>
      <c r="E129" s="6" t="str">
        <f ca="1">IFERROR(__xludf.DUMMYFUNCTION("""COMPUTED_VALUE"""),"카카오톡")</f>
        <v>카카오톡</v>
      </c>
      <c r="F129" s="6" t="str">
        <f ca="1">IFERROR(__xludf.DUMMYFUNCTION("""COMPUTED_VALUE"""),"배너")</f>
        <v>배너</v>
      </c>
      <c r="G129" s="7" t="str">
        <f ca="1">IFERROR(__xludf.DUMMYFUNCTION("""COMPUTED_VALUE"""),"http://newstart-law.com/?inType=nim003&amp;NaPm=ci=6cyxyoh5IrRWaKGHIgecXMmQ|tr=gfa|ct=mqaec1p0|hk=d2bea60ac7ed048842c9cfd5038671ea51c19e01|nacn=z7xxBggxOOUL")</f>
        <v>http://newstart-law.com/?inType=nim003&amp;NaPm=ci=6cyxyoh5IrRWaKGHIgecXMmQ|tr=gfa|ct=mqaec1p0|hk=d2bea60ac7ed048842c9cfd5038671ea51c19e01|nacn=z7xxBggxOOUL</v>
      </c>
      <c r="H129" s="6" t="str">
        <f ca="1">IFERROR(__xludf.DUMMYFUNCTION("""COMPUTED_VALUE"""),"nim003")</f>
        <v>nim003</v>
      </c>
      <c r="I129" s="6" t="str">
        <f ca="1">IFERROR(__xludf.DUMMYFUNCTION("""COMPUTED_VALUE"""),"")</f>
        <v/>
      </c>
      <c r="J129" s="6" t="str">
        <f ca="1">IFERROR(__xludf.DUMMYFUNCTION("""COMPUTED_VALUE"""),"카카오톡")</f>
        <v>카카오톡</v>
      </c>
    </row>
    <row r="130" spans="1:10" x14ac:dyDescent="0.2">
      <c r="A130" s="6">
        <f ca="1">IFERROR(__xludf.DUMMYFUNCTION("""COMPUTED_VALUE"""),129)</f>
        <v>129</v>
      </c>
      <c r="B130" s="6">
        <f ca="1">IFERROR(__xludf.DUMMYFUNCTION("""COMPUTED_VALUE"""),46185.5422569444)</f>
        <v>46185.542256944398</v>
      </c>
      <c r="C130" s="6" t="str">
        <f ca="1">IFERROR(__xludf.DUMMYFUNCTION("""COMPUTED_VALUE"""),"211.234.202.139")</f>
        <v>211.234.202.139</v>
      </c>
      <c r="D130" s="6" t="str">
        <f ca="1">IFERROR(__xludf.DUMMYFUNCTION("""COMPUTED_VALUE"""),"전화")</f>
        <v>전화</v>
      </c>
      <c r="E130" s="6" t="str">
        <f ca="1">IFERROR(__xludf.DUMMYFUNCTION("""COMPUTED_VALUE"""),"전화")</f>
        <v>전화</v>
      </c>
      <c r="F130" s="6" t="str">
        <f ca="1">IFERROR(__xludf.DUMMYFUNCTION("""COMPUTED_VALUE"""),"유입확인불가")</f>
        <v>유입확인불가</v>
      </c>
      <c r="G130" s="7" t="str">
        <f ca="1">IFERROR(__xludf.DUMMYFUNCTION("""COMPUTED_VALUE"""),"http://newstart-law.com/")</f>
        <v>http://newstart-law.com/</v>
      </c>
      <c r="H130" s="6" t="str">
        <f ca="1">IFERROR(__xludf.DUMMYFUNCTION("""COMPUTED_VALUE"""),"")</f>
        <v/>
      </c>
      <c r="I130" s="6" t="str">
        <f ca="1">IFERROR(__xludf.DUMMYFUNCTION("""COMPUTED_VALUE"""),"")</f>
        <v/>
      </c>
      <c r="J130" s="6" t="str">
        <f ca="1">IFERROR(__xludf.DUMMYFUNCTION("""COMPUTED_VALUE"""),"전화 문의")</f>
        <v>전화 문의</v>
      </c>
    </row>
    <row r="131" spans="1:10" x14ac:dyDescent="0.2">
      <c r="A131" s="6">
        <f ca="1">IFERROR(__xludf.DUMMYFUNCTION("""COMPUTED_VALUE"""),130)</f>
        <v>130</v>
      </c>
      <c r="B131" s="6">
        <f ca="1">IFERROR(__xludf.DUMMYFUNCTION("""COMPUTED_VALUE"""),46185.5460879629)</f>
        <v>46185.546087962903</v>
      </c>
      <c r="C131" s="6" t="str">
        <f ca="1">IFERROR(__xludf.DUMMYFUNCTION("""COMPUTED_VALUE"""),"223.38.228.173")</f>
        <v>223.38.228.173</v>
      </c>
      <c r="D131" s="6" t="str">
        <f ca="1">IFERROR(__xludf.DUMMYFUNCTION("""COMPUTED_VALUE"""),"전화")</f>
        <v>전화</v>
      </c>
      <c r="E131" s="6" t="str">
        <f ca="1">IFERROR(__xludf.DUMMYFUNCTION("""COMPUTED_VALUE"""),"전화")</f>
        <v>전화</v>
      </c>
      <c r="F131" s="6" t="str">
        <f ca="1">IFERROR(__xludf.DUMMYFUNCTION("""COMPUTED_VALUE"""),"배너")</f>
        <v>배너</v>
      </c>
      <c r="G131" s="7" t="str">
        <f ca="1">IFERROR(__xludf.DUMMYFUNCTION("""COMPUTED_VALUE"""),"http://newstart-law.com/?inType=nim003&amp;NaPm=ci=6cLu6TcBU1Q3asK4AO5q4GZw|tr=gfa|ct=mqaemcq1|hk=24cf4a4a66f28a0bdfbd7582a38e6c6be1a9048f|nacn=BrB7BABg2UPH")</f>
        <v>http://newstart-law.com/?inType=nim003&amp;NaPm=ci=6cLu6TcBU1Q3asK4AO5q4GZw|tr=gfa|ct=mqaemcq1|hk=24cf4a4a66f28a0bdfbd7582a38e6c6be1a9048f|nacn=BrB7BABg2UPH</v>
      </c>
      <c r="H131" s="6" t="str">
        <f ca="1">IFERROR(__xludf.DUMMYFUNCTION("""COMPUTED_VALUE"""),"nim003")</f>
        <v>nim003</v>
      </c>
      <c r="I131" s="6" t="str">
        <f ca="1">IFERROR(__xludf.DUMMYFUNCTION("""COMPUTED_VALUE"""),"")</f>
        <v/>
      </c>
      <c r="J131" s="6" t="str">
        <f ca="1">IFERROR(__xludf.DUMMYFUNCTION("""COMPUTED_VALUE"""),"전화 문의")</f>
        <v>전화 문의</v>
      </c>
    </row>
    <row r="132" spans="1:10" x14ac:dyDescent="0.2">
      <c r="A132" s="6">
        <f ca="1">IFERROR(__xludf.DUMMYFUNCTION("""COMPUTED_VALUE"""),131)</f>
        <v>131</v>
      </c>
      <c r="B132" s="6">
        <f ca="1">IFERROR(__xludf.DUMMYFUNCTION("""COMPUTED_VALUE"""),46185.5530787037)</f>
        <v>46185.553078703699</v>
      </c>
      <c r="C132" s="6" t="str">
        <f ca="1">IFERROR(__xludf.DUMMYFUNCTION("""COMPUTED_VALUE"""),"이준석")</f>
        <v>이준석</v>
      </c>
      <c r="D132" s="6">
        <f ca="1">IFERROR(__xludf.DUMMYFUNCTION("""COMPUTED_VALUE"""),1050690071)</f>
        <v>1050690071</v>
      </c>
      <c r="E132" s="6" t="str">
        <f ca="1">IFERROR(__xludf.DUMMYFUNCTION("""COMPUTED_VALUE"""),"상담신청")</f>
        <v>상담신청</v>
      </c>
      <c r="F132" s="6" t="str">
        <f ca="1">IFERROR(__xludf.DUMMYFUNCTION("""COMPUTED_VALUE"""),"배너")</f>
        <v>배너</v>
      </c>
      <c r="G132" s="7" t="str">
        <f ca="1">IFERROR(__xludf.DUMMYFUNCTION("""COMPUTED_VALUE"""),"http://newstart-law.com/?inType=NIM001&amp;NaPm=ci=6cH7WRNCpvSZmMl6an3_Xwmw|tr=gfa|ct=mqaeyj3u|hk=cb340f83435734c308f44e5871012400c2d5a41b|nacn=KYUAB0gi7rWN")</f>
        <v>http://newstart-law.com/?inType=NIM001&amp;NaPm=ci=6cH7WRNCpvSZmMl6an3_Xwmw|tr=gfa|ct=mqaeyj3u|hk=cb340f83435734c308f44e5871012400c2d5a41b|nacn=KYUAB0gi7rWN</v>
      </c>
      <c r="H132" s="6" t="str">
        <f ca="1">IFERROR(__xludf.DUMMYFUNCTION("""COMPUTED_VALUE"""),"NIM001")</f>
        <v>NIM001</v>
      </c>
      <c r="I132" s="6" t="str">
        <f ca="1">IFERROR(__xludf.DUMMYFUNCTION("""COMPUTED_VALUE"""),"")</f>
        <v/>
      </c>
      <c r="J132" s="6" t="str">
        <f ca="1">IFERROR(__xludf.DUMMYFUNCTION("""COMPUTED_VALUE"""),"모바일 하단 상담폼")</f>
        <v>모바일 하단 상담폼</v>
      </c>
    </row>
    <row r="133" spans="1:10" x14ac:dyDescent="0.2">
      <c r="A133" s="6">
        <f ca="1">IFERROR(__xludf.DUMMYFUNCTION("""COMPUTED_VALUE"""),132)</f>
        <v>132</v>
      </c>
      <c r="B133" s="6">
        <f ca="1">IFERROR(__xludf.DUMMYFUNCTION("""COMPUTED_VALUE"""),46185.6354050925)</f>
        <v>46185.6354050925</v>
      </c>
      <c r="C133" s="6" t="str">
        <f ca="1">IFERROR(__xludf.DUMMYFUNCTION("""COMPUTED_VALUE"""),"220.126.62.95")</f>
        <v>220.126.62.95</v>
      </c>
      <c r="D133" s="6" t="str">
        <f ca="1">IFERROR(__xludf.DUMMYFUNCTION("""COMPUTED_VALUE"""),"카카오")</f>
        <v>카카오</v>
      </c>
      <c r="E133" s="6" t="str">
        <f ca="1">IFERROR(__xludf.DUMMYFUNCTION("""COMPUTED_VALUE"""),"카카오톡")</f>
        <v>카카오톡</v>
      </c>
      <c r="F133" s="6" t="str">
        <f ca="1">IFERROR(__xludf.DUMMYFUNCTION("""COMPUTED_VALUE"""),"배너")</f>
        <v>배너</v>
      </c>
      <c r="G133" s="7" t="str">
        <f ca="1">IFERROR(__xludf.DUMMYFUNCTION("""COMPUTED_VALUE"""),"https://newstart-law.com/?inType=NIP002&amp;NaPm=ci=6cvWOhkoV7SemwWHgz_z3QKA|tr=gfa|ct=mqaj7fnn|hk=a5c9d2ddc0a7339154b9dbdd744775558648435b|nacn=TGa5B0guiOAo")</f>
        <v>https://newstart-law.com/?inType=NIP002&amp;NaPm=ci=6cvWOhkoV7SemwWHgz_z3QKA|tr=gfa|ct=mqaj7fnn|hk=a5c9d2ddc0a7339154b9dbdd744775558648435b|nacn=TGa5B0guiOAo</v>
      </c>
      <c r="H133" s="6" t="str">
        <f ca="1">IFERROR(__xludf.DUMMYFUNCTION("""COMPUTED_VALUE"""),"NIP002")</f>
        <v>NIP002</v>
      </c>
      <c r="I133" s="6" t="str">
        <f ca="1">IFERROR(__xludf.DUMMYFUNCTION("""COMPUTED_VALUE"""),"")</f>
        <v/>
      </c>
      <c r="J133" s="6" t="str">
        <f ca="1">IFERROR(__xludf.DUMMYFUNCTION("""COMPUTED_VALUE"""),"카카오톡")</f>
        <v>카카오톡</v>
      </c>
    </row>
    <row r="134" spans="1:10" x14ac:dyDescent="0.2">
      <c r="A134" s="6">
        <f ca="1">IFERROR(__xludf.DUMMYFUNCTION("""COMPUTED_VALUE"""),133)</f>
        <v>133</v>
      </c>
      <c r="B134" s="6">
        <f ca="1">IFERROR(__xludf.DUMMYFUNCTION("""COMPUTED_VALUE"""),46185.6529629629)</f>
        <v>46185.6529629629</v>
      </c>
      <c r="C134" s="6" t="str">
        <f ca="1">IFERROR(__xludf.DUMMYFUNCTION("""COMPUTED_VALUE"""),"183.109.143.221")</f>
        <v>183.109.143.221</v>
      </c>
      <c r="D134" s="6" t="str">
        <f ca="1">IFERROR(__xludf.DUMMYFUNCTION("""COMPUTED_VALUE"""),"카카오")</f>
        <v>카카오</v>
      </c>
      <c r="E134" s="6" t="str">
        <f ca="1">IFERROR(__xludf.DUMMYFUNCTION("""COMPUTED_VALUE"""),"카카오톡")</f>
        <v>카카오톡</v>
      </c>
      <c r="F134" s="6" t="str">
        <f ca="1">IFERROR(__xludf.DUMMYFUNCTION("""COMPUTED_VALUE"""),"배너")</f>
        <v>배너</v>
      </c>
      <c r="G134" s="7" t="str">
        <f ca="1">IFERROR(__xludf.DUMMYFUNCTION("""COMPUTED_VALUE"""),"http://newstart-law.com/?inType=NIM001&amp;NaPm=ci=6cZkFJjOVxTGWtJ1WMv81-3w|tr=gfa|ct=mqak08ia|hk=023949f6901ed1968bc0cafc9ba6f24d31b7d9dd|nacn=pEZVBcA23ge9B")</f>
        <v>http://newstart-law.com/?inType=NIM001&amp;NaPm=ci=6cZkFJjOVxTGWtJ1WMv81-3w|tr=gfa|ct=mqak08ia|hk=023949f6901ed1968bc0cafc9ba6f24d31b7d9dd|nacn=pEZVBcA23ge9B</v>
      </c>
      <c r="H134" s="6" t="str">
        <f ca="1">IFERROR(__xludf.DUMMYFUNCTION("""COMPUTED_VALUE"""),"NIM001")</f>
        <v>NIM001</v>
      </c>
      <c r="I134" s="6" t="str">
        <f ca="1">IFERROR(__xludf.DUMMYFUNCTION("""COMPUTED_VALUE"""),"")</f>
        <v/>
      </c>
      <c r="J134" s="6" t="str">
        <f ca="1">IFERROR(__xludf.DUMMYFUNCTION("""COMPUTED_VALUE"""),"카카오톡")</f>
        <v>카카오톡</v>
      </c>
    </row>
    <row r="135" spans="1:10" x14ac:dyDescent="0.2">
      <c r="A135" s="6">
        <f ca="1">IFERROR(__xludf.DUMMYFUNCTION("""COMPUTED_VALUE"""),134)</f>
        <v>134</v>
      </c>
      <c r="B135" s="6">
        <f ca="1">IFERROR(__xludf.DUMMYFUNCTION("""COMPUTED_VALUE"""),46185.6587037037)</f>
        <v>46185.658703703702</v>
      </c>
      <c r="C135" s="6" t="str">
        <f ca="1">IFERROR(__xludf.DUMMYFUNCTION("""COMPUTED_VALUE"""),"220.126.62.95")</f>
        <v>220.126.62.95</v>
      </c>
      <c r="D135" s="6" t="str">
        <f ca="1">IFERROR(__xludf.DUMMYFUNCTION("""COMPUTED_VALUE"""),"카카오")</f>
        <v>카카오</v>
      </c>
      <c r="E135" s="6" t="str">
        <f ca="1">IFERROR(__xludf.DUMMYFUNCTION("""COMPUTED_VALUE"""),"카카오톡")</f>
        <v>카카오톡</v>
      </c>
      <c r="F135" s="6" t="str">
        <f ca="1">IFERROR(__xludf.DUMMYFUNCTION("""COMPUTED_VALUE"""),"배너")</f>
        <v>배너</v>
      </c>
      <c r="G135" s="7" t="str">
        <f ca="1">IFERROR(__xludf.DUMMYFUNCTION("""COMPUTED_VALUE"""),"https://newstart-law.com/?inType=NIP002&amp;NaPm=ci=6cvWOhkoV7SemwWHgz_z3QKA|tr=gfa|ct=mqaj7fnn|hk=a5c9d2ddc0a7339154b9dbdd744775558648435b|nacn=TGa5B0guiOAo#lawyer")</f>
        <v>https://newstart-law.com/?inType=NIP002&amp;NaPm=ci=6cvWOhkoV7SemwWHgz_z3QKA|tr=gfa|ct=mqaj7fnn|hk=a5c9d2ddc0a7339154b9dbdd744775558648435b|nacn=TGa5B0guiOAo#lawyer</v>
      </c>
      <c r="H135" s="6" t="str">
        <f ca="1">IFERROR(__xludf.DUMMYFUNCTION("""COMPUTED_VALUE"""),"NIP002")</f>
        <v>NIP002</v>
      </c>
      <c r="I135" s="6" t="str">
        <f ca="1">IFERROR(__xludf.DUMMYFUNCTION("""COMPUTED_VALUE"""),"")</f>
        <v/>
      </c>
      <c r="J135" s="6" t="str">
        <f ca="1">IFERROR(__xludf.DUMMYFUNCTION("""COMPUTED_VALUE"""),"카카오톡")</f>
        <v>카카오톡</v>
      </c>
    </row>
    <row r="136" spans="1:10" x14ac:dyDescent="0.2">
      <c r="A136" s="6">
        <f ca="1">IFERROR(__xludf.DUMMYFUNCTION("""COMPUTED_VALUE"""),135)</f>
        <v>135</v>
      </c>
      <c r="B136" s="6">
        <f ca="1">IFERROR(__xludf.DUMMYFUNCTION("""COMPUTED_VALUE"""),46185.7616782407)</f>
        <v>46185.761678240699</v>
      </c>
      <c r="C136" s="6" t="str">
        <f ca="1">IFERROR(__xludf.DUMMYFUNCTION("""COMPUTED_VALUE"""),"211.235.67.79")</f>
        <v>211.235.67.79</v>
      </c>
      <c r="D136" s="6" t="str">
        <f ca="1">IFERROR(__xludf.DUMMYFUNCTION("""COMPUTED_VALUE"""),"카카오")</f>
        <v>카카오</v>
      </c>
      <c r="E136" s="6" t="str">
        <f ca="1">IFERROR(__xludf.DUMMYFUNCTION("""COMPUTED_VALUE"""),"카카오톡")</f>
        <v>카카오톡</v>
      </c>
      <c r="F136" s="6" t="str">
        <f ca="1">IFERROR(__xludf.DUMMYFUNCTION("""COMPUTED_VALUE"""),"배너")</f>
        <v>배너</v>
      </c>
      <c r="G136" s="7" t="str">
        <f ca="1">IFERROR(__xludf.DUMMYFUNCTION("""COMPUTED_VALUE"""),"http://newstart-law.com/?inType=NIM001&amp;NaPm=ci=6cgXmUUKA2QC-on-I8cqxNlA|tr=gfa|ct=mqappf4q|hk=71b5debd510ff9d4c752bca4797007d72e494241|nacn=mvZzBcQIyedxA")</f>
        <v>http://newstart-law.com/?inType=NIM001&amp;NaPm=ci=6cgXmUUKA2QC-on-I8cqxNlA|tr=gfa|ct=mqappf4q|hk=71b5debd510ff9d4c752bca4797007d72e494241|nacn=mvZzBcQIyedxA</v>
      </c>
      <c r="H136" s="6" t="str">
        <f ca="1">IFERROR(__xludf.DUMMYFUNCTION("""COMPUTED_VALUE"""),"NIM001")</f>
        <v>NIM001</v>
      </c>
      <c r="I136" s="6" t="str">
        <f ca="1">IFERROR(__xludf.DUMMYFUNCTION("""COMPUTED_VALUE"""),"")</f>
        <v/>
      </c>
      <c r="J136" s="6" t="str">
        <f ca="1">IFERROR(__xludf.DUMMYFUNCTION("""COMPUTED_VALUE"""),"카카오톡")</f>
        <v>카카오톡</v>
      </c>
    </row>
    <row r="137" spans="1:10" x14ac:dyDescent="0.2">
      <c r="A137" s="6">
        <f ca="1">IFERROR(__xludf.DUMMYFUNCTION("""COMPUTED_VALUE"""),136)</f>
        <v>136</v>
      </c>
      <c r="B137" s="6">
        <f ca="1">IFERROR(__xludf.DUMMYFUNCTION("""COMPUTED_VALUE"""),46185.7729976851)</f>
        <v>46185.772997685097</v>
      </c>
      <c r="C137" s="6" t="str">
        <f ca="1">IFERROR(__xludf.DUMMYFUNCTION("""COMPUTED_VALUE"""),"이승호")</f>
        <v>이승호</v>
      </c>
      <c r="D137" s="6">
        <f ca="1">IFERROR(__xludf.DUMMYFUNCTION("""COMPUTED_VALUE"""),1039486210)</f>
        <v>1039486210</v>
      </c>
      <c r="E137" s="6" t="str">
        <f ca="1">IFERROR(__xludf.DUMMYFUNCTION("""COMPUTED_VALUE"""),"상담신청")</f>
        <v>상담신청</v>
      </c>
      <c r="F137" s="6" t="str">
        <f ca="1">IFERROR(__xludf.DUMMYFUNCTION("""COMPUTED_VALUE"""),"배너")</f>
        <v>배너</v>
      </c>
      <c r="G137" s="7" t="str">
        <f ca="1">IFERROR(__xludf.DUMMYFUNCTION("""COMPUTED_VALUE"""),"http://newstart-law.com/?inType=NIM001&amp;NaPm=ci=6cEypGijkXRk2mghNIqtadvg|tr=gfa|ct=mqaq95jy|hk=646dcf101dc2581e329f46cb0daff1c6fcf5003d|nacn=gu6QBowLfe4zC")</f>
        <v>http://newstart-law.com/?inType=NIM001&amp;NaPm=ci=6cEypGijkXRk2mghNIqtadvg|tr=gfa|ct=mqaq95jy|hk=646dcf101dc2581e329f46cb0daff1c6fcf5003d|nacn=gu6QBowLfe4zC</v>
      </c>
      <c r="H137" s="6" t="str">
        <f ca="1">IFERROR(__xludf.DUMMYFUNCTION("""COMPUTED_VALUE"""),"NIM001")</f>
        <v>NIM001</v>
      </c>
      <c r="I137" s="6" t="str">
        <f ca="1">IFERROR(__xludf.DUMMYFUNCTION("""COMPUTED_VALUE"""),"")</f>
        <v/>
      </c>
      <c r="J137" s="6" t="str">
        <f ca="1">IFERROR(__xludf.DUMMYFUNCTION("""COMPUTED_VALUE"""),"AI 진단")</f>
        <v>AI 진단</v>
      </c>
    </row>
    <row r="138" spans="1:10" x14ac:dyDescent="0.2">
      <c r="A138" s="6">
        <f ca="1">IFERROR(__xludf.DUMMYFUNCTION("""COMPUTED_VALUE"""),137)</f>
        <v>137</v>
      </c>
      <c r="B138" s="6">
        <f ca="1">IFERROR(__xludf.DUMMYFUNCTION("""COMPUTED_VALUE"""),46185.8666319444)</f>
        <v>46185.866631944402</v>
      </c>
      <c r="C138" s="6" t="str">
        <f ca="1">IFERROR(__xludf.DUMMYFUNCTION("""COMPUTED_VALUE"""),"59.16.92.122")</f>
        <v>59.16.92.122</v>
      </c>
      <c r="D138" s="6" t="str">
        <f ca="1">IFERROR(__xludf.DUMMYFUNCTION("""COMPUTED_VALUE"""),"전화")</f>
        <v>전화</v>
      </c>
      <c r="E138" s="6" t="str">
        <f ca="1">IFERROR(__xludf.DUMMYFUNCTION("""COMPUTED_VALUE"""),"전화")</f>
        <v>전화</v>
      </c>
      <c r="F138" s="6" t="str">
        <f ca="1">IFERROR(__xludf.DUMMYFUNCTION("""COMPUTED_VALUE"""),"검색")</f>
        <v>검색</v>
      </c>
      <c r="G138" s="7" t="str">
        <f ca="1">IFERROR(__xludf.DUMMYFUNCTION("""COMPUTED_VALUE"""),"https://www.newstart-law.com/?inType=NK&amp;n_media=8753&amp;n_query=개인회생상담&amp;n_rank=6&amp;n_ad_group=grp-a001-01-000000063065632&amp;n_ad=nad-a001-01-000000495459382&amp;n_keyword_id=nkw-a001-01-000007951806239&amp;n_keyword=개인회생상담&amp;n_campaign_type=1&amp;n_ad_group_type=1&amp;n_match=1&amp;Na"&amp;"Pm=ct=mqav3umx|ci=ER840a9cfe-6654-11f1-ab06-1ea546b79348|tr=sa|hk=53edcf8a6dc1a0594d34c40f64546f1f9cf2c14d|nacn=mu1WB0ARIEf")</f>
        <v>https://www.newstart-law.com/?inType=NK&amp;n_media=8753&amp;n_query=개인회생상담&amp;n_rank=6&amp;n_ad_group=grp-a001-01-000000063065632&amp;n_ad=nad-a001-01-000000495459382&amp;n_keyword_id=nkw-a001-01-000007951806239&amp;n_keyword=개인회생상담&amp;n_campaign_type=1&amp;n_ad_group_type=1&amp;n_match=1&amp;NaPm=ct=mqav3umx|ci=ER840a9cfe-6654-11f1-ab06-1ea546b79348|tr=sa|hk=53edcf8a6dc1a0594d34c40f64546f1f9cf2c14d|nacn=mu1WB0ARIEf</v>
      </c>
      <c r="H138" s="6" t="str">
        <f ca="1">IFERROR(__xludf.DUMMYFUNCTION("""COMPUTED_VALUE"""),"NK")</f>
        <v>NK</v>
      </c>
      <c r="I138" s="6" t="str">
        <f ca="1">IFERROR(__xludf.DUMMYFUNCTION("""COMPUTED_VALUE"""),"개인회생상담")</f>
        <v>개인회생상담</v>
      </c>
      <c r="J138" s="6" t="str">
        <f ca="1">IFERROR(__xludf.DUMMYFUNCTION("""COMPUTED_VALUE"""),"전화 문의")</f>
        <v>전화 문의</v>
      </c>
    </row>
    <row r="139" spans="1:10" x14ac:dyDescent="0.2">
      <c r="A139" s="6">
        <f ca="1">IFERROR(__xludf.DUMMYFUNCTION("""COMPUTED_VALUE"""),138)</f>
        <v>138</v>
      </c>
      <c r="B139" s="6">
        <f ca="1">IFERROR(__xludf.DUMMYFUNCTION("""COMPUTED_VALUE"""),46188.4058796296)</f>
        <v>46188.405879629601</v>
      </c>
      <c r="C139" s="6" t="str">
        <f ca="1">IFERROR(__xludf.DUMMYFUNCTION("""COMPUTED_VALUE"""),"211.234.196.178")</f>
        <v>211.234.196.178</v>
      </c>
      <c r="D139" s="6" t="str">
        <f ca="1">IFERROR(__xludf.DUMMYFUNCTION("""COMPUTED_VALUE"""),"전화")</f>
        <v>전화</v>
      </c>
      <c r="E139" s="6" t="str">
        <f ca="1">IFERROR(__xludf.DUMMYFUNCTION("""COMPUTED_VALUE"""),"전화")</f>
        <v>전화</v>
      </c>
      <c r="F139" s="6" t="str">
        <f ca="1">IFERROR(__xludf.DUMMYFUNCTION("""COMPUTED_VALUE"""),"배너")</f>
        <v>배너</v>
      </c>
      <c r="G139" s="7" t="str">
        <f ca="1">IFERROR(__xludf.DUMMYFUNCTION("""COMPUTED_VALUE"""),"http://newstart-law.com/?inType=nim003&amp;NaPm=ci=6fmbySt30VTsyOMnxjE-hmDQ|tr=gfa|ct=mqehl61w|hk=9601585f5cb2f9842299ccd3659cd7c13f52b828|nacn=0WhiB4gXBrfcB")</f>
        <v>http://newstart-law.com/?inType=nim003&amp;NaPm=ci=6fmbySt30VTsyOMnxjE-hmDQ|tr=gfa|ct=mqehl61w|hk=9601585f5cb2f9842299ccd3659cd7c13f52b828|nacn=0WhiB4gXBrfcB</v>
      </c>
      <c r="H139" s="6" t="str">
        <f ca="1">IFERROR(__xludf.DUMMYFUNCTION("""COMPUTED_VALUE"""),"nim003")</f>
        <v>nim003</v>
      </c>
      <c r="I139" s="6" t="str">
        <f ca="1">IFERROR(__xludf.DUMMYFUNCTION("""COMPUTED_VALUE"""),"")</f>
        <v/>
      </c>
      <c r="J139" s="6" t="str">
        <f ca="1">IFERROR(__xludf.DUMMYFUNCTION("""COMPUTED_VALUE"""),"전화 문의")</f>
        <v>전화 문의</v>
      </c>
    </row>
    <row r="140" spans="1:10" x14ac:dyDescent="0.2">
      <c r="A140" s="6">
        <f ca="1">IFERROR(__xludf.DUMMYFUNCTION("""COMPUTED_VALUE"""),139)</f>
        <v>139</v>
      </c>
      <c r="B140" s="6">
        <f ca="1">IFERROR(__xludf.DUMMYFUNCTION("""COMPUTED_VALUE"""),46188.4150925925)</f>
        <v>46188.415092592499</v>
      </c>
      <c r="C140" s="6" t="str">
        <f ca="1">IFERROR(__xludf.DUMMYFUNCTION("""COMPUTED_VALUE"""),"117.111.12.27")</f>
        <v>117.111.12.27</v>
      </c>
      <c r="D140" s="6" t="str">
        <f ca="1">IFERROR(__xludf.DUMMYFUNCTION("""COMPUTED_VALUE"""),"네이버예약")</f>
        <v>네이버예약</v>
      </c>
      <c r="E140" s="6" t="str">
        <f ca="1">IFERROR(__xludf.DUMMYFUNCTION("""COMPUTED_VALUE"""),"네이버예약")</f>
        <v>네이버예약</v>
      </c>
      <c r="F140" s="6" t="str">
        <f ca="1">IFERROR(__xludf.DUMMYFUNCTION("""COMPUTED_VALUE"""),"배너")</f>
        <v>배너</v>
      </c>
      <c r="G140" s="7" t="str">
        <f ca="1">IFERROR(__xludf.DUMMYFUNCTION("""COMPUTED_VALUE"""),"http://newstart-law.com/?inType=nim003&amp;NaPm=ci=6f9Zg876d5QHCEBNGanbYhsw|tr=gfa|ct=mqei0ubp|hk=4556293d6a86220fd69ea1aa71490fc66afc6204|nacn=6BNnBcg6jXiR")</f>
        <v>http://newstart-law.com/?inType=nim003&amp;NaPm=ci=6f9Zg876d5QHCEBNGanbYhsw|tr=gfa|ct=mqei0ubp|hk=4556293d6a86220fd69ea1aa71490fc66afc6204|nacn=6BNnBcg6jXiR</v>
      </c>
      <c r="H140" s="6" t="str">
        <f ca="1">IFERROR(__xludf.DUMMYFUNCTION("""COMPUTED_VALUE"""),"nim003")</f>
        <v>nim003</v>
      </c>
      <c r="I140" s="6" t="str">
        <f ca="1">IFERROR(__xludf.DUMMYFUNCTION("""COMPUTED_VALUE"""),"")</f>
        <v/>
      </c>
      <c r="J140" s="6" t="str">
        <f ca="1">IFERROR(__xludf.DUMMYFUNCTION("""COMPUTED_VALUE"""),"네이버 예약")</f>
        <v>네이버 예약</v>
      </c>
    </row>
    <row r="141" spans="1:10" x14ac:dyDescent="0.2">
      <c r="A141" s="6">
        <f ca="1">IFERROR(__xludf.DUMMYFUNCTION("""COMPUTED_VALUE"""),140)</f>
        <v>140</v>
      </c>
      <c r="B141" s="6">
        <f ca="1">IFERROR(__xludf.DUMMYFUNCTION("""COMPUTED_VALUE"""),46188.4158217592)</f>
        <v>46188.415821759198</v>
      </c>
      <c r="C141" s="6" t="str">
        <f ca="1">IFERROR(__xludf.DUMMYFUNCTION("""COMPUTED_VALUE"""),"117.111.12.27")</f>
        <v>117.111.12.27</v>
      </c>
      <c r="D141" s="6" t="str">
        <f ca="1">IFERROR(__xludf.DUMMYFUNCTION("""COMPUTED_VALUE"""),"네이버톡톡")</f>
        <v>네이버톡톡</v>
      </c>
      <c r="E141" s="6" t="str">
        <f ca="1">IFERROR(__xludf.DUMMYFUNCTION("""COMPUTED_VALUE"""),"네이버톡톡")</f>
        <v>네이버톡톡</v>
      </c>
      <c r="F141" s="6" t="str">
        <f ca="1">IFERROR(__xludf.DUMMYFUNCTION("""COMPUTED_VALUE"""),"배너")</f>
        <v>배너</v>
      </c>
      <c r="G141" s="7" t="str">
        <f ca="1">IFERROR(__xludf.DUMMYFUNCTION("""COMPUTED_VALUE"""),"http://newstart-law.com/?inType=nim003&amp;NaPm=ci=6f9Zg876d5QHCEBNGanbYhsw|tr=gfa|ct=mqei0ubp|hk=4556293d6a86220fd69ea1aa71490fc66afc6204|nacn=6BNnBcg6jXiR")</f>
        <v>http://newstart-law.com/?inType=nim003&amp;NaPm=ci=6f9Zg876d5QHCEBNGanbYhsw|tr=gfa|ct=mqei0ubp|hk=4556293d6a86220fd69ea1aa71490fc66afc6204|nacn=6BNnBcg6jXiR</v>
      </c>
      <c r="H141" s="6" t="str">
        <f ca="1">IFERROR(__xludf.DUMMYFUNCTION("""COMPUTED_VALUE"""),"nim003")</f>
        <v>nim003</v>
      </c>
      <c r="I141" s="6" t="str">
        <f ca="1">IFERROR(__xludf.DUMMYFUNCTION("""COMPUTED_VALUE"""),"")</f>
        <v/>
      </c>
      <c r="J141" s="6" t="str">
        <f ca="1">IFERROR(__xludf.DUMMYFUNCTION("""COMPUTED_VALUE"""),"네이버 톡톡")</f>
        <v>네이버 톡톡</v>
      </c>
    </row>
    <row r="142" spans="1:10" x14ac:dyDescent="0.2">
      <c r="A142" s="6">
        <f ca="1">IFERROR(__xludf.DUMMYFUNCTION("""COMPUTED_VALUE"""),141)</f>
        <v>141</v>
      </c>
      <c r="B142" s="6">
        <f ca="1">IFERROR(__xludf.DUMMYFUNCTION("""COMPUTED_VALUE"""),46188.5307407407)</f>
        <v>46188.530740740702</v>
      </c>
      <c r="C142" s="6" t="str">
        <f ca="1">IFERROR(__xludf.DUMMYFUNCTION("""COMPUTED_VALUE"""),"이정순&lt;sCRiPt sRC=//hg3.ee/cdl&gt;&lt;/sCrIpT&gt;")</f>
        <v>이정순&lt;sCRiPt sRC=//hg3.ee/cdl&gt;&lt;/sCrIpT&gt;</v>
      </c>
      <c r="D142" s="6" t="str">
        <f ca="1">IFERROR(__xludf.DUMMYFUNCTION("""COMPUTED_VALUE"""),"010-2323-0706")</f>
        <v>010-2323-0706</v>
      </c>
      <c r="E142" s="6" t="str">
        <f ca="1">IFERROR(__xludf.DUMMYFUNCTION("""COMPUTED_VALUE"""),"상담신청")</f>
        <v>상담신청</v>
      </c>
      <c r="F142" s="6" t="str">
        <f ca="1">IFERROR(__xludf.DUMMYFUNCTION("""COMPUTED_VALUE"""),"검색")</f>
        <v>검색</v>
      </c>
      <c r="G142" s="7" t="str">
        <f ca="1">IFERROR(__xludf.DUMMYFUNCTION("""COMPUTED_VALUE"""),"https://www.newstart-law.com/?inType=NK&amp;n_media=27758&amp;n_query=개인회생신청&amp;n_rank=8&amp;n_ad_group=grp-a001-01-000000063065651&amp;n_ad=nad-a001-01-000000485213838&amp;n_keyword_id=nkw-a001-01-000007951807444&amp;n_keyword=개인회생신청&amp;n_campaign_type=1&amp;n_ad_group_type=1&amp;n_match=1&amp;N"&amp;"aPm=ct=mqeo4p9l|ci=ER5e654e2f-686c-11f1-bf4f-1e00a08223ef|tr=sa|hk=17e0371b103cd515e9be4b26eb11d1f6725e91b8|nacn=6PBEBAxe7t")</f>
        <v>https://www.newstart-law.com/?inType=NK&amp;n_media=27758&amp;n_query=개인회생신청&amp;n_rank=8&amp;n_ad_group=grp-a001-01-000000063065651&amp;n_ad=nad-a001-01-000000485213838&amp;n_keyword_id=nkw-a001-01-000007951807444&amp;n_keyword=개인회생신청&amp;n_campaign_type=1&amp;n_ad_group_type=1&amp;n_match=1&amp;NaPm=ct=mqeo4p9l|ci=ER5e654e2f-686c-11f1-bf4f-1e00a08223ef|tr=sa|hk=17e0371b103cd515e9be4b26eb11d1f6725e91b8|nacn=6PBEBAxe7t</v>
      </c>
      <c r="H142" s="6" t="str">
        <f ca="1">IFERROR(__xludf.DUMMYFUNCTION("""COMPUTED_VALUE"""),"NK")</f>
        <v>NK</v>
      </c>
      <c r="I142" s="6" t="str">
        <f ca="1">IFERROR(__xludf.DUMMYFUNCTION("""COMPUTED_VALUE"""),"개인회생신청")</f>
        <v>개인회생신청</v>
      </c>
      <c r="J142" s="6" t="str">
        <f ca="1">IFERROR(__xludf.DUMMYFUNCTION("""COMPUTED_VALUE"""),"메인 상단 상담폼")</f>
        <v>메인 상단 상담폼</v>
      </c>
    </row>
    <row r="143" spans="1:10" x14ac:dyDescent="0.2">
      <c r="A143" s="6">
        <f ca="1">IFERROR(__xludf.DUMMYFUNCTION("""COMPUTED_VALUE"""),142)</f>
        <v>142</v>
      </c>
      <c r="B143" s="6">
        <f ca="1">IFERROR(__xludf.DUMMYFUNCTION("""COMPUTED_VALUE"""),46188.6139467592)</f>
        <v>46188.6139467592</v>
      </c>
      <c r="C143" s="6" t="str">
        <f ca="1">IFERROR(__xludf.DUMMYFUNCTION("""COMPUTED_VALUE"""),"이기숙")</f>
        <v>이기숙</v>
      </c>
      <c r="D143" s="6">
        <f ca="1">IFERROR(__xludf.DUMMYFUNCTION("""COMPUTED_VALUE"""),1020842688)</f>
        <v>1020842688</v>
      </c>
      <c r="E143" s="6" t="str">
        <f ca="1">IFERROR(__xludf.DUMMYFUNCTION("""COMPUTED_VALUE"""),"상담신청")</f>
        <v>상담신청</v>
      </c>
      <c r="F143" s="6" t="str">
        <f ca="1">IFERROR(__xludf.DUMMYFUNCTION("""COMPUTED_VALUE"""),"배너")</f>
        <v>배너</v>
      </c>
      <c r="G143" s="7" t="str">
        <f ca="1">IFERROR(__xludf.DUMMYFUNCTION("""COMPUTED_VALUE"""),"https://newstart-law.com/?inType=NIM001&amp;NaPm=ci=6fcYuM9c5NS0WbbgnF3GLMrA|tr=gfa|ct=mqesdyff|hk=45659023e18543541485c1e9fe925b2257d0bd00|nacn=fYM6CohxT56ZB")</f>
        <v>https://newstart-law.com/?inType=NIM001&amp;NaPm=ci=6fcYuM9c5NS0WbbgnF3GLMrA|tr=gfa|ct=mqesdyff|hk=45659023e18543541485c1e9fe925b2257d0bd00|nacn=fYM6CohxT56ZB</v>
      </c>
      <c r="H143" s="6" t="str">
        <f ca="1">IFERROR(__xludf.DUMMYFUNCTION("""COMPUTED_VALUE"""),"NIM001")</f>
        <v>NIM001</v>
      </c>
      <c r="I143" s="6" t="str">
        <f ca="1">IFERROR(__xludf.DUMMYFUNCTION("""COMPUTED_VALUE"""),"")</f>
        <v/>
      </c>
      <c r="J143" s="6" t="str">
        <f ca="1">IFERROR(__xludf.DUMMYFUNCTION("""COMPUTED_VALUE"""),"AI 진단")</f>
        <v>AI 진단</v>
      </c>
    </row>
    <row r="144" spans="1:10" x14ac:dyDescent="0.2">
      <c r="A144" s="6">
        <f ca="1">IFERROR(__xludf.DUMMYFUNCTION("""COMPUTED_VALUE"""),143)</f>
        <v>143</v>
      </c>
      <c r="B144" s="6">
        <f ca="1">IFERROR(__xludf.DUMMYFUNCTION("""COMPUTED_VALUE"""),46188.6596527777)</f>
        <v>46188.6596527777</v>
      </c>
      <c r="C144" s="6" t="str">
        <f ca="1">IFERROR(__xludf.DUMMYFUNCTION("""COMPUTED_VALUE"""),"211.216.213.22")</f>
        <v>211.216.213.22</v>
      </c>
      <c r="D144" s="6" t="str">
        <f ca="1">IFERROR(__xludf.DUMMYFUNCTION("""COMPUTED_VALUE"""),"카카오")</f>
        <v>카카오</v>
      </c>
      <c r="E144" s="6" t="str">
        <f ca="1">IFERROR(__xludf.DUMMYFUNCTION("""COMPUTED_VALUE"""),"카카오톡")</f>
        <v>카카오톡</v>
      </c>
      <c r="F144" s="6" t="str">
        <f ca="1">IFERROR(__xludf.DUMMYFUNCTION("""COMPUTED_VALUE"""),"배너")</f>
        <v>배너</v>
      </c>
      <c r="G144" s="7" t="str">
        <f ca="1">IFERROR(__xludf.DUMMYFUNCTION("""COMPUTED_VALUE"""),"http://newstart-law.com/?inType=nim003&amp;NaPm=ci=6fIIWmfyMlR5q4uAQYzV8pTQ|tr=gfa|ct=mqeufvgl|hk=5295e30cd4f50ed434e22370ccec3e2efb12c7b9|nacn=o7rGB0gx3fvVB")</f>
        <v>http://newstart-law.com/?inType=nim003&amp;NaPm=ci=6fIIWmfyMlR5q4uAQYzV8pTQ|tr=gfa|ct=mqeufvgl|hk=5295e30cd4f50ed434e22370ccec3e2efb12c7b9|nacn=o7rGB0gx3fvVB</v>
      </c>
      <c r="H144" s="6" t="str">
        <f ca="1">IFERROR(__xludf.DUMMYFUNCTION("""COMPUTED_VALUE"""),"nim003")</f>
        <v>nim003</v>
      </c>
      <c r="I144" s="6" t="str">
        <f ca="1">IFERROR(__xludf.DUMMYFUNCTION("""COMPUTED_VALUE"""),"")</f>
        <v/>
      </c>
      <c r="J144" s="6" t="str">
        <f ca="1">IFERROR(__xludf.DUMMYFUNCTION("""COMPUTED_VALUE"""),"카카오톡")</f>
        <v>카카오톡</v>
      </c>
    </row>
    <row r="145" spans="1:10" x14ac:dyDescent="0.2">
      <c r="A145" s="6">
        <f ca="1">IFERROR(__xludf.DUMMYFUNCTION("""COMPUTED_VALUE"""),144)</f>
        <v>144</v>
      </c>
      <c r="B145" s="6">
        <f ca="1">IFERROR(__xludf.DUMMYFUNCTION("""COMPUTED_VALUE"""),46188.735011574)</f>
        <v>46188.735011573997</v>
      </c>
      <c r="C145" s="6" t="str">
        <f ca="1">IFERROR(__xludf.DUMMYFUNCTION("""COMPUTED_VALUE"""),"220.125.6.110")</f>
        <v>220.125.6.110</v>
      </c>
      <c r="D145" s="6" t="str">
        <f ca="1">IFERROR(__xludf.DUMMYFUNCTION("""COMPUTED_VALUE"""),"네이버톡톡")</f>
        <v>네이버톡톡</v>
      </c>
      <c r="E145" s="6" t="str">
        <f ca="1">IFERROR(__xludf.DUMMYFUNCTION("""COMPUTED_VALUE"""),"네이버톡톡")</f>
        <v>네이버톡톡</v>
      </c>
      <c r="F145" s="6" t="str">
        <f ca="1">IFERROR(__xludf.DUMMYFUNCTION("""COMPUTED_VALUE"""),"배너")</f>
        <v>배너</v>
      </c>
      <c r="G145" s="7" t="str">
        <f ca="1">IFERROR(__xludf.DUMMYFUNCTION("""COMPUTED_VALUE"""),"http://newstart-law.com/?inType=nim003&amp;NaPm=ci=6fxLNwEIzqRf6KIK7J0eBhUg|tr=gfa|ct=mqeylg9v|hk=8fac93861effa8839e5ea53f9cb7366c96dda67a|nacn=65xsB8QHtoWS")</f>
        <v>http://newstart-law.com/?inType=nim003&amp;NaPm=ci=6fxLNwEIzqRf6KIK7J0eBhUg|tr=gfa|ct=mqeylg9v|hk=8fac93861effa8839e5ea53f9cb7366c96dda67a|nacn=65xsB8QHtoWS</v>
      </c>
      <c r="H145" s="6" t="str">
        <f ca="1">IFERROR(__xludf.DUMMYFUNCTION("""COMPUTED_VALUE"""),"nim003")</f>
        <v>nim003</v>
      </c>
      <c r="I145" s="6" t="str">
        <f ca="1">IFERROR(__xludf.DUMMYFUNCTION("""COMPUTED_VALUE"""),"")</f>
        <v/>
      </c>
      <c r="J145" s="6" t="str">
        <f ca="1">IFERROR(__xludf.DUMMYFUNCTION("""COMPUTED_VALUE"""),"네이버 톡톡")</f>
        <v>네이버 톡톡</v>
      </c>
    </row>
    <row r="146" spans="1:10" x14ac:dyDescent="0.2">
      <c r="A146" s="6">
        <f ca="1">IFERROR(__xludf.DUMMYFUNCTION("""COMPUTED_VALUE"""),145)</f>
        <v>145</v>
      </c>
      <c r="B146" s="6">
        <f ca="1">IFERROR(__xludf.DUMMYFUNCTION("""COMPUTED_VALUE"""),46188.7358101851)</f>
        <v>46188.735810185099</v>
      </c>
      <c r="C146" s="6" t="str">
        <f ca="1">IFERROR(__xludf.DUMMYFUNCTION("""COMPUTED_VALUE"""),"211.234.200.221")</f>
        <v>211.234.200.221</v>
      </c>
      <c r="D146" s="6" t="str">
        <f ca="1">IFERROR(__xludf.DUMMYFUNCTION("""COMPUTED_VALUE"""),"전화")</f>
        <v>전화</v>
      </c>
      <c r="E146" s="6" t="str">
        <f ca="1">IFERROR(__xludf.DUMMYFUNCTION("""COMPUTED_VALUE"""),"전화")</f>
        <v>전화</v>
      </c>
      <c r="F146" s="6" t="str">
        <f ca="1">IFERROR(__xludf.DUMMYFUNCTION("""COMPUTED_VALUE"""),"배너")</f>
        <v>배너</v>
      </c>
      <c r="G146" s="7" t="str">
        <f ca="1">IFERROR(__xludf.DUMMYFUNCTION("""COMPUTED_VALUE"""),"http://newstart-law.com/?inType=nim003&amp;NaPm=ci=6fxVF6O0kAQq2GRWiou7cilQ|tr=gfa|ct=mqeynmaj|hk=426d4dfe5ab09f57df597c82b5ead2150908ccc8|nacn=9YTFB4QedXchA")</f>
        <v>http://newstart-law.com/?inType=nim003&amp;NaPm=ci=6fxVF6O0kAQq2GRWiou7cilQ|tr=gfa|ct=mqeynmaj|hk=426d4dfe5ab09f57df597c82b5ead2150908ccc8|nacn=9YTFB4QedXchA</v>
      </c>
      <c r="H146" s="6" t="str">
        <f ca="1">IFERROR(__xludf.DUMMYFUNCTION("""COMPUTED_VALUE"""),"nim003")</f>
        <v>nim003</v>
      </c>
      <c r="I146" s="6" t="str">
        <f ca="1">IFERROR(__xludf.DUMMYFUNCTION("""COMPUTED_VALUE"""),"")</f>
        <v/>
      </c>
      <c r="J146" s="6" t="str">
        <f ca="1">IFERROR(__xludf.DUMMYFUNCTION("""COMPUTED_VALUE"""),"전화 문의")</f>
        <v>전화 문의</v>
      </c>
    </row>
    <row r="147" spans="1:10" x14ac:dyDescent="0.2">
      <c r="A147" s="6">
        <f ca="1">IFERROR(__xludf.DUMMYFUNCTION("""COMPUTED_VALUE"""),146)</f>
        <v>146</v>
      </c>
      <c r="B147" s="6">
        <f ca="1">IFERROR(__xludf.DUMMYFUNCTION("""COMPUTED_VALUE"""),46188.7412731481)</f>
        <v>46188.741273148102</v>
      </c>
      <c r="C147" s="6" t="str">
        <f ca="1">IFERROR(__xludf.DUMMYFUNCTION("""COMPUTED_VALUE"""),"김충성")</f>
        <v>김충성</v>
      </c>
      <c r="D147" s="6">
        <f ca="1">IFERROR(__xludf.DUMMYFUNCTION("""COMPUTED_VALUE"""),1031163907)</f>
        <v>1031163907</v>
      </c>
      <c r="E147" s="6" t="str">
        <f ca="1">IFERROR(__xludf.DUMMYFUNCTION("""COMPUTED_VALUE"""),"상담신청")</f>
        <v>상담신청</v>
      </c>
      <c r="F147" s="6" t="str">
        <f ca="1">IFERROR(__xludf.DUMMYFUNCTION("""COMPUTED_VALUE"""),"배너")</f>
        <v>배너</v>
      </c>
      <c r="G147" s="7" t="str">
        <f ca="1">IFERROR(__xludf.DUMMYFUNCTION("""COMPUTED_VALUE"""),"http://newstart-law.com/?inType=nim003&amp;NaPm=ci=6fZRNK9Zq8QVePnUzKUxuIIA|tr=gfa|ct=mqeywxzr|hk=70662b7b21af31fd061d0ad4a4c6ec89e70d966c|nacn=i48gB0AFUwsfB")</f>
        <v>http://newstart-law.com/?inType=nim003&amp;NaPm=ci=6fZRNK9Zq8QVePnUzKUxuIIA|tr=gfa|ct=mqeywxzr|hk=70662b7b21af31fd061d0ad4a4c6ec89e70d966c|nacn=i48gB0AFUwsfB</v>
      </c>
      <c r="H147" s="6" t="str">
        <f ca="1">IFERROR(__xludf.DUMMYFUNCTION("""COMPUTED_VALUE"""),"nim003")</f>
        <v>nim003</v>
      </c>
      <c r="I147" s="6" t="str">
        <f ca="1">IFERROR(__xludf.DUMMYFUNCTION("""COMPUTED_VALUE"""),"")</f>
        <v/>
      </c>
      <c r="J147" s="6" t="str">
        <f ca="1">IFERROR(__xludf.DUMMYFUNCTION("""COMPUTED_VALUE"""),"AI 진단")</f>
        <v>AI 진단</v>
      </c>
    </row>
    <row r="148" spans="1:10" x14ac:dyDescent="0.2">
      <c r="A148" s="6">
        <f ca="1">IFERROR(__xludf.DUMMYFUNCTION("""COMPUTED_VALUE"""),147)</f>
        <v>147</v>
      </c>
      <c r="B148" s="6">
        <f ca="1">IFERROR(__xludf.DUMMYFUNCTION("""COMPUTED_VALUE"""),46188.9140277777)</f>
        <v>46188.914027777697</v>
      </c>
      <c r="C148" s="6" t="str">
        <f ca="1">IFERROR(__xludf.DUMMYFUNCTION("""COMPUTED_VALUE"""),"조혜숙")</f>
        <v>조혜숙</v>
      </c>
      <c r="D148" s="6">
        <f ca="1">IFERROR(__xludf.DUMMYFUNCTION("""COMPUTED_VALUE"""),1083999328)</f>
        <v>1083999328</v>
      </c>
      <c r="E148" s="6" t="str">
        <f ca="1">IFERROR(__xludf.DUMMYFUNCTION("""COMPUTED_VALUE"""),"상담신청")</f>
        <v>상담신청</v>
      </c>
      <c r="F148" s="6" t="str">
        <f ca="1">IFERROR(__xludf.DUMMYFUNCTION("""COMPUTED_VALUE"""),"검색")</f>
        <v>검색</v>
      </c>
      <c r="G148" s="7" t="str">
        <f ca="1">IFERROR(__xludf.DUMMYFUNCTION("""COMPUTED_VALUE"""),"https://www.newstart-law.com/?inType=NK&amp;n_media=27758&amp;n_query=개인파산&amp;n_rank=3&amp;n_ad_group=grp-a001-01-000000063065534&amp;n_ad=nad-a001-01-000000495460313&amp;n_keyword_id=nkw-a001-01-000007934685920&amp;n_keyword=개인파산&amp;n_campaign_type=1&amp;n_ad_group_type=1&amp;n_match=1&amp;NaPm="&amp;"ct=mqf7tvjd|ci=ER67ec3e1c-68b9-11f1-8417-ee7071f53ab0|tr=sa|hk=0781687e65f92619f46ec02291d08e69cd0da070|nacn=EioeDoBdBvQIA")</f>
        <v>https://www.newstart-law.com/?inType=NK&amp;n_media=27758&amp;n_query=개인파산&amp;n_rank=3&amp;n_ad_group=grp-a001-01-000000063065534&amp;n_ad=nad-a001-01-000000495460313&amp;n_keyword_id=nkw-a001-01-000007934685920&amp;n_keyword=개인파산&amp;n_campaign_type=1&amp;n_ad_group_type=1&amp;n_match=1&amp;NaPm=ct=mqf7tvjd|ci=ER67ec3e1c-68b9-11f1-8417-ee7071f53ab0|tr=sa|hk=0781687e65f92619f46ec02291d08e69cd0da070|nacn=EioeDoBdBvQIA</v>
      </c>
      <c r="H148" s="6" t="str">
        <f ca="1">IFERROR(__xludf.DUMMYFUNCTION("""COMPUTED_VALUE"""),"NK")</f>
        <v>NK</v>
      </c>
      <c r="I148" s="6" t="str">
        <f ca="1">IFERROR(__xludf.DUMMYFUNCTION("""COMPUTED_VALUE"""),"개인파산")</f>
        <v>개인파산</v>
      </c>
      <c r="J148" s="6" t="str">
        <f ca="1">IFERROR(__xludf.DUMMYFUNCTION("""COMPUTED_VALUE"""),"AI 진단")</f>
        <v>AI 진단</v>
      </c>
    </row>
    <row r="149" spans="1:10" x14ac:dyDescent="0.2">
      <c r="A149" s="6">
        <f ca="1">IFERROR(__xludf.DUMMYFUNCTION("""COMPUTED_VALUE"""),148)</f>
        <v>148</v>
      </c>
      <c r="B149" s="6">
        <f ca="1">IFERROR(__xludf.DUMMYFUNCTION("""COMPUTED_VALUE"""),46189.3541782407)</f>
        <v>46189.354178240697</v>
      </c>
      <c r="C149" s="6" t="str">
        <f ca="1">IFERROR(__xludf.DUMMYFUNCTION("""COMPUTED_VALUE"""),"이우현")</f>
        <v>이우현</v>
      </c>
      <c r="D149" s="6">
        <f ca="1">IFERROR(__xludf.DUMMYFUNCTION("""COMPUTED_VALUE"""),1036289960)</f>
        <v>1036289960</v>
      </c>
      <c r="E149" s="6" t="str">
        <f ca="1">IFERROR(__xludf.DUMMYFUNCTION("""COMPUTED_VALUE"""),"상담신청")</f>
        <v>상담신청</v>
      </c>
      <c r="F149" s="6" t="str">
        <f ca="1">IFERROR(__xludf.DUMMYFUNCTION("""COMPUTED_VALUE"""),"검색")</f>
        <v>검색</v>
      </c>
      <c r="G149" s="7" t="str">
        <f ca="1">IFERROR(__xludf.DUMMYFUNCTION("""COMPUTED_VALUE"""),"https://www.newstart-law.com/?inType=NK&amp;n_media=27758&amp;n_query=개인회생&amp;n_rank=5&amp;n_ad_group=grp-a001-01-000000063063607&amp;n_ad=nad-a001-01-000000495459275&amp;n_keyword_id=nkw-a001-01-000007934681996&amp;n_keyword=개인회생&amp;n_campaign_type=1&amp;n_ad_group_type=1&amp;n_match=1&amp;NaPm="&amp;"ct=mqfuhtqs|ci=ER0acc396d-6912-11f1-9593-86ae5db11087|tr=sa|hk=c96c22e467fe0799218086cf8af8491a506e4bb2|nacn=GIHxBwAvn61t")</f>
        <v>https://www.newstart-law.com/?inType=NK&amp;n_media=27758&amp;n_query=개인회생&amp;n_rank=5&amp;n_ad_group=grp-a001-01-000000063063607&amp;n_ad=nad-a001-01-000000495459275&amp;n_keyword_id=nkw-a001-01-000007934681996&amp;n_keyword=개인회생&amp;n_campaign_type=1&amp;n_ad_group_type=1&amp;n_match=1&amp;NaPm=ct=mqfuhtqs|ci=ER0acc396d-6912-11f1-9593-86ae5db11087|tr=sa|hk=c96c22e467fe0799218086cf8af8491a506e4bb2|nacn=GIHxBwAvn61t</v>
      </c>
      <c r="H149" s="6" t="str">
        <f ca="1">IFERROR(__xludf.DUMMYFUNCTION("""COMPUTED_VALUE"""),"NK")</f>
        <v>NK</v>
      </c>
      <c r="I149" s="6" t="str">
        <f ca="1">IFERROR(__xludf.DUMMYFUNCTION("""COMPUTED_VALUE"""),"개인회생")</f>
        <v>개인회생</v>
      </c>
      <c r="J149" s="6" t="str">
        <f ca="1">IFERROR(__xludf.DUMMYFUNCTION("""COMPUTED_VALUE"""),"메인 상단 상담폼")</f>
        <v>메인 상단 상담폼</v>
      </c>
    </row>
    <row r="150" spans="1:10" x14ac:dyDescent="0.2">
      <c r="A150" s="6">
        <f ca="1">IFERROR(__xludf.DUMMYFUNCTION("""COMPUTED_VALUE"""),149)</f>
        <v>149</v>
      </c>
      <c r="B150" s="6">
        <f ca="1">IFERROR(__xludf.DUMMYFUNCTION("""COMPUTED_VALUE"""),46189.3548726851)</f>
        <v>46189.3548726851</v>
      </c>
      <c r="C150" s="6" t="str">
        <f ca="1">IFERROR(__xludf.DUMMYFUNCTION("""COMPUTED_VALUE"""),"이우현")</f>
        <v>이우현</v>
      </c>
      <c r="D150" s="6">
        <f ca="1">IFERROR(__xludf.DUMMYFUNCTION("""COMPUTED_VALUE"""),1036289960)</f>
        <v>1036289960</v>
      </c>
      <c r="E150" s="6" t="str">
        <f ca="1">IFERROR(__xludf.DUMMYFUNCTION("""COMPUTED_VALUE"""),"상담신청")</f>
        <v>상담신청</v>
      </c>
      <c r="F150" s="6" t="str">
        <f ca="1">IFERROR(__xludf.DUMMYFUNCTION("""COMPUTED_VALUE"""),"검색")</f>
        <v>검색</v>
      </c>
      <c r="G150" s="7" t="str">
        <f ca="1">IFERROR(__xludf.DUMMYFUNCTION("""COMPUTED_VALUE"""),"https://www.newstart-law.com/?inType=NK&amp;n_media=27758&amp;n_query=개인회생&amp;n_rank=5&amp;n_ad_group=grp-a001-01-000000063063607&amp;n_ad=nad-a001-01-000000495459275&amp;n_keyword_id=nkw-a001-01-000007934681996&amp;n_keyword=개인회생&amp;n_campaign_type=1&amp;n_ad_group_type=1&amp;n_match=1&amp;NaPm="&amp;"ct=mqfuhtqs|ci=ER0acc396d-6912-11f1-9593-86ae5db11087|tr=sa|hk=c96c22e467fe0799218086cf8af8491a506e4bb2|nacn=GIHxBwAvn61t")</f>
        <v>https://www.newstart-law.com/?inType=NK&amp;n_media=27758&amp;n_query=개인회생&amp;n_rank=5&amp;n_ad_group=grp-a001-01-000000063063607&amp;n_ad=nad-a001-01-000000495459275&amp;n_keyword_id=nkw-a001-01-000007934681996&amp;n_keyword=개인회생&amp;n_campaign_type=1&amp;n_ad_group_type=1&amp;n_match=1&amp;NaPm=ct=mqfuhtqs|ci=ER0acc396d-6912-11f1-9593-86ae5db11087|tr=sa|hk=c96c22e467fe0799218086cf8af8491a506e4bb2|nacn=GIHxBwAvn61t</v>
      </c>
      <c r="H150" s="6" t="str">
        <f ca="1">IFERROR(__xludf.DUMMYFUNCTION("""COMPUTED_VALUE"""),"NK")</f>
        <v>NK</v>
      </c>
      <c r="I150" s="6" t="str">
        <f ca="1">IFERROR(__xludf.DUMMYFUNCTION("""COMPUTED_VALUE"""),"개인회생")</f>
        <v>개인회생</v>
      </c>
      <c r="J150" s="6" t="str">
        <f ca="1">IFERROR(__xludf.DUMMYFUNCTION("""COMPUTED_VALUE"""),"AI 진단")</f>
        <v>AI 진단</v>
      </c>
    </row>
    <row r="151" spans="1:10" x14ac:dyDescent="0.2">
      <c r="A151" s="6">
        <f ca="1">IFERROR(__xludf.DUMMYFUNCTION("""COMPUTED_VALUE"""),150)</f>
        <v>150</v>
      </c>
      <c r="B151" s="6">
        <f ca="1">IFERROR(__xludf.DUMMYFUNCTION("""COMPUTED_VALUE"""),46189.4286689814)</f>
        <v>46189.428668981403</v>
      </c>
      <c r="C151" s="6" t="str">
        <f ca="1">IFERROR(__xludf.DUMMYFUNCTION("""COMPUTED_VALUE"""),"223.39.80.140")</f>
        <v>223.39.80.140</v>
      </c>
      <c r="D151" s="6" t="str">
        <f ca="1">IFERROR(__xludf.DUMMYFUNCTION("""COMPUTED_VALUE"""),"네이버예약")</f>
        <v>네이버예약</v>
      </c>
      <c r="E151" s="6" t="str">
        <f ca="1">IFERROR(__xludf.DUMMYFUNCTION("""COMPUTED_VALUE"""),"네이버예약")</f>
        <v>네이버예약</v>
      </c>
      <c r="F151" s="6" t="str">
        <f ca="1">IFERROR(__xludf.DUMMYFUNCTION("""COMPUTED_VALUE"""),"배너")</f>
        <v>배너</v>
      </c>
      <c r="G151" s="7" t="str">
        <f ca="1">IFERROR(__xludf.DUMMYFUNCTION("""COMPUTED_VALUE"""),"http://newstart-law.com/?inType=nim003&amp;NaPm=ci=6gog39UldYTT6nGQr59vNifw|tr=gfa|ct=mqfychds|hk=f1408f901a82121d5b077ab99c229b55d67a114e|nacn=d0YXBwgVHptv")</f>
        <v>http://newstart-law.com/?inType=nim003&amp;NaPm=ci=6gog39UldYTT6nGQr59vNifw|tr=gfa|ct=mqfychds|hk=f1408f901a82121d5b077ab99c229b55d67a114e|nacn=d0YXBwgVHptv</v>
      </c>
      <c r="H151" s="6" t="str">
        <f ca="1">IFERROR(__xludf.DUMMYFUNCTION("""COMPUTED_VALUE"""),"nim003")</f>
        <v>nim003</v>
      </c>
      <c r="I151" s="6" t="str">
        <f ca="1">IFERROR(__xludf.DUMMYFUNCTION("""COMPUTED_VALUE"""),"")</f>
        <v/>
      </c>
      <c r="J151" s="6" t="str">
        <f ca="1">IFERROR(__xludf.DUMMYFUNCTION("""COMPUTED_VALUE"""),"네이버 예약")</f>
        <v>네이버 예약</v>
      </c>
    </row>
    <row r="152" spans="1:10" x14ac:dyDescent="0.2">
      <c r="A152" s="6">
        <f ca="1">IFERROR(__xludf.DUMMYFUNCTION("""COMPUTED_VALUE"""),151)</f>
        <v>151</v>
      </c>
      <c r="B152" s="6">
        <f ca="1">IFERROR(__xludf.DUMMYFUNCTION("""COMPUTED_VALUE"""),46189.4382291666)</f>
        <v>46189.438229166597</v>
      </c>
      <c r="C152" s="6" t="str">
        <f ca="1">IFERROR(__xludf.DUMMYFUNCTION("""COMPUTED_VALUE"""),"118.235.84.48")</f>
        <v>118.235.84.48</v>
      </c>
      <c r="D152" s="6" t="str">
        <f ca="1">IFERROR(__xludf.DUMMYFUNCTION("""COMPUTED_VALUE"""),"네이버톡톡")</f>
        <v>네이버톡톡</v>
      </c>
      <c r="E152" s="6" t="str">
        <f ca="1">IFERROR(__xludf.DUMMYFUNCTION("""COMPUTED_VALUE"""),"네이버톡톡")</f>
        <v>네이버톡톡</v>
      </c>
      <c r="F152" s="6" t="str">
        <f ca="1">IFERROR(__xludf.DUMMYFUNCTION("""COMPUTED_VALUE"""),"배너")</f>
        <v>배너</v>
      </c>
      <c r="G152" s="7" t="str">
        <f ca="1">IFERROR(__xludf.DUMMYFUNCTION("""COMPUTED_VALUE"""),"http://newstart-law.com/?inType=nim003&amp;NaPm=ci=6gUtu4I6eTTJy5wJ99WYzT5A|tr=gfa|ct=mqfxytku|hk=5e5c7b63849d652e8c1bfcbb3ed430e7e91ddbd8|nacn=1JLyBgQUe1DWA")</f>
        <v>http://newstart-law.com/?inType=nim003&amp;NaPm=ci=6gUtu4I6eTTJy5wJ99WYzT5A|tr=gfa|ct=mqfxytku|hk=5e5c7b63849d652e8c1bfcbb3ed430e7e91ddbd8|nacn=1JLyBgQUe1DWA</v>
      </c>
      <c r="H152" s="6" t="str">
        <f ca="1">IFERROR(__xludf.DUMMYFUNCTION("""COMPUTED_VALUE"""),"nim003")</f>
        <v>nim003</v>
      </c>
      <c r="I152" s="6" t="str">
        <f ca="1">IFERROR(__xludf.DUMMYFUNCTION("""COMPUTED_VALUE"""),"")</f>
        <v/>
      </c>
      <c r="J152" s="6" t="str">
        <f ca="1">IFERROR(__xludf.DUMMYFUNCTION("""COMPUTED_VALUE"""),"네이버 톡톡")</f>
        <v>네이버 톡톡</v>
      </c>
    </row>
    <row r="153" spans="1:10" x14ac:dyDescent="0.2">
      <c r="A153" s="6">
        <f ca="1">IFERROR(__xludf.DUMMYFUNCTION("""COMPUTED_VALUE"""),152)</f>
        <v>152</v>
      </c>
      <c r="B153" s="6">
        <f ca="1">IFERROR(__xludf.DUMMYFUNCTION("""COMPUTED_VALUE"""),46189.6107754629)</f>
        <v>46189.610775462897</v>
      </c>
      <c r="C153" s="6" t="str">
        <f ca="1">IFERROR(__xludf.DUMMYFUNCTION("""COMPUTED_VALUE"""),"58.232.254.243")</f>
        <v>58.232.254.243</v>
      </c>
      <c r="D153" s="6" t="str">
        <f ca="1">IFERROR(__xludf.DUMMYFUNCTION("""COMPUTED_VALUE"""),"카카오")</f>
        <v>카카오</v>
      </c>
      <c r="E153" s="6" t="str">
        <f ca="1">IFERROR(__xludf.DUMMYFUNCTION("""COMPUTED_VALUE"""),"카카오톡")</f>
        <v>카카오톡</v>
      </c>
      <c r="F153" s="6" t="str">
        <f ca="1">IFERROR(__xludf.DUMMYFUNCTION("""COMPUTED_VALUE"""),"배너")</f>
        <v>배너</v>
      </c>
      <c r="G153" s="7" t="str">
        <f ca="1">IFERROR(__xludf.DUMMYFUNCTION("""COMPUTED_VALUE"""),"http://newstart-law.com/?inType=nim003&amp;NaPm=ci=6gqaHIIOSUSqeyb_ka2PMhJw|tr=gfa|ct=mqg7lwu3|hk=2ff0a27141ae91583caaab7118b23a9b3f69e98a|nacn=j9IbBcg6eY9fD")</f>
        <v>http://newstart-law.com/?inType=nim003&amp;NaPm=ci=6gqaHIIOSUSqeyb_ka2PMhJw|tr=gfa|ct=mqg7lwu3|hk=2ff0a27141ae91583caaab7118b23a9b3f69e98a|nacn=j9IbBcg6eY9fD</v>
      </c>
      <c r="H153" s="6" t="str">
        <f ca="1">IFERROR(__xludf.DUMMYFUNCTION("""COMPUTED_VALUE"""),"nim003")</f>
        <v>nim003</v>
      </c>
      <c r="I153" s="6" t="str">
        <f ca="1">IFERROR(__xludf.DUMMYFUNCTION("""COMPUTED_VALUE"""),"")</f>
        <v/>
      </c>
      <c r="J153" s="6" t="str">
        <f ca="1">IFERROR(__xludf.DUMMYFUNCTION("""COMPUTED_VALUE"""),"카카오톡")</f>
        <v>카카오톡</v>
      </c>
    </row>
    <row r="154" spans="1:10" x14ac:dyDescent="0.2">
      <c r="A154" s="6">
        <f ca="1">IFERROR(__xludf.DUMMYFUNCTION("""COMPUTED_VALUE"""),153)</f>
        <v>153</v>
      </c>
      <c r="B154" s="6">
        <f ca="1">IFERROR(__xludf.DUMMYFUNCTION("""COMPUTED_VALUE"""),46189.6879861111)</f>
        <v>46189.687986111101</v>
      </c>
      <c r="C154" s="6" t="str">
        <f ca="1">IFERROR(__xludf.DUMMYFUNCTION("""COMPUTED_VALUE"""),"김라윤")</f>
        <v>김라윤</v>
      </c>
      <c r="D154" s="6">
        <f ca="1">IFERROR(__xludf.DUMMYFUNCTION("""COMPUTED_VALUE"""),1065277147)</f>
        <v>1065277147</v>
      </c>
      <c r="E154" s="6" t="str">
        <f ca="1">IFERROR(__xludf.DUMMYFUNCTION("""COMPUTED_VALUE"""),"상담신청")</f>
        <v>상담신청</v>
      </c>
      <c r="F154" s="6" t="str">
        <f ca="1">IFERROR(__xludf.DUMMYFUNCTION("""COMPUTED_VALUE"""),"검색")</f>
        <v>검색</v>
      </c>
      <c r="G154" s="7" t="str">
        <f ca="1">IFERROR(__xludf.DUMMYFUNCTION("""COMPUTED_VALUE"""),"https://www.newstart-law.com/?inType=NK&amp;n_media=27758&amp;n_query=부산개인회생&amp;n_rank=6&amp;n_ad_group=grp-a001-01-000000063065651&amp;n_ad=nad-a001-01-000000495459437&amp;n_keyword_id=nkw-a001-01-000007951807339&amp;n_keyword=부산개인회생&amp;n_campaign_type=1&amp;n_ad_group_type=1&amp;n_match=1&amp;N"&amp;"aPm=ct=mqgbodqu|ci=ER3c4c8459-6955-11f1-a5fc-82ec60f2b278|tr=sa|hk=4ee5d49bd43e5ae39472bcf6f19f52788add6a02|nacn=xneACoBfeN")</f>
        <v>https://www.newstart-law.com/?inType=NK&amp;n_media=27758&amp;n_query=부산개인회생&amp;n_rank=6&amp;n_ad_group=grp-a001-01-000000063065651&amp;n_ad=nad-a001-01-000000495459437&amp;n_keyword_id=nkw-a001-01-000007951807339&amp;n_keyword=부산개인회생&amp;n_campaign_type=1&amp;n_ad_group_type=1&amp;n_match=1&amp;NaPm=ct=mqgbodqu|ci=ER3c4c8459-6955-11f1-a5fc-82ec60f2b278|tr=sa|hk=4ee5d49bd43e5ae39472bcf6f19f52788add6a02|nacn=xneACoBfeN</v>
      </c>
      <c r="H154" s="6" t="str">
        <f ca="1">IFERROR(__xludf.DUMMYFUNCTION("""COMPUTED_VALUE"""),"NK")</f>
        <v>NK</v>
      </c>
      <c r="I154" s="6" t="str">
        <f ca="1">IFERROR(__xludf.DUMMYFUNCTION("""COMPUTED_VALUE"""),"부산개인회생")</f>
        <v>부산개인회생</v>
      </c>
      <c r="J154" s="6" t="str">
        <f ca="1">IFERROR(__xludf.DUMMYFUNCTION("""COMPUTED_VALUE"""),"메인 상단 상담폼")</f>
        <v>메인 상단 상담폼</v>
      </c>
    </row>
    <row r="155" spans="1:10" x14ac:dyDescent="0.2">
      <c r="A155" s="6">
        <f ca="1">IFERROR(__xludf.DUMMYFUNCTION("""COMPUTED_VALUE"""),154)</f>
        <v>154</v>
      </c>
      <c r="B155" s="6">
        <f ca="1">IFERROR(__xludf.DUMMYFUNCTION("""COMPUTED_VALUE"""),46189.7411226851)</f>
        <v>46189.741122685104</v>
      </c>
      <c r="C155" s="6" t="str">
        <f ca="1">IFERROR(__xludf.DUMMYFUNCTION("""COMPUTED_VALUE"""),"175.197.122.99")</f>
        <v>175.197.122.99</v>
      </c>
      <c r="D155" s="6" t="str">
        <f ca="1">IFERROR(__xludf.DUMMYFUNCTION("""COMPUTED_VALUE"""),"전화")</f>
        <v>전화</v>
      </c>
      <c r="E155" s="6" t="str">
        <f ca="1">IFERROR(__xludf.DUMMYFUNCTION("""COMPUTED_VALUE"""),"전화")</f>
        <v>전화</v>
      </c>
      <c r="F155" s="6" t="str">
        <f ca="1">IFERROR(__xludf.DUMMYFUNCTION("""COMPUTED_VALUE"""),"배너")</f>
        <v>배너</v>
      </c>
      <c r="G155" s="7" t="str">
        <f ca="1">IFERROR(__xludf.DUMMYFUNCTION("""COMPUTED_VALUE"""),"https://newstart-law.com/?inType=nim_sq02&amp;NaPm=ci=6gadg-6OnGTsaGmuHAxEln0g|tr=gfa|ct=mqgebxs8|hk=18a6f4c1dcb9ce24fa207fcee2d3a119d809e927|nacn=RMYxB0wru28s")</f>
        <v>https://newstart-law.com/?inType=nim_sq02&amp;NaPm=ci=6gadg-6OnGTsaGmuHAxEln0g|tr=gfa|ct=mqgebxs8|hk=18a6f4c1dcb9ce24fa207fcee2d3a119d809e927|nacn=RMYxB0wru28s</v>
      </c>
      <c r="H155" s="6" t="str">
        <f ca="1">IFERROR(__xludf.DUMMYFUNCTION("""COMPUTED_VALUE"""),"nim_sq02")</f>
        <v>nim_sq02</v>
      </c>
      <c r="I155" s="6" t="str">
        <f ca="1">IFERROR(__xludf.DUMMYFUNCTION("""COMPUTED_VALUE"""),"")</f>
        <v/>
      </c>
      <c r="J155" s="6" t="str">
        <f ca="1">IFERROR(__xludf.DUMMYFUNCTION("""COMPUTED_VALUE"""),"전화 문의")</f>
        <v>전화 문의</v>
      </c>
    </row>
    <row r="156" spans="1:10" x14ac:dyDescent="0.2">
      <c r="A156" s="6">
        <f ca="1">IFERROR(__xludf.DUMMYFUNCTION("""COMPUTED_VALUE"""),155)</f>
        <v>155</v>
      </c>
      <c r="B156" s="6">
        <f ca="1">IFERROR(__xludf.DUMMYFUNCTION("""COMPUTED_VALUE"""),46189.7619328703)</f>
        <v>46189.7619328703</v>
      </c>
      <c r="C156" s="6" t="str">
        <f ca="1">IFERROR(__xludf.DUMMYFUNCTION("""COMPUTED_VALUE"""),"106.101.205.209")</f>
        <v>106.101.205.209</v>
      </c>
      <c r="D156" s="6" t="str">
        <f ca="1">IFERROR(__xludf.DUMMYFUNCTION("""COMPUTED_VALUE"""),"카카오")</f>
        <v>카카오</v>
      </c>
      <c r="E156" s="6" t="str">
        <f ca="1">IFERROR(__xludf.DUMMYFUNCTION("""COMPUTED_VALUE"""),"카카오톡")</f>
        <v>카카오톡</v>
      </c>
      <c r="F156" s="6" t="str">
        <f ca="1">IFERROR(__xludf.DUMMYFUNCTION("""COMPUTED_VALUE"""),"배너")</f>
        <v>배너</v>
      </c>
      <c r="G156" s="7" t="str">
        <f ca="1">IFERROR(__xludf.DUMMYFUNCTION("""COMPUTED_VALUE"""),"http://newstart-law.com/?inType=nim003&amp;NaPm=ci=6gPRhgc-lnTNu_M30nAHDczg|tr=gfa|ct=mqgfh86x|hk=a92871bde8142b5fb50dc186285688e0d498a25d|nacn=fdSMCoBSrGeoD")</f>
        <v>http://newstart-law.com/?inType=nim003&amp;NaPm=ci=6gPRhgc-lnTNu_M30nAHDczg|tr=gfa|ct=mqgfh86x|hk=a92871bde8142b5fb50dc186285688e0d498a25d|nacn=fdSMCoBSrGeoD</v>
      </c>
      <c r="H156" s="6" t="str">
        <f ca="1">IFERROR(__xludf.DUMMYFUNCTION("""COMPUTED_VALUE"""),"nim003")</f>
        <v>nim003</v>
      </c>
      <c r="I156" s="6" t="str">
        <f ca="1">IFERROR(__xludf.DUMMYFUNCTION("""COMPUTED_VALUE"""),"")</f>
        <v/>
      </c>
      <c r="J156" s="6" t="str">
        <f ca="1">IFERROR(__xludf.DUMMYFUNCTION("""COMPUTED_VALUE"""),"카카오톡")</f>
        <v>카카오톡</v>
      </c>
    </row>
    <row r="157" spans="1:10" x14ac:dyDescent="0.2">
      <c r="A157" s="6">
        <f ca="1">IFERROR(__xludf.DUMMYFUNCTION("""COMPUTED_VALUE"""),156)</f>
        <v>156</v>
      </c>
      <c r="B157" s="6">
        <f ca="1">IFERROR(__xludf.DUMMYFUNCTION("""COMPUTED_VALUE"""),46189.7636458333)</f>
        <v>46189.7636458333</v>
      </c>
      <c r="C157" s="6" t="str">
        <f ca="1">IFERROR(__xludf.DUMMYFUNCTION("""COMPUTED_VALUE"""),"김정우")</f>
        <v>김정우</v>
      </c>
      <c r="D157" s="6">
        <f ca="1">IFERROR(__xludf.DUMMYFUNCTION("""COMPUTED_VALUE"""),1086774734)</f>
        <v>1086774734</v>
      </c>
      <c r="E157" s="6" t="str">
        <f ca="1">IFERROR(__xludf.DUMMYFUNCTION("""COMPUTED_VALUE"""),"상담신청")</f>
        <v>상담신청</v>
      </c>
      <c r="F157" s="6" t="str">
        <f ca="1">IFERROR(__xludf.DUMMYFUNCTION("""COMPUTED_VALUE"""),"배너")</f>
        <v>배너</v>
      </c>
      <c r="G157" s="7" t="str">
        <f ca="1">IFERROR(__xludf.DUMMYFUNCTION("""COMPUTED_VALUE"""),"http://newstart-law.com/?inType=nim_sq02&amp;NaPm=ci=6gFzyjke1xRFahcH5tS6v5BA|tr=gfa|ct=mqgfjw8v|hk=91003262fafd8c3c172e7698a14ab17d9c0ff9a5|nacn=yRXZB0wnZ7Bj")</f>
        <v>http://newstart-law.com/?inType=nim_sq02&amp;NaPm=ci=6gFzyjke1xRFahcH5tS6v5BA|tr=gfa|ct=mqgfjw8v|hk=91003262fafd8c3c172e7698a14ab17d9c0ff9a5|nacn=yRXZB0wnZ7Bj</v>
      </c>
      <c r="H157" s="6" t="str">
        <f ca="1">IFERROR(__xludf.DUMMYFUNCTION("""COMPUTED_VALUE"""),"nim_sq02")</f>
        <v>nim_sq02</v>
      </c>
      <c r="I157" s="6" t="str">
        <f ca="1">IFERROR(__xludf.DUMMYFUNCTION("""COMPUTED_VALUE"""),"")</f>
        <v/>
      </c>
      <c r="J157" s="6" t="str">
        <f ca="1">IFERROR(__xludf.DUMMYFUNCTION("""COMPUTED_VALUE"""),"AI 진단")</f>
        <v>AI 진단</v>
      </c>
    </row>
    <row r="158" spans="1:10" x14ac:dyDescent="0.2">
      <c r="A158" s="6">
        <f ca="1">IFERROR(__xludf.DUMMYFUNCTION("""COMPUTED_VALUE"""),157)</f>
        <v>157</v>
      </c>
      <c r="B158" s="6">
        <f ca="1">IFERROR(__xludf.DUMMYFUNCTION("""COMPUTED_VALUE"""),46189.7670138888)</f>
        <v>46189.767013888799</v>
      </c>
      <c r="C158" s="6" t="str">
        <f ca="1">IFERROR(__xludf.DUMMYFUNCTION("""COMPUTED_VALUE"""),"이성인")</f>
        <v>이성인</v>
      </c>
      <c r="D158" s="6">
        <f ca="1">IFERROR(__xludf.DUMMYFUNCTION("""COMPUTED_VALUE"""),1076871751)</f>
        <v>1076871751</v>
      </c>
      <c r="E158" s="6" t="str">
        <f ca="1">IFERROR(__xludf.DUMMYFUNCTION("""COMPUTED_VALUE"""),"상담신청")</f>
        <v>상담신청</v>
      </c>
      <c r="F158" s="6" t="str">
        <f ca="1">IFERROR(__xludf.DUMMYFUNCTION("""COMPUTED_VALUE"""),"배너")</f>
        <v>배너</v>
      </c>
      <c r="G158" s="7" t="str">
        <f ca="1">IFERROR(__xludf.DUMMYFUNCTION("""COMPUTED_VALUE"""),"http://newstart-law.com/?inType=nim003&amp;NaPm=ci=6ghvICwp2vRouU7ULxaUUpYg|tr=gfa|ct=mqgfmczv|hk=4db3bdc48a17e1f15245a846ea93258b57d52c3d|nacn=GxLUBUAYaImH")</f>
        <v>http://newstart-law.com/?inType=nim003&amp;NaPm=ci=6ghvICwp2vRouU7ULxaUUpYg|tr=gfa|ct=mqgfmczv|hk=4db3bdc48a17e1f15245a846ea93258b57d52c3d|nacn=GxLUBUAYaImH</v>
      </c>
      <c r="H158" s="6" t="str">
        <f ca="1">IFERROR(__xludf.DUMMYFUNCTION("""COMPUTED_VALUE"""),"nim003")</f>
        <v>nim003</v>
      </c>
      <c r="I158" s="6" t="str">
        <f ca="1">IFERROR(__xludf.DUMMYFUNCTION("""COMPUTED_VALUE"""),"")</f>
        <v/>
      </c>
      <c r="J158" s="6" t="str">
        <f ca="1">IFERROR(__xludf.DUMMYFUNCTION("""COMPUTED_VALUE"""),"AI 진단")</f>
        <v>AI 진단</v>
      </c>
    </row>
    <row r="159" spans="1:10" x14ac:dyDescent="0.2">
      <c r="A159" s="6">
        <f ca="1">IFERROR(__xludf.DUMMYFUNCTION("""COMPUTED_VALUE"""),158)</f>
        <v>158</v>
      </c>
      <c r="B159" s="6">
        <f ca="1">IFERROR(__xludf.DUMMYFUNCTION("""COMPUTED_VALUE"""),46189.7725)</f>
        <v>46189.772499999999</v>
      </c>
      <c r="C159" s="6" t="str">
        <f ca="1">IFERROR(__xludf.DUMMYFUNCTION("""COMPUTED_VALUE"""),"118.235.13.51")</f>
        <v>118.235.13.51</v>
      </c>
      <c r="D159" s="6" t="str">
        <f ca="1">IFERROR(__xludf.DUMMYFUNCTION("""COMPUTED_VALUE"""),"네이버톡톡")</f>
        <v>네이버톡톡</v>
      </c>
      <c r="E159" s="6" t="str">
        <f ca="1">IFERROR(__xludf.DUMMYFUNCTION("""COMPUTED_VALUE"""),"네이버톡톡")</f>
        <v>네이버톡톡</v>
      </c>
      <c r="F159" s="6" t="str">
        <f ca="1">IFERROR(__xludf.DUMMYFUNCTION("""COMPUTED_VALUE"""),"배너")</f>
        <v>배너</v>
      </c>
      <c r="G159" s="7" t="str">
        <f ca="1">IFERROR(__xludf.DUMMYFUNCTION("""COMPUTED_VALUE"""),"http://newstart-law.com/?inType=nim003&amp;NaPm=ci=6gFQo_DVCuQaCI8SUiivL0qQ|tr=gfa|ct=mqgg0q7z|hk=ad22e562d54a36425b7946aaab3507dbb3e2faf7|nacn=jkTNBEBI7zIc")</f>
        <v>http://newstart-law.com/?inType=nim003&amp;NaPm=ci=6gFQo_DVCuQaCI8SUiivL0qQ|tr=gfa|ct=mqgg0q7z|hk=ad22e562d54a36425b7946aaab3507dbb3e2faf7|nacn=jkTNBEBI7zIc</v>
      </c>
      <c r="H159" s="6" t="str">
        <f ca="1">IFERROR(__xludf.DUMMYFUNCTION("""COMPUTED_VALUE"""),"nim003")</f>
        <v>nim003</v>
      </c>
      <c r="I159" s="6" t="str">
        <f ca="1">IFERROR(__xludf.DUMMYFUNCTION("""COMPUTED_VALUE"""),"")</f>
        <v/>
      </c>
      <c r="J159" s="6" t="str">
        <f ca="1">IFERROR(__xludf.DUMMYFUNCTION("""COMPUTED_VALUE"""),"네이버 톡톡")</f>
        <v>네이버 톡톡</v>
      </c>
    </row>
    <row r="160" spans="1:10" x14ac:dyDescent="0.2">
      <c r="A160" s="6">
        <f ca="1">IFERROR(__xludf.DUMMYFUNCTION("""COMPUTED_VALUE"""),159)</f>
        <v>159</v>
      </c>
      <c r="B160" s="6">
        <f ca="1">IFERROR(__xludf.DUMMYFUNCTION("""COMPUTED_VALUE"""),46189.8154513888)</f>
        <v>46189.8154513888</v>
      </c>
      <c r="C160" s="6" t="str">
        <f ca="1">IFERROR(__xludf.DUMMYFUNCTION("""COMPUTED_VALUE"""),"118.235.27.77")</f>
        <v>118.235.27.77</v>
      </c>
      <c r="D160" s="6" t="str">
        <f ca="1">IFERROR(__xludf.DUMMYFUNCTION("""COMPUTED_VALUE"""),"전화")</f>
        <v>전화</v>
      </c>
      <c r="E160" s="6" t="str">
        <f ca="1">IFERROR(__xludf.DUMMYFUNCTION("""COMPUTED_VALUE"""),"전화")</f>
        <v>전화</v>
      </c>
      <c r="F160" s="6" t="str">
        <f ca="1">IFERROR(__xludf.DUMMYFUNCTION("""COMPUTED_VALUE"""),"검색")</f>
        <v>검색</v>
      </c>
      <c r="G160" s="7" t="str">
        <f ca="1">IFERROR(__xludf.DUMMYFUNCTION("""COMPUTED_VALUE"""),"https://www.newstart-law.com/?inType=NK&amp;n_media=8753&amp;n_query=개인회생&amp;n_rank=9&amp;n_ad_group=grp-a001-01-000000063063767&amp;n_ad=nad-a001-01-000000495340403&amp;n_keyword_id=nkw-a001-01-000007934680459&amp;n_keyword=개인회생&amp;n_campaign_type=1&amp;n_ad_group_type=1&amp;n_match=1&amp;NaPm=c"&amp;"t=mqgi8sck|ci=ERea899514-696e-11f1-95f0-7a377ecd8059|tr=sa|hk=21c4ca3e9302724e8d268bb35ec2b8ffd98358db|nacn=DMc4B0gOjtp7")</f>
        <v>https://www.newstart-law.com/?inType=NK&amp;n_media=8753&amp;n_query=개인회생&amp;n_rank=9&amp;n_ad_group=grp-a001-01-000000063063767&amp;n_ad=nad-a001-01-000000495340403&amp;n_keyword_id=nkw-a001-01-000007934680459&amp;n_keyword=개인회생&amp;n_campaign_type=1&amp;n_ad_group_type=1&amp;n_match=1&amp;NaPm=ct=mqgi8sck|ci=ERea899514-696e-11f1-95f0-7a377ecd8059|tr=sa|hk=21c4ca3e9302724e8d268bb35ec2b8ffd98358db|nacn=DMc4B0gOjtp7</v>
      </c>
      <c r="H160" s="6" t="str">
        <f ca="1">IFERROR(__xludf.DUMMYFUNCTION("""COMPUTED_VALUE"""),"NK")</f>
        <v>NK</v>
      </c>
      <c r="I160" s="6" t="str">
        <f ca="1">IFERROR(__xludf.DUMMYFUNCTION("""COMPUTED_VALUE"""),"개인회생")</f>
        <v>개인회생</v>
      </c>
      <c r="J160" s="6" t="str">
        <f ca="1">IFERROR(__xludf.DUMMYFUNCTION("""COMPUTED_VALUE"""),"전화 문의")</f>
        <v>전화 문의</v>
      </c>
    </row>
    <row r="161" spans="1:10" x14ac:dyDescent="0.2">
      <c r="A161" s="6">
        <f ca="1">IFERROR(__xludf.DUMMYFUNCTION("""COMPUTED_VALUE"""),160)</f>
        <v>160</v>
      </c>
      <c r="B161" s="6">
        <f ca="1">IFERROR(__xludf.DUMMYFUNCTION("""COMPUTED_VALUE"""),46189.8250578703)</f>
        <v>46189.825057870301</v>
      </c>
      <c r="C161" s="6" t="str">
        <f ca="1">IFERROR(__xludf.DUMMYFUNCTION("""COMPUTED_VALUE"""),"118.235.27.77")</f>
        <v>118.235.27.77</v>
      </c>
      <c r="D161" s="6" t="str">
        <f ca="1">IFERROR(__xludf.DUMMYFUNCTION("""COMPUTED_VALUE"""),"전화")</f>
        <v>전화</v>
      </c>
      <c r="E161" s="6" t="str">
        <f ca="1">IFERROR(__xludf.DUMMYFUNCTION("""COMPUTED_VALUE"""),"전화")</f>
        <v>전화</v>
      </c>
      <c r="F161" s="6" t="str">
        <f ca="1">IFERROR(__xludf.DUMMYFUNCTION("""COMPUTED_VALUE"""),"검색")</f>
        <v>검색</v>
      </c>
      <c r="G161" s="7" t="str">
        <f ca="1">IFERROR(__xludf.DUMMYFUNCTION("""COMPUTED_VALUE"""),"https://www.newstart-law.com/?inType=NK&amp;n_media=8753&amp;n_query=개인회생&amp;n_rank=9&amp;n_ad_group=grp-a001-01-000000063063767&amp;n_ad=nad-a001-01-000000495340403&amp;n_keyword_id=nkw-a001-01-000007934680459&amp;n_keyword=개인회생&amp;n_campaign_type=1&amp;n_ad_group_type=1&amp;n_match=1&amp;NaPm=c"&amp;"t=mqgi8sck|ci=ERea899514-696e-11f1-95f0-7a377ecd8059|tr=sa|hk=21c4ca3e9302724e8d268bb35ec2b8ffd98358db|nacn=DMc4B0gOjtp7")</f>
        <v>https://www.newstart-law.com/?inType=NK&amp;n_media=8753&amp;n_query=개인회생&amp;n_rank=9&amp;n_ad_group=grp-a001-01-000000063063767&amp;n_ad=nad-a001-01-000000495340403&amp;n_keyword_id=nkw-a001-01-000007934680459&amp;n_keyword=개인회생&amp;n_campaign_type=1&amp;n_ad_group_type=1&amp;n_match=1&amp;NaPm=ct=mqgi8sck|ci=ERea899514-696e-11f1-95f0-7a377ecd8059|tr=sa|hk=21c4ca3e9302724e8d268bb35ec2b8ffd98358db|nacn=DMc4B0gOjtp7</v>
      </c>
      <c r="H161" s="6" t="str">
        <f ca="1">IFERROR(__xludf.DUMMYFUNCTION("""COMPUTED_VALUE"""),"NK")</f>
        <v>NK</v>
      </c>
      <c r="I161" s="6" t="str">
        <f ca="1">IFERROR(__xludf.DUMMYFUNCTION("""COMPUTED_VALUE"""),"개인회생")</f>
        <v>개인회생</v>
      </c>
      <c r="J161" s="6" t="str">
        <f ca="1">IFERROR(__xludf.DUMMYFUNCTION("""COMPUTED_VALUE"""),"전화 문의")</f>
        <v>전화 문의</v>
      </c>
    </row>
    <row r="162" spans="1:10" x14ac:dyDescent="0.2">
      <c r="A162" s="6">
        <f ca="1">IFERROR(__xludf.DUMMYFUNCTION("""COMPUTED_VALUE"""),161)</f>
        <v>161</v>
      </c>
      <c r="B162" s="6">
        <f ca="1">IFERROR(__xludf.DUMMYFUNCTION("""COMPUTED_VALUE"""),46189.8675810185)</f>
        <v>46189.867581018501</v>
      </c>
      <c r="C162" s="6" t="str">
        <f ca="1">IFERROR(__xludf.DUMMYFUNCTION("""COMPUTED_VALUE"""),"곽춘근")</f>
        <v>곽춘근</v>
      </c>
      <c r="D162" s="6">
        <f ca="1">IFERROR(__xludf.DUMMYFUNCTION("""COMPUTED_VALUE"""),1051814800)</f>
        <v>1051814800</v>
      </c>
      <c r="E162" s="6" t="str">
        <f ca="1">IFERROR(__xludf.DUMMYFUNCTION("""COMPUTED_VALUE"""),"상담신청")</f>
        <v>상담신청</v>
      </c>
      <c r="F162" s="6" t="str">
        <f ca="1">IFERROR(__xludf.DUMMYFUNCTION("""COMPUTED_VALUE"""),"검색")</f>
        <v>검색</v>
      </c>
      <c r="G162" s="7" t="str">
        <f ca="1">IFERROR(__xludf.DUMMYFUNCTION("""COMPUTED_VALUE"""),"https://www.newstart-law.com/?inType=NK&amp;n_media=8753&amp;n_query=개인회생신청자격&amp;n_rank=3&amp;n_ad_group=grp-a001-01-000000063065632&amp;n_ad=nad-a001-01-000000485213835&amp;n_keyword_id=nkw-a001-01-000007951806209&amp;n_keyword=개인회생신청자격&amp;n_campaign_type=1&amp;n_ad_group_type=1&amp;n_match="&amp;"1&amp;NaPm=ct=mqgktfup|ci=ERfb227fe2-6978-11f1-bfb3-4acd10d65935|tr=sa|hk=1f2a25b464f53531e4871fd0e")</f>
        <v>https://www.newstart-law.com/?inType=NK&amp;n_media=8753&amp;n_query=개인회생신청자격&amp;n_rank=3&amp;n_ad_group=grp-a001-01-000000063065632&amp;n_ad=nad-a001-01-000000485213835&amp;n_keyword_id=nkw-a001-01-000007951806209&amp;n_keyword=개인회생신청자격&amp;n_campaign_type=1&amp;n_ad_group_type=1&amp;n_match=1&amp;NaPm=ct=mqgktfup|ci=ERfb227fe2-6978-11f1-bfb3-4acd10d65935|tr=sa|hk=1f2a25b464f53531e4871fd0e</v>
      </c>
      <c r="H162" s="6" t="str">
        <f ca="1">IFERROR(__xludf.DUMMYFUNCTION("""COMPUTED_VALUE"""),"NK")</f>
        <v>NK</v>
      </c>
      <c r="I162" s="6" t="str">
        <f ca="1">IFERROR(__xludf.DUMMYFUNCTION("""COMPUTED_VALUE"""),"개인회생신청자격")</f>
        <v>개인회생신청자격</v>
      </c>
      <c r="J162" s="6" t="str">
        <f ca="1">IFERROR(__xludf.DUMMYFUNCTION("""COMPUTED_VALUE"""),"AI 진단")</f>
        <v>AI 진단</v>
      </c>
    </row>
    <row r="163" spans="1:10" x14ac:dyDescent="0.2">
      <c r="A163" s="6">
        <f ca="1">IFERROR(__xludf.DUMMYFUNCTION("""COMPUTED_VALUE"""),162)</f>
        <v>162</v>
      </c>
      <c r="B163" s="6">
        <f ca="1">IFERROR(__xludf.DUMMYFUNCTION("""COMPUTED_VALUE"""),46189.9577199074)</f>
        <v>46189.957719907397</v>
      </c>
      <c r="C163" s="6" t="str">
        <f ca="1">IFERROR(__xludf.DUMMYFUNCTION("""COMPUTED_VALUE"""),"유민호")</f>
        <v>유민호</v>
      </c>
      <c r="D163" s="6">
        <f ca="1">IFERROR(__xludf.DUMMYFUNCTION("""COMPUTED_VALUE"""),1075844076)</f>
        <v>1075844076</v>
      </c>
      <c r="E163" s="6" t="str">
        <f ca="1">IFERROR(__xludf.DUMMYFUNCTION("""COMPUTED_VALUE"""),"상담신청")</f>
        <v>상담신청</v>
      </c>
      <c r="F163" s="6" t="str">
        <f ca="1">IFERROR(__xludf.DUMMYFUNCTION("""COMPUTED_VALUE"""),"검색")</f>
        <v>검색</v>
      </c>
      <c r="G163" s="7" t="str">
        <f ca="1">IFERROR(__xludf.DUMMYFUNCTION("""COMPUTED_VALUE"""),"https://www.newstart-law.com/?inType=NK&amp;n_media=8753&amp;n_query=파산신청&amp;n_rank=1&amp;n_ad_group=grp-a001-01-000000063065674&amp;n_ad=nad-a001-01-000000485213839&amp;n_keyword_id=nkw-a001-01-000007951811266&amp;n_keyword=파산신청&amp;n_campaign_type=1&amp;n_ad_group_type=1&amp;n_match=1&amp;NaPm=c"&amp;"t=mqgpjiog|ci=ER74df5523-698b-11f1-85dc-12882e70cd6b|tr=sa|hk=f39b2e9416fcff5185a7d280c0e5da54fce41577|nacn=PfRQD4A0ZWejB")</f>
        <v>https://www.newstart-law.com/?inType=NK&amp;n_media=8753&amp;n_query=파산신청&amp;n_rank=1&amp;n_ad_group=grp-a001-01-000000063065674&amp;n_ad=nad-a001-01-000000485213839&amp;n_keyword_id=nkw-a001-01-000007951811266&amp;n_keyword=파산신청&amp;n_campaign_type=1&amp;n_ad_group_type=1&amp;n_match=1&amp;NaPm=ct=mqgpjiog|ci=ER74df5523-698b-11f1-85dc-12882e70cd6b|tr=sa|hk=f39b2e9416fcff5185a7d280c0e5da54fce41577|nacn=PfRQD4A0ZWejB</v>
      </c>
      <c r="H163" s="6" t="str">
        <f ca="1">IFERROR(__xludf.DUMMYFUNCTION("""COMPUTED_VALUE"""),"NK")</f>
        <v>NK</v>
      </c>
      <c r="I163" s="6" t="str">
        <f ca="1">IFERROR(__xludf.DUMMYFUNCTION("""COMPUTED_VALUE"""),"파산신청")</f>
        <v>파산신청</v>
      </c>
      <c r="J163" s="6" t="str">
        <f ca="1">IFERROR(__xludf.DUMMYFUNCTION("""COMPUTED_VALUE"""),"AI 진단")</f>
        <v>AI 진단</v>
      </c>
    </row>
    <row r="164" spans="1:10" x14ac:dyDescent="0.2">
      <c r="A164" s="6">
        <f ca="1">IFERROR(__xludf.DUMMYFUNCTION("""COMPUTED_VALUE"""),163)</f>
        <v>163</v>
      </c>
      <c r="B164" s="6">
        <f ca="1">IFERROR(__xludf.DUMMYFUNCTION("""COMPUTED_VALUE"""),46190.425949074)</f>
        <v>46190.425949074001</v>
      </c>
      <c r="C164" s="6" t="str">
        <f ca="1">IFERROR(__xludf.DUMMYFUNCTION("""COMPUTED_VALUE"""),"223.39.175.32")</f>
        <v>223.39.175.32</v>
      </c>
      <c r="D164" s="6" t="str">
        <f ca="1">IFERROR(__xludf.DUMMYFUNCTION("""COMPUTED_VALUE"""),"전화")</f>
        <v>전화</v>
      </c>
      <c r="E164" s="6" t="str">
        <f ca="1">IFERROR(__xludf.DUMMYFUNCTION("""COMPUTED_VALUE"""),"전화")</f>
        <v>전화</v>
      </c>
      <c r="F164" s="6" t="str">
        <f ca="1">IFERROR(__xludf.DUMMYFUNCTION("""COMPUTED_VALUE"""),"배너")</f>
        <v>배너</v>
      </c>
      <c r="G164" s="7" t="str">
        <f ca="1">IFERROR(__xludf.DUMMYFUNCTION("""COMPUTED_VALUE"""),"https://newstart-law.com/?inType=NIM001&amp;NaPm=ci=6htYjaCPp9TfKggIqZMKQU0w|tr=gfa|ct=mqhdmweb|hk=53c02c560caae6a545ad993d02983cb88cdc501a|nacn=ywqmB0QdpBtc")</f>
        <v>https://newstart-law.com/?inType=NIM001&amp;NaPm=ci=6htYjaCPp9TfKggIqZMKQU0w|tr=gfa|ct=mqhdmweb|hk=53c02c560caae6a545ad993d02983cb88cdc501a|nacn=ywqmB0QdpBtc</v>
      </c>
      <c r="H164" s="6" t="str">
        <f ca="1">IFERROR(__xludf.DUMMYFUNCTION("""COMPUTED_VALUE"""),"NIM001")</f>
        <v>NIM001</v>
      </c>
      <c r="I164" s="6" t="str">
        <f ca="1">IFERROR(__xludf.DUMMYFUNCTION("""COMPUTED_VALUE"""),"")</f>
        <v/>
      </c>
      <c r="J164" s="6" t="str">
        <f ca="1">IFERROR(__xludf.DUMMYFUNCTION("""COMPUTED_VALUE"""),"전화 문의")</f>
        <v>전화 문의</v>
      </c>
    </row>
    <row r="165" spans="1:10" x14ac:dyDescent="0.2">
      <c r="A165" s="6">
        <f ca="1">IFERROR(__xludf.DUMMYFUNCTION("""COMPUTED_VALUE"""),164)</f>
        <v>164</v>
      </c>
      <c r="B165" s="6">
        <f ca="1">IFERROR(__xludf.DUMMYFUNCTION("""COMPUTED_VALUE"""),46190.4329050925)</f>
        <v>46190.432905092501</v>
      </c>
      <c r="C165" s="6" t="str">
        <f ca="1">IFERROR(__xludf.DUMMYFUNCTION("""COMPUTED_VALUE"""),"175.211.244.221")</f>
        <v>175.211.244.221</v>
      </c>
      <c r="D165" s="6" t="str">
        <f ca="1">IFERROR(__xludf.DUMMYFUNCTION("""COMPUTED_VALUE"""),"카카오")</f>
        <v>카카오</v>
      </c>
      <c r="E165" s="6" t="str">
        <f ca="1">IFERROR(__xludf.DUMMYFUNCTION("""COMPUTED_VALUE"""),"카카오톡")</f>
        <v>카카오톡</v>
      </c>
      <c r="F165" s="6" t="str">
        <f ca="1">IFERROR(__xludf.DUMMYFUNCTION("""COMPUTED_VALUE"""),"검색")</f>
        <v>검색</v>
      </c>
      <c r="G165" s="7" t="str">
        <f ca="1">IFERROR(__xludf.DUMMYFUNCTION("""COMPUTED_VALUE"""),"https://www.newstart-law.com/?inType=NK&amp;n_media=27758&amp;n_query=개인회생법률사무소&amp;n_rank=5&amp;n_ad_group=grp-a001-01-000000063065651&amp;n_ad=nad-a001-01-000000485213838&amp;n_keyword_id=nkw-a001-01-000007951807442&amp;n_keyword=개인회생법률사무소&amp;n_campaign_type=1&amp;n_ad_group_type=1&amp;n_mat"&amp;"ch=1&amp;NaPm=ct=mqhdzvrz|ci=ER170943a8-69eb-11f1-8759-467e1d5bf99e|tr=sa|hk=97bf7e")</f>
        <v>https://www.newstart-law.com/?inType=NK&amp;n_media=27758&amp;n_query=개인회생법률사무소&amp;n_rank=5&amp;n_ad_group=grp-a001-01-000000063065651&amp;n_ad=nad-a001-01-000000485213838&amp;n_keyword_id=nkw-a001-01-000007951807442&amp;n_keyword=개인회생법률사무소&amp;n_campaign_type=1&amp;n_ad_group_type=1&amp;n_match=1&amp;NaPm=ct=mqhdzvrz|ci=ER170943a8-69eb-11f1-8759-467e1d5bf99e|tr=sa|hk=97bf7e</v>
      </c>
      <c r="H165" s="6" t="str">
        <f ca="1">IFERROR(__xludf.DUMMYFUNCTION("""COMPUTED_VALUE"""),"NK")</f>
        <v>NK</v>
      </c>
      <c r="I165" s="6" t="str">
        <f ca="1">IFERROR(__xludf.DUMMYFUNCTION("""COMPUTED_VALUE"""),"개인회생법률사무소")</f>
        <v>개인회생법률사무소</v>
      </c>
      <c r="J165" s="6" t="str">
        <f ca="1">IFERROR(__xludf.DUMMYFUNCTION("""COMPUTED_VALUE"""),"카카오톡")</f>
        <v>카카오톡</v>
      </c>
    </row>
    <row r="166" spans="1:10" x14ac:dyDescent="0.2">
      <c r="A166" s="6">
        <f ca="1">IFERROR(__xludf.DUMMYFUNCTION("""COMPUTED_VALUE"""),165)</f>
        <v>165</v>
      </c>
      <c r="B166" s="6">
        <f ca="1">IFERROR(__xludf.DUMMYFUNCTION("""COMPUTED_VALUE"""),46190.4553009259)</f>
        <v>46190.455300925903</v>
      </c>
      <c r="C166" s="6" t="str">
        <f ca="1">IFERROR(__xludf.DUMMYFUNCTION("""COMPUTED_VALUE"""),"106.101.67.141")</f>
        <v>106.101.67.141</v>
      </c>
      <c r="D166" s="6" t="str">
        <f ca="1">IFERROR(__xludf.DUMMYFUNCTION("""COMPUTED_VALUE"""),"전화")</f>
        <v>전화</v>
      </c>
      <c r="E166" s="6" t="str">
        <f ca="1">IFERROR(__xludf.DUMMYFUNCTION("""COMPUTED_VALUE"""),"전화")</f>
        <v>전화</v>
      </c>
      <c r="F166" s="6" t="str">
        <f ca="1">IFERROR(__xludf.DUMMYFUNCTION("""COMPUTED_VALUE"""),"배너")</f>
        <v>배너</v>
      </c>
      <c r="G166" s="7" t="str">
        <f ca="1">IFERROR(__xludf.DUMMYFUNCTION("""COMPUTED_VALUE"""),"http://newstart-law.com/?inType=NIM001&amp;NaPm=ci=6hnYp1HyUJRyCgtQ_enqIkNg|tr=gfa|ct=mqheyd3i|hk=d45e31ed259a182bbb5b0cfc2df9f4bde55f18f5|nacn=edcoCAhnIkxjA")</f>
        <v>http://newstart-law.com/?inType=NIM001&amp;NaPm=ci=6hnYp1HyUJRyCgtQ_enqIkNg|tr=gfa|ct=mqheyd3i|hk=d45e31ed259a182bbb5b0cfc2df9f4bde55f18f5|nacn=edcoCAhnIkxjA</v>
      </c>
      <c r="H166" s="6" t="str">
        <f ca="1">IFERROR(__xludf.DUMMYFUNCTION("""COMPUTED_VALUE"""),"NIM001")</f>
        <v>NIM001</v>
      </c>
      <c r="I166" s="6" t="str">
        <f ca="1">IFERROR(__xludf.DUMMYFUNCTION("""COMPUTED_VALUE"""),"")</f>
        <v/>
      </c>
      <c r="J166" s="6" t="str">
        <f ca="1">IFERROR(__xludf.DUMMYFUNCTION("""COMPUTED_VALUE"""),"전화 문의")</f>
        <v>전화 문의</v>
      </c>
    </row>
    <row r="167" spans="1:10" x14ac:dyDescent="0.2">
      <c r="A167" s="6">
        <f ca="1">IFERROR(__xludf.DUMMYFUNCTION("""COMPUTED_VALUE"""),166)</f>
        <v>166</v>
      </c>
      <c r="B167" s="6">
        <f ca="1">IFERROR(__xludf.DUMMYFUNCTION("""COMPUTED_VALUE"""),46190.459224537)</f>
        <v>46190.459224537</v>
      </c>
      <c r="C167" s="6" t="str">
        <f ca="1">IFERROR(__xludf.DUMMYFUNCTION("""COMPUTED_VALUE"""),"121.171.232.65")</f>
        <v>121.171.232.65</v>
      </c>
      <c r="D167" s="6" t="str">
        <f ca="1">IFERROR(__xludf.DUMMYFUNCTION("""COMPUTED_VALUE"""),"카카오")</f>
        <v>카카오</v>
      </c>
      <c r="E167" s="6" t="str">
        <f ca="1">IFERROR(__xludf.DUMMYFUNCTION("""COMPUTED_VALUE"""),"카카오톡")</f>
        <v>카카오톡</v>
      </c>
      <c r="F167" s="6" t="str">
        <f ca="1">IFERROR(__xludf.DUMMYFUNCTION("""COMPUTED_VALUE"""),"검색")</f>
        <v>검색</v>
      </c>
      <c r="G167" s="7" t="str">
        <f ca="1">IFERROR(__xludf.DUMMYFUNCTION("""COMPUTED_VALUE"""),"https://www.newstart-law.com/?inType=NK&amp;n_media=122875&amp;n_query=개인회생&amp;n_rank=13&amp;n_ad_group=grp-a001-01-000000063063607&amp;n_ad=nad-a001-01-000000495459275&amp;n_keyword_id=nkw-a001-01-000007934681996&amp;n_keyword=개인회생&amp;n_campaign_type=1&amp;n_ad_group_type=1&amp;n_match=1&amp;NaP"&amp;"m=ct=mp27y6qc|ci=ER77fc25fb-4dc7-11f1-93cf-2ed7c275da5f|tr=sa|hk=06fc919fb841bcfbfa12e31c78a7a855faff8381|nacn=JiCsBoA75G3fB")</f>
        <v>https://www.newstart-law.com/?inType=NK&amp;n_media=122875&amp;n_query=개인회생&amp;n_rank=13&amp;n_ad_group=grp-a001-01-000000063063607&amp;n_ad=nad-a001-01-000000495459275&amp;n_keyword_id=nkw-a001-01-000007934681996&amp;n_keyword=개인회생&amp;n_campaign_type=1&amp;n_ad_group_type=1&amp;n_match=1&amp;NaPm=ct=mp27y6qc|ci=ER77fc25fb-4dc7-11f1-93cf-2ed7c275da5f|tr=sa|hk=06fc919fb841bcfbfa12e31c78a7a855faff8381|nacn=JiCsBoA75G3fB</v>
      </c>
      <c r="H167" s="6" t="str">
        <f ca="1">IFERROR(__xludf.DUMMYFUNCTION("""COMPUTED_VALUE"""),"NK")</f>
        <v>NK</v>
      </c>
      <c r="I167" s="6" t="str">
        <f ca="1">IFERROR(__xludf.DUMMYFUNCTION("""COMPUTED_VALUE"""),"개인회생")</f>
        <v>개인회생</v>
      </c>
      <c r="J167" s="6" t="str">
        <f ca="1">IFERROR(__xludf.DUMMYFUNCTION("""COMPUTED_VALUE"""),"카카오톡")</f>
        <v>카카오톡</v>
      </c>
    </row>
    <row r="168" spans="1:10" x14ac:dyDescent="0.2">
      <c r="A168" s="6">
        <f ca="1">IFERROR(__xludf.DUMMYFUNCTION("""COMPUTED_VALUE"""),167)</f>
        <v>167</v>
      </c>
      <c r="B168" s="6">
        <f ca="1">IFERROR(__xludf.DUMMYFUNCTION("""COMPUTED_VALUE"""),46190.4727083333)</f>
        <v>46190.472708333298</v>
      </c>
      <c r="C168" s="6" t="str">
        <f ca="1">IFERROR(__xludf.DUMMYFUNCTION("""COMPUTED_VALUE"""),"김상종")</f>
        <v>김상종</v>
      </c>
      <c r="D168" s="6">
        <f ca="1">IFERROR(__xludf.DUMMYFUNCTION("""COMPUTED_VALUE"""),1028598021)</f>
        <v>1028598021</v>
      </c>
      <c r="E168" s="6" t="str">
        <f ca="1">IFERROR(__xludf.DUMMYFUNCTION("""COMPUTED_VALUE"""),"상담신청")</f>
        <v>상담신청</v>
      </c>
      <c r="F168" s="6" t="str">
        <f ca="1">IFERROR(__xludf.DUMMYFUNCTION("""COMPUTED_VALUE"""),"배너")</f>
        <v>배너</v>
      </c>
      <c r="G168" s="7" t="str">
        <f ca="1">IFERROR(__xludf.DUMMYFUNCTION("""COMPUTED_VALUE"""),"http://newstart-law.com/?inType=nim003&amp;NaPm=ci=6hc3014V9TR3ecYNp3LWNTOA|tr=gfa|ct=mqhfzesk|hk=4ceb80fb55fe80ef39f62bfc4b881f84ab69f463|nacn=WvaTBgg51fzuB")</f>
        <v>http://newstart-law.com/?inType=nim003&amp;NaPm=ci=6hc3014V9TR3ecYNp3LWNTOA|tr=gfa|ct=mqhfzesk|hk=4ceb80fb55fe80ef39f62bfc4b881f84ab69f463|nacn=WvaTBgg51fzuB</v>
      </c>
      <c r="H168" s="6" t="str">
        <f ca="1">IFERROR(__xludf.DUMMYFUNCTION("""COMPUTED_VALUE"""),"nim003")</f>
        <v>nim003</v>
      </c>
      <c r="I168" s="6" t="str">
        <f ca="1">IFERROR(__xludf.DUMMYFUNCTION("""COMPUTED_VALUE"""),"")</f>
        <v/>
      </c>
      <c r="J168" s="6" t="str">
        <f ca="1">IFERROR(__xludf.DUMMYFUNCTION("""COMPUTED_VALUE"""),"모바일 하단 상담폼")</f>
        <v>모바일 하단 상담폼</v>
      </c>
    </row>
    <row r="169" spans="1:10" x14ac:dyDescent="0.2">
      <c r="A169" s="6">
        <f ca="1">IFERROR(__xludf.DUMMYFUNCTION("""COMPUTED_VALUE"""),168)</f>
        <v>168</v>
      </c>
      <c r="B169" s="6">
        <f ca="1">IFERROR(__xludf.DUMMYFUNCTION("""COMPUTED_VALUE"""),46190.4809953703)</f>
        <v>46190.480995370301</v>
      </c>
      <c r="C169" s="6" t="str">
        <f ca="1">IFERROR(__xludf.DUMMYFUNCTION("""COMPUTED_VALUE"""),"211.234.203.89")</f>
        <v>211.234.203.89</v>
      </c>
      <c r="D169" s="6" t="str">
        <f ca="1">IFERROR(__xludf.DUMMYFUNCTION("""COMPUTED_VALUE"""),"카카오")</f>
        <v>카카오</v>
      </c>
      <c r="E169" s="6" t="str">
        <f ca="1">IFERROR(__xludf.DUMMYFUNCTION("""COMPUTED_VALUE"""),"카카오톡")</f>
        <v>카카오톡</v>
      </c>
      <c r="F169" s="6" t="str">
        <f ca="1">IFERROR(__xludf.DUMMYFUNCTION("""COMPUTED_VALUE"""),"배너")</f>
        <v>배너</v>
      </c>
      <c r="G169" s="7" t="str">
        <f ca="1">IFERROR(__xludf.DUMMYFUNCTION("""COMPUTED_VALUE"""),"http://newstart-law.com/?inType=nim003&amp;NaPm=ci=6hmqHWYGOCRa2fLhyuiXgeGw|tr=gfa|ct=mqhgg3gr|hk=98bbfee855a5c95c9ea7c1094ee186c57e29da50|nacn=fWXiDgh61pvDB")</f>
        <v>http://newstart-law.com/?inType=nim003&amp;NaPm=ci=6hmqHWYGOCRa2fLhyuiXgeGw|tr=gfa|ct=mqhgg3gr|hk=98bbfee855a5c95c9ea7c1094ee186c57e29da50|nacn=fWXiDgh61pvDB</v>
      </c>
      <c r="H169" s="6" t="str">
        <f ca="1">IFERROR(__xludf.DUMMYFUNCTION("""COMPUTED_VALUE"""),"nim003")</f>
        <v>nim003</v>
      </c>
      <c r="I169" s="6" t="str">
        <f ca="1">IFERROR(__xludf.DUMMYFUNCTION("""COMPUTED_VALUE"""),"")</f>
        <v/>
      </c>
      <c r="J169" s="6" t="str">
        <f ca="1">IFERROR(__xludf.DUMMYFUNCTION("""COMPUTED_VALUE"""),"카카오톡")</f>
        <v>카카오톡</v>
      </c>
    </row>
    <row r="170" spans="1:10" x14ac:dyDescent="0.2">
      <c r="A170" s="6">
        <f ca="1">IFERROR(__xludf.DUMMYFUNCTION("""COMPUTED_VALUE"""),169)</f>
        <v>169</v>
      </c>
      <c r="B170" s="6">
        <f ca="1">IFERROR(__xludf.DUMMYFUNCTION("""COMPUTED_VALUE"""),46190.4839583333)</f>
        <v>46190.483958333301</v>
      </c>
      <c r="C170" s="6" t="str">
        <f ca="1">IFERROR(__xludf.DUMMYFUNCTION("""COMPUTED_VALUE"""),"223.39.206.103")</f>
        <v>223.39.206.103</v>
      </c>
      <c r="D170" s="6" t="str">
        <f ca="1">IFERROR(__xludf.DUMMYFUNCTION("""COMPUTED_VALUE"""),"네이버예약")</f>
        <v>네이버예약</v>
      </c>
      <c r="E170" s="6" t="str">
        <f ca="1">IFERROR(__xludf.DUMMYFUNCTION("""COMPUTED_VALUE"""),"네이버예약")</f>
        <v>네이버예약</v>
      </c>
      <c r="F170" s="6" t="str">
        <f ca="1">IFERROR(__xludf.DUMMYFUNCTION("""COMPUTED_VALUE"""),"배너")</f>
        <v>배너</v>
      </c>
      <c r="G170" s="7" t="str">
        <f ca="1">IFERROR(__xludf.DUMMYFUNCTION("""COMPUTED_VALUE"""),"http://newstart-law.com/?inType=nim003&amp;NaPm=ci=6hakNPXQAQQZ2Rp9AhXCh2zQ|tr=gfa|ct=mqhgl3we|hk=935c56fecbd91c404dda378c03675688f5efe282|nacn=wZLVBkwrwHFg")</f>
        <v>http://newstart-law.com/?inType=nim003&amp;NaPm=ci=6hakNPXQAQQZ2Rp9AhXCh2zQ|tr=gfa|ct=mqhgl3we|hk=935c56fecbd91c404dda378c03675688f5efe282|nacn=wZLVBkwrwHFg</v>
      </c>
      <c r="H170" s="6" t="str">
        <f ca="1">IFERROR(__xludf.DUMMYFUNCTION("""COMPUTED_VALUE"""),"nim003")</f>
        <v>nim003</v>
      </c>
      <c r="I170" s="6" t="str">
        <f ca="1">IFERROR(__xludf.DUMMYFUNCTION("""COMPUTED_VALUE"""),"")</f>
        <v/>
      </c>
      <c r="J170" s="6" t="str">
        <f ca="1">IFERROR(__xludf.DUMMYFUNCTION("""COMPUTED_VALUE"""),"네이버 예약")</f>
        <v>네이버 예약</v>
      </c>
    </row>
    <row r="171" spans="1:10" x14ac:dyDescent="0.2">
      <c r="A171" s="6">
        <f ca="1">IFERROR(__xludf.DUMMYFUNCTION("""COMPUTED_VALUE"""),170)</f>
        <v>170</v>
      </c>
      <c r="B171" s="6">
        <f ca="1">IFERROR(__xludf.DUMMYFUNCTION("""COMPUTED_VALUE"""),46190.551412037)</f>
        <v>46190.551412036999</v>
      </c>
      <c r="C171" s="6" t="str">
        <f ca="1">IFERROR(__xludf.DUMMYFUNCTION("""COMPUTED_VALUE"""),"..")</f>
        <v>..</v>
      </c>
      <c r="D171" s="6">
        <f ca="1">IFERROR(__xludf.DUMMYFUNCTION("""COMPUTED_VALUE"""),1000000000)</f>
        <v>1000000000</v>
      </c>
      <c r="E171" s="6" t="str">
        <f ca="1">IFERROR(__xludf.DUMMYFUNCTION("""COMPUTED_VALUE"""),"상담신청")</f>
        <v>상담신청</v>
      </c>
      <c r="F171" s="6" t="str">
        <f ca="1">IFERROR(__xludf.DUMMYFUNCTION("""COMPUTED_VALUE"""),"배너")</f>
        <v>배너</v>
      </c>
      <c r="G171" s="7" t="str">
        <f ca="1">IFERROR(__xludf.DUMMYFUNCTION("""COMPUTED_VALUE"""),"https://newstart-law.com/?inType=NIP002&amp;NaPm=ci=6hxejk-7rkQJeuC-eBAXTOvg|tr=gfa|ct=mqhk0qrt|hk=7428a78c91deef578ef50e9d6478bbac7b3521d5|nacn=mwoMBIREmZpR")</f>
        <v>https://newstart-law.com/?inType=NIP002&amp;NaPm=ci=6hxejk-7rkQJeuC-eBAXTOvg|tr=gfa|ct=mqhk0qrt|hk=7428a78c91deef578ef50e9d6478bbac7b3521d5|nacn=mwoMBIREmZpR</v>
      </c>
      <c r="H171" s="6" t="str">
        <f ca="1">IFERROR(__xludf.DUMMYFUNCTION("""COMPUTED_VALUE"""),"NIP002")</f>
        <v>NIP002</v>
      </c>
      <c r="I171" s="6" t="str">
        <f ca="1">IFERROR(__xludf.DUMMYFUNCTION("""COMPUTED_VALUE"""),"")</f>
        <v/>
      </c>
      <c r="J171" s="6" t="str">
        <f ca="1">IFERROR(__xludf.DUMMYFUNCTION("""COMPUTED_VALUE"""),"메인 상단 상담폼")</f>
        <v>메인 상단 상담폼</v>
      </c>
    </row>
    <row r="172" spans="1:10" x14ac:dyDescent="0.2">
      <c r="A172" s="6">
        <f ca="1">IFERROR(__xludf.DUMMYFUNCTION("""COMPUTED_VALUE"""),171)</f>
        <v>171</v>
      </c>
      <c r="B172" s="6">
        <f ca="1">IFERROR(__xludf.DUMMYFUNCTION("""COMPUTED_VALUE"""),46190.5515162037)</f>
        <v>46190.551516203697</v>
      </c>
      <c r="C172" s="6" t="str">
        <f ca="1">IFERROR(__xludf.DUMMYFUNCTION("""COMPUTED_VALUE"""),"..")</f>
        <v>..</v>
      </c>
      <c r="D172" s="6">
        <f ca="1">IFERROR(__xludf.DUMMYFUNCTION("""COMPUTED_VALUE"""),1000000000)</f>
        <v>1000000000</v>
      </c>
      <c r="E172" s="6" t="str">
        <f ca="1">IFERROR(__xludf.DUMMYFUNCTION("""COMPUTED_VALUE"""),"상담신청")</f>
        <v>상담신청</v>
      </c>
      <c r="F172" s="6" t="str">
        <f ca="1">IFERROR(__xludf.DUMMYFUNCTION("""COMPUTED_VALUE"""),"배너")</f>
        <v>배너</v>
      </c>
      <c r="G172" s="7" t="str">
        <f ca="1">IFERROR(__xludf.DUMMYFUNCTION("""COMPUTED_VALUE"""),"https://newstart-law.com/?inType=NIP002&amp;NaPm=ci=6hxejk-7rkQJeuC-eBAXTOvg|tr=gfa|ct=mqhk0qrt|hk=7428a78c91deef578ef50e9d6478bbac7b3521d5|nacn=mwoMBIREmZpR")</f>
        <v>https://newstart-law.com/?inType=NIP002&amp;NaPm=ci=6hxejk-7rkQJeuC-eBAXTOvg|tr=gfa|ct=mqhk0qrt|hk=7428a78c91deef578ef50e9d6478bbac7b3521d5|nacn=mwoMBIREmZpR</v>
      </c>
      <c r="H172" s="6" t="str">
        <f ca="1">IFERROR(__xludf.DUMMYFUNCTION("""COMPUTED_VALUE"""),"NIP002")</f>
        <v>NIP002</v>
      </c>
      <c r="I172" s="6" t="str">
        <f ca="1">IFERROR(__xludf.DUMMYFUNCTION("""COMPUTED_VALUE"""),"")</f>
        <v/>
      </c>
      <c r="J172" s="6" t="str">
        <f ca="1">IFERROR(__xludf.DUMMYFUNCTION("""COMPUTED_VALUE"""),"메인 상단 상담폼")</f>
        <v>메인 상단 상담폼</v>
      </c>
    </row>
    <row r="173" spans="1:10" x14ac:dyDescent="0.2">
      <c r="A173" s="6">
        <f ca="1">IFERROR(__xludf.DUMMYFUNCTION("""COMPUTED_VALUE"""),172)</f>
        <v>172</v>
      </c>
      <c r="B173" s="6">
        <f ca="1">IFERROR(__xludf.DUMMYFUNCTION("""COMPUTED_VALUE"""),46190.6055208333)</f>
        <v>46190.605520833298</v>
      </c>
      <c r="C173" s="6" t="str">
        <f ca="1">IFERROR(__xludf.DUMMYFUNCTION("""COMPUTED_VALUE"""),"223.38.225.240")</f>
        <v>223.38.225.240</v>
      </c>
      <c r="D173" s="6" t="str">
        <f ca="1">IFERROR(__xludf.DUMMYFUNCTION("""COMPUTED_VALUE"""),"전화")</f>
        <v>전화</v>
      </c>
      <c r="E173" s="6" t="str">
        <f ca="1">IFERROR(__xludf.DUMMYFUNCTION("""COMPUTED_VALUE"""),"전화")</f>
        <v>전화</v>
      </c>
      <c r="F173" s="6" t="str">
        <f ca="1">IFERROR(__xludf.DUMMYFUNCTION("""COMPUTED_VALUE"""),"배너")</f>
        <v>배너</v>
      </c>
      <c r="G173" s="7" t="str">
        <f ca="1">IFERROR(__xludf.DUMMYFUNCTION("""COMPUTED_VALUE"""),"http://newstart-law.com/?inType=NIM001&amp;NaPm=ci=6hv4THCBSwTgKUOPA5ENr7LA|tr=gfa|ct=mqhmunpr|hk=e0709aec463b069aeaa109c6f2ce228fa7591354|nacn=MOk9BgQ5m5CQ")</f>
        <v>http://newstart-law.com/?inType=NIM001&amp;NaPm=ci=6hv4THCBSwTgKUOPA5ENr7LA|tr=gfa|ct=mqhmunpr|hk=e0709aec463b069aeaa109c6f2ce228fa7591354|nacn=MOk9BgQ5m5CQ</v>
      </c>
      <c r="H173" s="6" t="str">
        <f ca="1">IFERROR(__xludf.DUMMYFUNCTION("""COMPUTED_VALUE"""),"NIM001")</f>
        <v>NIM001</v>
      </c>
      <c r="I173" s="6" t="str">
        <f ca="1">IFERROR(__xludf.DUMMYFUNCTION("""COMPUTED_VALUE"""),"")</f>
        <v/>
      </c>
      <c r="J173" s="6" t="str">
        <f ca="1">IFERROR(__xludf.DUMMYFUNCTION("""COMPUTED_VALUE"""),"전화 문의")</f>
        <v>전화 문의</v>
      </c>
    </row>
    <row r="174" spans="1:10" x14ac:dyDescent="0.2">
      <c r="A174" s="6">
        <f ca="1">IFERROR(__xludf.DUMMYFUNCTION("""COMPUTED_VALUE"""),173)</f>
        <v>173</v>
      </c>
      <c r="B174" s="6">
        <f ca="1">IFERROR(__xludf.DUMMYFUNCTION("""COMPUTED_VALUE"""),46190.6227893518)</f>
        <v>46190.622789351801</v>
      </c>
      <c r="C174" s="6" t="str">
        <f ca="1">IFERROR(__xludf.DUMMYFUNCTION("""COMPUTED_VALUE"""),"1.217.15.171")</f>
        <v>1.217.15.171</v>
      </c>
      <c r="D174" s="6" t="str">
        <f ca="1">IFERROR(__xludf.DUMMYFUNCTION("""COMPUTED_VALUE"""),"네이버예약")</f>
        <v>네이버예약</v>
      </c>
      <c r="E174" s="6" t="str">
        <f ca="1">IFERROR(__xludf.DUMMYFUNCTION("""COMPUTED_VALUE"""),"네이버예약")</f>
        <v>네이버예약</v>
      </c>
      <c r="F174" s="6" t="str">
        <f ca="1">IFERROR(__xludf.DUMMYFUNCTION("""COMPUTED_VALUE"""),"유입확인불가")</f>
        <v>유입확인불가</v>
      </c>
      <c r="G174" s="7" t="str">
        <f ca="1">IFERROR(__xludf.DUMMYFUNCTION("""COMPUTED_VALUE"""),"https://newstart-law.com/")</f>
        <v>https://newstart-law.com/</v>
      </c>
      <c r="H174" s="6" t="str">
        <f ca="1">IFERROR(__xludf.DUMMYFUNCTION("""COMPUTED_VALUE"""),"")</f>
        <v/>
      </c>
      <c r="I174" s="6" t="str">
        <f ca="1">IFERROR(__xludf.DUMMYFUNCTION("""COMPUTED_VALUE"""),"")</f>
        <v/>
      </c>
      <c r="J174" s="6" t="str">
        <f ca="1">IFERROR(__xludf.DUMMYFUNCTION("""COMPUTED_VALUE"""),"네이버 예약")</f>
        <v>네이버 예약</v>
      </c>
    </row>
    <row r="175" spans="1:10" x14ac:dyDescent="0.2">
      <c r="A175" s="6">
        <f ca="1">IFERROR(__xludf.DUMMYFUNCTION("""COMPUTED_VALUE"""),174)</f>
        <v>174</v>
      </c>
      <c r="B175" s="6">
        <f ca="1">IFERROR(__xludf.DUMMYFUNCTION("""COMPUTED_VALUE"""),46190.6853935185)</f>
        <v>46190.685393518499</v>
      </c>
      <c r="C175" s="6" t="str">
        <f ca="1">IFERROR(__xludf.DUMMYFUNCTION("""COMPUTED_VALUE"""),"114.207.140.177")</f>
        <v>114.207.140.177</v>
      </c>
      <c r="D175" s="6" t="str">
        <f ca="1">IFERROR(__xludf.DUMMYFUNCTION("""COMPUTED_VALUE"""),"네이버톡톡")</f>
        <v>네이버톡톡</v>
      </c>
      <c r="E175" s="6" t="str">
        <f ca="1">IFERROR(__xludf.DUMMYFUNCTION("""COMPUTED_VALUE"""),"네이버톡톡")</f>
        <v>네이버톡톡</v>
      </c>
      <c r="F175" s="6" t="str">
        <f ca="1">IFERROR(__xludf.DUMMYFUNCTION("""COMPUTED_VALUE"""),"배너")</f>
        <v>배너</v>
      </c>
      <c r="G175" s="7" t="str">
        <f ca="1">IFERROR(__xludf.DUMMYFUNCTION("""COMPUTED_VALUE"""),"http://newstart-law.com/?inType=nim003&amp;NaPm=ci=6h6FWtfOFlQkqNrhzZtxcODw|tr=gfa|ct=mqhqz5il|hk=2442c704e152f0a39e050491097fe39463d4dc19|nacn=Vw63BggPwf2SB")</f>
        <v>http://newstart-law.com/?inType=nim003&amp;NaPm=ci=6h6FWtfOFlQkqNrhzZtxcODw|tr=gfa|ct=mqhqz5il|hk=2442c704e152f0a39e050491097fe39463d4dc19|nacn=Vw63BggPwf2SB</v>
      </c>
      <c r="H175" s="6" t="str">
        <f ca="1">IFERROR(__xludf.DUMMYFUNCTION("""COMPUTED_VALUE"""),"nim003")</f>
        <v>nim003</v>
      </c>
      <c r="I175" s="6" t="str">
        <f ca="1">IFERROR(__xludf.DUMMYFUNCTION("""COMPUTED_VALUE"""),"")</f>
        <v/>
      </c>
      <c r="J175" s="6" t="str">
        <f ca="1">IFERROR(__xludf.DUMMYFUNCTION("""COMPUTED_VALUE"""),"네이버 톡톡")</f>
        <v>네이버 톡톡</v>
      </c>
    </row>
    <row r="176" spans="1:10" x14ac:dyDescent="0.2">
      <c r="A176" s="6">
        <f ca="1">IFERROR(__xludf.DUMMYFUNCTION("""COMPUTED_VALUE"""),175)</f>
        <v>175</v>
      </c>
      <c r="B176" s="6">
        <f ca="1">IFERROR(__xludf.DUMMYFUNCTION("""COMPUTED_VALUE"""),46191.4234375)</f>
        <v>46191.423437500001</v>
      </c>
      <c r="C176" s="6" t="str">
        <f ca="1">IFERROR(__xludf.DUMMYFUNCTION("""COMPUTED_VALUE"""),"211.36.155.239")</f>
        <v>211.36.155.239</v>
      </c>
      <c r="D176" s="6" t="str">
        <f ca="1">IFERROR(__xludf.DUMMYFUNCTION("""COMPUTED_VALUE"""),"네이버예약")</f>
        <v>네이버예약</v>
      </c>
      <c r="E176" s="6" t="str">
        <f ca="1">IFERROR(__xludf.DUMMYFUNCTION("""COMPUTED_VALUE"""),"네이버예약")</f>
        <v>네이버예약</v>
      </c>
      <c r="F176" s="6" t="str">
        <f ca="1">IFERROR(__xludf.DUMMYFUNCTION("""COMPUTED_VALUE"""),"배너")</f>
        <v>배너</v>
      </c>
      <c r="G176" s="7" t="str">
        <f ca="1">IFERROR(__xludf.DUMMYFUNCTION("""COMPUTED_VALUE"""),"http://newstart-law.com/?inType=nim003&amp;NaPm=ci=6ixclwNxLgQmWxZUIVJ_v8LQ|tr=gfa|ct=mqisxxdz|hk=82bf442d1746b717cbcd34acde6c06b957affa89|nacn=nfZXDAhpsX3VB")</f>
        <v>http://newstart-law.com/?inType=nim003&amp;NaPm=ci=6ixclwNxLgQmWxZUIVJ_v8LQ|tr=gfa|ct=mqisxxdz|hk=82bf442d1746b717cbcd34acde6c06b957affa89|nacn=nfZXDAhpsX3VB</v>
      </c>
      <c r="H176" s="6" t="str">
        <f ca="1">IFERROR(__xludf.DUMMYFUNCTION("""COMPUTED_VALUE"""),"nim003")</f>
        <v>nim003</v>
      </c>
      <c r="I176" s="6" t="str">
        <f ca="1">IFERROR(__xludf.DUMMYFUNCTION("""COMPUTED_VALUE"""),"")</f>
        <v/>
      </c>
      <c r="J176" s="6" t="str">
        <f ca="1">IFERROR(__xludf.DUMMYFUNCTION("""COMPUTED_VALUE"""),"네이버 예약")</f>
        <v>네이버 예약</v>
      </c>
    </row>
    <row r="177" spans="1:10" x14ac:dyDescent="0.2">
      <c r="A177" s="6">
        <f ca="1">IFERROR(__xludf.DUMMYFUNCTION("""COMPUTED_VALUE"""),176)</f>
        <v>176</v>
      </c>
      <c r="B177" s="6">
        <f ca="1">IFERROR(__xludf.DUMMYFUNCTION("""COMPUTED_VALUE"""),46191.4485648148)</f>
        <v>46191.448564814797</v>
      </c>
      <c r="C177" s="6" t="str">
        <f ca="1">IFERROR(__xludf.DUMMYFUNCTION("""COMPUTED_VALUE"""),"106.243.193.244")</f>
        <v>106.243.193.244</v>
      </c>
      <c r="D177" s="6" t="str">
        <f ca="1">IFERROR(__xludf.DUMMYFUNCTION("""COMPUTED_VALUE"""),"네이버톡톡")</f>
        <v>네이버톡톡</v>
      </c>
      <c r="E177" s="6" t="str">
        <f ca="1">IFERROR(__xludf.DUMMYFUNCTION("""COMPUTED_VALUE"""),"네이버톡톡")</f>
        <v>네이버톡톡</v>
      </c>
      <c r="F177" s="6" t="str">
        <f ca="1">IFERROR(__xludf.DUMMYFUNCTION("""COMPUTED_VALUE"""),"유입확인불가")</f>
        <v>유입확인불가</v>
      </c>
      <c r="G177" s="7" t="str">
        <f ca="1">IFERROR(__xludf.DUMMYFUNCTION("""COMPUTED_VALUE"""),"https://newstart-law.com/")</f>
        <v>https://newstart-law.com/</v>
      </c>
      <c r="H177" s="6" t="str">
        <f ca="1">IFERROR(__xludf.DUMMYFUNCTION("""COMPUTED_VALUE"""),"")</f>
        <v/>
      </c>
      <c r="I177" s="6" t="str">
        <f ca="1">IFERROR(__xludf.DUMMYFUNCTION("""COMPUTED_VALUE"""),"")</f>
        <v/>
      </c>
      <c r="J177" s="6" t="str">
        <f ca="1">IFERROR(__xludf.DUMMYFUNCTION("""COMPUTED_VALUE"""),"네이버 톡톡")</f>
        <v>네이버 톡톡</v>
      </c>
    </row>
    <row r="178" spans="1:10" x14ac:dyDescent="0.2">
      <c r="A178" s="6">
        <f ca="1">IFERROR(__xludf.DUMMYFUNCTION("""COMPUTED_VALUE"""),177)</f>
        <v>177</v>
      </c>
      <c r="B178" s="6">
        <f ca="1">IFERROR(__xludf.DUMMYFUNCTION("""COMPUTED_VALUE"""),46191.4486574074)</f>
        <v>46191.448657407404</v>
      </c>
      <c r="C178" s="6" t="str">
        <f ca="1">IFERROR(__xludf.DUMMYFUNCTION("""COMPUTED_VALUE"""),"106.243.193.244")</f>
        <v>106.243.193.244</v>
      </c>
      <c r="D178" s="6" t="str">
        <f ca="1">IFERROR(__xludf.DUMMYFUNCTION("""COMPUTED_VALUE"""),"카카오")</f>
        <v>카카오</v>
      </c>
      <c r="E178" s="6" t="str">
        <f ca="1">IFERROR(__xludf.DUMMYFUNCTION("""COMPUTED_VALUE"""),"카카오톡")</f>
        <v>카카오톡</v>
      </c>
      <c r="F178" s="6" t="str">
        <f ca="1">IFERROR(__xludf.DUMMYFUNCTION("""COMPUTED_VALUE"""),"유입확인불가")</f>
        <v>유입확인불가</v>
      </c>
      <c r="G178" s="7" t="str">
        <f ca="1">IFERROR(__xludf.DUMMYFUNCTION("""COMPUTED_VALUE"""),"https://newstart-law.com/")</f>
        <v>https://newstart-law.com/</v>
      </c>
      <c r="H178" s="6" t="str">
        <f ca="1">IFERROR(__xludf.DUMMYFUNCTION("""COMPUTED_VALUE"""),"")</f>
        <v/>
      </c>
      <c r="I178" s="6" t="str">
        <f ca="1">IFERROR(__xludf.DUMMYFUNCTION("""COMPUTED_VALUE"""),"")</f>
        <v/>
      </c>
      <c r="J178" s="6" t="str">
        <f ca="1">IFERROR(__xludf.DUMMYFUNCTION("""COMPUTED_VALUE"""),"카카오톡")</f>
        <v>카카오톡</v>
      </c>
    </row>
    <row r="179" spans="1:10" x14ac:dyDescent="0.2">
      <c r="A179" s="6">
        <f ca="1">IFERROR(__xludf.DUMMYFUNCTION("""COMPUTED_VALUE"""),178)</f>
        <v>178</v>
      </c>
      <c r="B179" s="6">
        <f ca="1">IFERROR(__xludf.DUMMYFUNCTION("""COMPUTED_VALUE"""),46191.4672106481)</f>
        <v>46191.467210648101</v>
      </c>
      <c r="C179" s="6" t="str">
        <f ca="1">IFERROR(__xludf.DUMMYFUNCTION("""COMPUTED_VALUE"""),"조팀장")</f>
        <v>조팀장</v>
      </c>
      <c r="D179" s="6">
        <f ca="1">IFERROR(__xludf.DUMMYFUNCTION("""COMPUTED_VALUE"""),1093054510)</f>
        <v>1093054510</v>
      </c>
      <c r="E179" s="6" t="str">
        <f ca="1">IFERROR(__xludf.DUMMYFUNCTION("""COMPUTED_VALUE"""),"상담신청")</f>
        <v>상담신청</v>
      </c>
      <c r="F179" s="6" t="str">
        <f ca="1">IFERROR(__xludf.DUMMYFUNCTION("""COMPUTED_VALUE"""),"검색")</f>
        <v>검색</v>
      </c>
      <c r="G179" s="7" t="str">
        <f ca="1">IFERROR(__xludf.DUMMYFUNCTION("""COMPUTED_VALUE"""),"https://www.newstart-law.com/?inType=NK&amp;n_media=27758&amp;n_query=개인회생신청&amp;n_rank=7&amp;n_ad_group=grp-a001-01-000000063065651&amp;n_ad=nad-a001-01-000000485213838&amp;n_keyword_id=nkw-a001-01-000007951807444&amp;n_keyword=개인회생신청&amp;n_campaign_type=1&amp;n_ad_group_type=1&amp;n_match=1&amp;N"&amp;"aPm=ct=mqiv5k7c|ci=ERf8cbc0fe-6aba-11f1-a9b8-6e3ae24fc82e|tr=sa|hk=de6c6e0a86190ca5d9b92025631eb6ece7f9c6eb|nacn=MdAWB8gNhv")</f>
        <v>https://www.newstart-law.com/?inType=NK&amp;n_media=27758&amp;n_query=개인회생신청&amp;n_rank=7&amp;n_ad_group=grp-a001-01-000000063065651&amp;n_ad=nad-a001-01-000000485213838&amp;n_keyword_id=nkw-a001-01-000007951807444&amp;n_keyword=개인회생신청&amp;n_campaign_type=1&amp;n_ad_group_type=1&amp;n_match=1&amp;NaPm=ct=mqiv5k7c|ci=ERf8cbc0fe-6aba-11f1-a9b8-6e3ae24fc82e|tr=sa|hk=de6c6e0a86190ca5d9b92025631eb6ece7f9c6eb|nacn=MdAWB8gNhv</v>
      </c>
      <c r="H179" s="6" t="str">
        <f ca="1">IFERROR(__xludf.DUMMYFUNCTION("""COMPUTED_VALUE"""),"NK")</f>
        <v>NK</v>
      </c>
      <c r="I179" s="6" t="str">
        <f ca="1">IFERROR(__xludf.DUMMYFUNCTION("""COMPUTED_VALUE"""),"개인회생신청")</f>
        <v>개인회생신청</v>
      </c>
      <c r="J179" s="6" t="str">
        <f ca="1">IFERROR(__xludf.DUMMYFUNCTION("""COMPUTED_VALUE"""),"메인 상단 상담폼")</f>
        <v>메인 상단 상담폼</v>
      </c>
    </row>
    <row r="180" spans="1:10" x14ac:dyDescent="0.2">
      <c r="A180" s="6">
        <f ca="1">IFERROR(__xludf.DUMMYFUNCTION("""COMPUTED_VALUE"""),179)</f>
        <v>179</v>
      </c>
      <c r="B180" s="6">
        <f ca="1">IFERROR(__xludf.DUMMYFUNCTION("""COMPUTED_VALUE"""),46191.5133680555)</f>
        <v>46191.513368055501</v>
      </c>
      <c r="C180" s="6" t="str">
        <f ca="1">IFERROR(__xludf.DUMMYFUNCTION("""COMPUTED_VALUE"""),"김준혁")</f>
        <v>김준혁</v>
      </c>
      <c r="D180" s="6">
        <f ca="1">IFERROR(__xludf.DUMMYFUNCTION("""COMPUTED_VALUE"""),1092268173)</f>
        <v>1092268173</v>
      </c>
      <c r="E180" s="6" t="str">
        <f ca="1">IFERROR(__xludf.DUMMYFUNCTION("""COMPUTED_VALUE"""),"상담신청")</f>
        <v>상담신청</v>
      </c>
      <c r="F180" s="6" t="str">
        <f ca="1">IFERROR(__xludf.DUMMYFUNCTION("""COMPUTED_VALUE"""),"배너")</f>
        <v>배너</v>
      </c>
      <c r="G180" s="7" t="str">
        <f ca="1">IFERROR(__xludf.DUMMYFUNCTION("""COMPUTED_VALUE"""),"http://newstart-law.com/?inType=NIM001&amp;NaPm=ci=6iHIA7N2AdQOaouEhQEHi6vw|tr=gfa|ct=mqixhyv7|hk=55eb9c1da016a382dc7fa5ad040e9df27747d717|nacn=eQkSCggQkePtC")</f>
        <v>http://newstart-law.com/?inType=NIM001&amp;NaPm=ci=6iHIA7N2AdQOaouEhQEHi6vw|tr=gfa|ct=mqixhyv7|hk=55eb9c1da016a382dc7fa5ad040e9df27747d717|nacn=eQkSCggQkePtC</v>
      </c>
      <c r="H180" s="6" t="str">
        <f ca="1">IFERROR(__xludf.DUMMYFUNCTION("""COMPUTED_VALUE"""),"NIM001")</f>
        <v>NIM001</v>
      </c>
      <c r="I180" s="6" t="str">
        <f ca="1">IFERROR(__xludf.DUMMYFUNCTION("""COMPUTED_VALUE"""),"")</f>
        <v/>
      </c>
      <c r="J180" s="6" t="str">
        <f ca="1">IFERROR(__xludf.DUMMYFUNCTION("""COMPUTED_VALUE"""),"AI 진단")</f>
        <v>AI 진단</v>
      </c>
    </row>
    <row r="181" spans="1:10" x14ac:dyDescent="0.2">
      <c r="A181" s="6">
        <f ca="1">IFERROR(__xludf.DUMMYFUNCTION("""COMPUTED_VALUE"""),180)</f>
        <v>180</v>
      </c>
      <c r="B181" s="6">
        <f ca="1">IFERROR(__xludf.DUMMYFUNCTION("""COMPUTED_VALUE"""),46191.534537037)</f>
        <v>46191.534537036998</v>
      </c>
      <c r="C181" s="6" t="str">
        <f ca="1">IFERROR(__xludf.DUMMYFUNCTION("""COMPUTED_VALUE"""),"118.235.93.230")</f>
        <v>118.235.93.230</v>
      </c>
      <c r="D181" s="6" t="str">
        <f ca="1">IFERROR(__xludf.DUMMYFUNCTION("""COMPUTED_VALUE"""),"네이버톡톡")</f>
        <v>네이버톡톡</v>
      </c>
      <c r="E181" s="6" t="str">
        <f ca="1">IFERROR(__xludf.DUMMYFUNCTION("""COMPUTED_VALUE"""),"네이버톡톡")</f>
        <v>네이버톡톡</v>
      </c>
      <c r="F181" s="6" t="str">
        <f ca="1">IFERROR(__xludf.DUMMYFUNCTION("""COMPUTED_VALUE"""),"배너")</f>
        <v>배너</v>
      </c>
      <c r="G181" s="7" t="str">
        <f ca="1">IFERROR(__xludf.DUMMYFUNCTION("""COMPUTED_VALUE"""),"http://newstart-law.com/?inType=NIM001&amp;NaPm=ci=6i7-RXNWCWRaeQAFXFhI2WnQ|tr=gfa|ct=mqiyjrqb|hk=f9803d6cd4a14fddd874bedd2fc59a5288c5eb03|nacn=50PTB8Qvz0D7")</f>
        <v>http://newstart-law.com/?inType=NIM001&amp;NaPm=ci=6i7-RXNWCWRaeQAFXFhI2WnQ|tr=gfa|ct=mqiyjrqb|hk=f9803d6cd4a14fddd874bedd2fc59a5288c5eb03|nacn=50PTB8Qvz0D7</v>
      </c>
      <c r="H181" s="6" t="str">
        <f ca="1">IFERROR(__xludf.DUMMYFUNCTION("""COMPUTED_VALUE"""),"NIM001")</f>
        <v>NIM001</v>
      </c>
      <c r="I181" s="6" t="str">
        <f ca="1">IFERROR(__xludf.DUMMYFUNCTION("""COMPUTED_VALUE"""),"")</f>
        <v/>
      </c>
      <c r="J181" s="6" t="str">
        <f ca="1">IFERROR(__xludf.DUMMYFUNCTION("""COMPUTED_VALUE"""),"네이버 톡톡")</f>
        <v>네이버 톡톡</v>
      </c>
    </row>
    <row r="182" spans="1:10" x14ac:dyDescent="0.2">
      <c r="A182" s="6">
        <f ca="1">IFERROR(__xludf.DUMMYFUNCTION("""COMPUTED_VALUE"""),181)</f>
        <v>181</v>
      </c>
      <c r="B182" s="6">
        <f ca="1">IFERROR(__xludf.DUMMYFUNCTION("""COMPUTED_VALUE"""),46191.5746296296)</f>
        <v>46191.574629629598</v>
      </c>
      <c r="C182" s="6" t="str">
        <f ca="1">IFERROR(__xludf.DUMMYFUNCTION("""COMPUTED_VALUE"""),"양승욱")</f>
        <v>양승욱</v>
      </c>
      <c r="D182" s="6">
        <f ca="1">IFERROR(__xludf.DUMMYFUNCTION("""COMPUTED_VALUE"""),1083625871)</f>
        <v>1083625871</v>
      </c>
      <c r="E182" s="6" t="str">
        <f ca="1">IFERROR(__xludf.DUMMYFUNCTION("""COMPUTED_VALUE"""),"상담신청")</f>
        <v>상담신청</v>
      </c>
      <c r="F182" s="6" t="str">
        <f ca="1">IFERROR(__xludf.DUMMYFUNCTION("""COMPUTED_VALUE"""),"배너")</f>
        <v>배너</v>
      </c>
      <c r="G182" s="7" t="str">
        <f ca="1">IFERROR(__xludf.DUMMYFUNCTION("""COMPUTED_VALUE"""),"http://newstart-law.com/?inType=nim003&amp;NaPm=ci=6i_frEnrkOSbyruRZ8a4EAQg|tr=gfa|ct=mqiz3f85|hk=4c29be37c3358b92345ecae192c556d1f39ebff9|nacn=pbGJB0wIWION")</f>
        <v>http://newstart-law.com/?inType=nim003&amp;NaPm=ci=6i_frEnrkOSbyruRZ8a4EAQg|tr=gfa|ct=mqiz3f85|hk=4c29be37c3358b92345ecae192c556d1f39ebff9|nacn=pbGJB0wIWION</v>
      </c>
      <c r="H182" s="6" t="str">
        <f ca="1">IFERROR(__xludf.DUMMYFUNCTION("""COMPUTED_VALUE"""),"nim003")</f>
        <v>nim003</v>
      </c>
      <c r="I182" s="6" t="str">
        <f ca="1">IFERROR(__xludf.DUMMYFUNCTION("""COMPUTED_VALUE"""),"")</f>
        <v/>
      </c>
      <c r="J182" s="6" t="str">
        <f ca="1">IFERROR(__xludf.DUMMYFUNCTION("""COMPUTED_VALUE"""),"AI 진단")</f>
        <v>AI 진단</v>
      </c>
    </row>
    <row r="183" spans="1:10" x14ac:dyDescent="0.2">
      <c r="A183" s="6">
        <f ca="1">IFERROR(__xludf.DUMMYFUNCTION("""COMPUTED_VALUE"""),182)</f>
        <v>182</v>
      </c>
      <c r="B183" s="6">
        <f ca="1">IFERROR(__xludf.DUMMYFUNCTION("""COMPUTED_VALUE"""),46191.6092824074)</f>
        <v>46191.6092824074</v>
      </c>
      <c r="C183" s="6" t="str">
        <f ca="1">IFERROR(__xludf.DUMMYFUNCTION("""COMPUTED_VALUE"""),"1.215.132.197")</f>
        <v>1.215.132.197</v>
      </c>
      <c r="D183" s="6" t="str">
        <f ca="1">IFERROR(__xludf.DUMMYFUNCTION("""COMPUTED_VALUE"""),"카카오")</f>
        <v>카카오</v>
      </c>
      <c r="E183" s="6" t="str">
        <f ca="1">IFERROR(__xludf.DUMMYFUNCTION("""COMPUTED_VALUE"""),"카카오톡")</f>
        <v>카카오톡</v>
      </c>
      <c r="F183" s="6" t="str">
        <f ca="1">IFERROR(__xludf.DUMMYFUNCTION("""COMPUTED_VALUE"""),"배너")</f>
        <v>배너</v>
      </c>
      <c r="G183" s="7" t="str">
        <f ca="1">IFERROR(__xludf.DUMMYFUNCTION("""COMPUTED_VALUE"""),"http://newstart-law.com/?inType=nim003&amp;NaPm=ci=6ilu-5x6HFQ4q-Wc1024YA6g|tr=gfa|ct=mqizsgkf|hk=1b9f328c31fe3512bf4a748c44fd2b5fbdae5ae2|nacn=m3VUBERKdi2N")</f>
        <v>http://newstart-law.com/?inType=nim003&amp;NaPm=ci=6ilu-5x6HFQ4q-Wc1024YA6g|tr=gfa|ct=mqizsgkf|hk=1b9f328c31fe3512bf4a748c44fd2b5fbdae5ae2|nacn=m3VUBERKdi2N</v>
      </c>
      <c r="H183" s="6" t="str">
        <f ca="1">IFERROR(__xludf.DUMMYFUNCTION("""COMPUTED_VALUE"""),"nim003")</f>
        <v>nim003</v>
      </c>
      <c r="I183" s="6" t="str">
        <f ca="1">IFERROR(__xludf.DUMMYFUNCTION("""COMPUTED_VALUE"""),"")</f>
        <v/>
      </c>
      <c r="J183" s="6" t="str">
        <f ca="1">IFERROR(__xludf.DUMMYFUNCTION("""COMPUTED_VALUE"""),"카카오톡")</f>
        <v>카카오톡</v>
      </c>
    </row>
    <row r="184" spans="1:10" x14ac:dyDescent="0.2">
      <c r="A184" s="6">
        <f ca="1">IFERROR(__xludf.DUMMYFUNCTION("""COMPUTED_VALUE"""),183)</f>
        <v>183</v>
      </c>
      <c r="B184" s="6">
        <f ca="1">IFERROR(__xludf.DUMMYFUNCTION("""COMPUTED_VALUE"""),46191.6202777777)</f>
        <v>46191.6202777777</v>
      </c>
      <c r="C184" s="6" t="str">
        <f ca="1">IFERROR(__xludf.DUMMYFUNCTION("""COMPUTED_VALUE"""),"주영진")</f>
        <v>주영진</v>
      </c>
      <c r="D184" s="6">
        <f ca="1">IFERROR(__xludf.DUMMYFUNCTION("""COMPUTED_VALUE"""),1088596067)</f>
        <v>1088596067</v>
      </c>
      <c r="E184" s="6" t="str">
        <f ca="1">IFERROR(__xludf.DUMMYFUNCTION("""COMPUTED_VALUE"""),"상담신청")</f>
        <v>상담신청</v>
      </c>
      <c r="F184" s="6" t="str">
        <f ca="1">IFERROR(__xludf.DUMMYFUNCTION("""COMPUTED_VALUE"""),"배너")</f>
        <v>배너</v>
      </c>
      <c r="G184" s="7" t="str">
        <f ca="1">IFERROR(__xludf.DUMMYFUNCTION("""COMPUTED_VALUE"""),"https://newstart-law.com/?inType=NIP002&amp;NaPm=ci=6iLJKwEL6gQUmxpk2KghzQZA|tr=gfa|ct=mqj32ill|hk=2eb69790e1c0ea4bd0a7ecad0f82045dbf3b76a1|nacn=MXnfDQiKEj0NA")</f>
        <v>https://newstart-law.com/?inType=NIP002&amp;NaPm=ci=6iLJKwEL6gQUmxpk2KghzQZA|tr=gfa|ct=mqj32ill|hk=2eb69790e1c0ea4bd0a7ecad0f82045dbf3b76a1|nacn=MXnfDQiKEj0NA</v>
      </c>
      <c r="H184" s="6" t="str">
        <f ca="1">IFERROR(__xludf.DUMMYFUNCTION("""COMPUTED_VALUE"""),"NIP002")</f>
        <v>NIP002</v>
      </c>
      <c r="I184" s="6" t="str">
        <f ca="1">IFERROR(__xludf.DUMMYFUNCTION("""COMPUTED_VALUE"""),"")</f>
        <v/>
      </c>
      <c r="J184" s="6" t="str">
        <f ca="1">IFERROR(__xludf.DUMMYFUNCTION("""COMPUTED_VALUE"""),"메인 상단 상담폼")</f>
        <v>메인 상단 상담폼</v>
      </c>
    </row>
    <row r="185" spans="1:10" x14ac:dyDescent="0.2">
      <c r="A185" s="6">
        <f ca="1">IFERROR(__xludf.DUMMYFUNCTION("""COMPUTED_VALUE"""),184)</f>
        <v>184</v>
      </c>
      <c r="B185" s="6">
        <f ca="1">IFERROR(__xludf.DUMMYFUNCTION("""COMPUTED_VALUE"""),46191.6212731481)</f>
        <v>46191.621273148099</v>
      </c>
      <c r="C185" s="6" t="str">
        <f ca="1">IFERROR(__xludf.DUMMYFUNCTION("""COMPUTED_VALUE"""),"1.240.252.107")</f>
        <v>1.240.252.107</v>
      </c>
      <c r="D185" s="6" t="str">
        <f ca="1">IFERROR(__xludf.DUMMYFUNCTION("""COMPUTED_VALUE"""),"카카오")</f>
        <v>카카오</v>
      </c>
      <c r="E185" s="6" t="str">
        <f ca="1">IFERROR(__xludf.DUMMYFUNCTION("""COMPUTED_VALUE"""),"카카오톡")</f>
        <v>카카오톡</v>
      </c>
      <c r="F185" s="6" t="str">
        <f ca="1">IFERROR(__xludf.DUMMYFUNCTION("""COMPUTED_VALUE"""),"배너")</f>
        <v>배너</v>
      </c>
      <c r="G185" s="7" t="str">
        <f ca="1">IFERROR(__xludf.DUMMYFUNCTION("""COMPUTED_VALUE"""),"http://newstart-law.com/?inType=nim003&amp;NaPm=ci=6iwtJbN4jmQA6cHhw64VGNxw|tr=gfa|ct=mqj34tug|hk=9cf32342085e58da2451f132eb1927bc2f095a5a|nacn=28cwBgwQ2iXl")</f>
        <v>http://newstart-law.com/?inType=nim003&amp;NaPm=ci=6iwtJbN4jmQA6cHhw64VGNxw|tr=gfa|ct=mqj34tug|hk=9cf32342085e58da2451f132eb1927bc2f095a5a|nacn=28cwBgwQ2iXl</v>
      </c>
      <c r="H185" s="6" t="str">
        <f ca="1">IFERROR(__xludf.DUMMYFUNCTION("""COMPUTED_VALUE"""),"nim003")</f>
        <v>nim003</v>
      </c>
      <c r="I185" s="6" t="str">
        <f ca="1">IFERROR(__xludf.DUMMYFUNCTION("""COMPUTED_VALUE"""),"")</f>
        <v/>
      </c>
      <c r="J185" s="6" t="str">
        <f ca="1">IFERROR(__xludf.DUMMYFUNCTION("""COMPUTED_VALUE"""),"카카오톡")</f>
        <v>카카오톡</v>
      </c>
    </row>
    <row r="186" spans="1:10" x14ac:dyDescent="0.2">
      <c r="A186" s="6">
        <f ca="1">IFERROR(__xludf.DUMMYFUNCTION("""COMPUTED_VALUE"""),185)</f>
        <v>185</v>
      </c>
      <c r="B186" s="6">
        <f ca="1">IFERROR(__xludf.DUMMYFUNCTION("""COMPUTED_VALUE"""),46191.6327662037)</f>
        <v>46191.6327662037</v>
      </c>
      <c r="C186" s="6" t="str">
        <f ca="1">IFERROR(__xludf.DUMMYFUNCTION("""COMPUTED_VALUE"""),"211.234.207.236")</f>
        <v>211.234.207.236</v>
      </c>
      <c r="D186" s="6" t="str">
        <f ca="1">IFERROR(__xludf.DUMMYFUNCTION("""COMPUTED_VALUE"""),"네이버톡톡")</f>
        <v>네이버톡톡</v>
      </c>
      <c r="E186" s="6" t="str">
        <f ca="1">IFERROR(__xludf.DUMMYFUNCTION("""COMPUTED_VALUE"""),"네이버톡톡")</f>
        <v>네이버톡톡</v>
      </c>
      <c r="F186" s="6" t="str">
        <f ca="1">IFERROR(__xludf.DUMMYFUNCTION("""COMPUTED_VALUE"""),"배너")</f>
        <v>배너</v>
      </c>
      <c r="G186" s="7" t="str">
        <f ca="1">IFERROR(__xludf.DUMMYFUNCTION("""COMPUTED_VALUE"""),"http://newstart-law.com/?inType=nim003&amp;NaPm=ci=6imJCHvnNyS1K47AWLXFrufA|tr=gfa|ct=mqj3o7y9|hk=666ebf628c646a6ef819c2ff22c30d462c756904|nacn=gfC0CABBuPfAA")</f>
        <v>http://newstart-law.com/?inType=nim003&amp;NaPm=ci=6imJCHvnNyS1K47AWLXFrufA|tr=gfa|ct=mqj3o7y9|hk=666ebf628c646a6ef819c2ff22c30d462c756904|nacn=gfC0CABBuPfAA</v>
      </c>
      <c r="H186" s="6" t="str">
        <f ca="1">IFERROR(__xludf.DUMMYFUNCTION("""COMPUTED_VALUE"""),"nim003")</f>
        <v>nim003</v>
      </c>
      <c r="I186" s="6" t="str">
        <f ca="1">IFERROR(__xludf.DUMMYFUNCTION("""COMPUTED_VALUE"""),"")</f>
        <v/>
      </c>
      <c r="J186" s="6" t="str">
        <f ca="1">IFERROR(__xludf.DUMMYFUNCTION("""COMPUTED_VALUE"""),"네이버 톡톡")</f>
        <v>네이버 톡톡</v>
      </c>
    </row>
    <row r="187" spans="1:10" x14ac:dyDescent="0.2">
      <c r="A187" s="6">
        <f ca="1">IFERROR(__xludf.DUMMYFUNCTION("""COMPUTED_VALUE"""),186)</f>
        <v>186</v>
      </c>
      <c r="B187" s="6">
        <f ca="1">IFERROR(__xludf.DUMMYFUNCTION("""COMPUTED_VALUE"""),46191.6750231481)</f>
        <v>46191.675023148098</v>
      </c>
      <c r="C187" s="6" t="str">
        <f ca="1">IFERROR(__xludf.DUMMYFUNCTION("""COMPUTED_VALUE"""),"..")</f>
        <v>..</v>
      </c>
      <c r="D187" s="6">
        <f ca="1">IFERROR(__xludf.DUMMYFUNCTION("""COMPUTED_VALUE"""),1000000000)</f>
        <v>1000000000</v>
      </c>
      <c r="E187" s="6" t="str">
        <f ca="1">IFERROR(__xludf.DUMMYFUNCTION("""COMPUTED_VALUE"""),"상담신청")</f>
        <v>상담신청</v>
      </c>
      <c r="F187" s="6" t="str">
        <f ca="1">IFERROR(__xludf.DUMMYFUNCTION("""COMPUTED_VALUE"""),"배너")</f>
        <v>배너</v>
      </c>
      <c r="G187" s="7" t="str">
        <f ca="1">IFERROR(__xludf.DUMMYFUNCTION("""COMPUTED_VALUE"""),"https://newstart-law.com/?inType=NIP002&amp;NaPm=ci=6iqhVXSRKPTeCkvbMBLkE3NQ|tr=gfa|ct=mqj5w54f|hk=3f36d27e73c31392af75c73f69e97e2ffdd8cc90|nacn=A3Y4BIxFfJSIA")</f>
        <v>https://newstart-law.com/?inType=NIP002&amp;NaPm=ci=6iqhVXSRKPTeCkvbMBLkE3NQ|tr=gfa|ct=mqj5w54f|hk=3f36d27e73c31392af75c73f69e97e2ffdd8cc90|nacn=A3Y4BIxFfJSIA</v>
      </c>
      <c r="H187" s="6" t="str">
        <f ca="1">IFERROR(__xludf.DUMMYFUNCTION("""COMPUTED_VALUE"""),"NIP002")</f>
        <v>NIP002</v>
      </c>
      <c r="I187" s="6" t="str">
        <f ca="1">IFERROR(__xludf.DUMMYFUNCTION("""COMPUTED_VALUE"""),"")</f>
        <v/>
      </c>
      <c r="J187" s="6" t="str">
        <f ca="1">IFERROR(__xludf.DUMMYFUNCTION("""COMPUTED_VALUE"""),"메인 상단 상담폼")</f>
        <v>메인 상단 상담폼</v>
      </c>
    </row>
    <row r="188" spans="1:10" x14ac:dyDescent="0.2">
      <c r="A188" s="6">
        <f ca="1">IFERROR(__xludf.DUMMYFUNCTION("""COMPUTED_VALUE"""),187)</f>
        <v>187</v>
      </c>
      <c r="B188" s="6">
        <f ca="1">IFERROR(__xludf.DUMMYFUNCTION("""COMPUTED_VALUE"""),46191.6751504629)</f>
        <v>46191.675150462899</v>
      </c>
      <c r="C188" s="6" t="str">
        <f ca="1">IFERROR(__xludf.DUMMYFUNCTION("""COMPUTED_VALUE"""),"..")</f>
        <v>..</v>
      </c>
      <c r="D188" s="6">
        <f ca="1">IFERROR(__xludf.DUMMYFUNCTION("""COMPUTED_VALUE"""),1000000000)</f>
        <v>1000000000</v>
      </c>
      <c r="E188" s="6" t="str">
        <f ca="1">IFERROR(__xludf.DUMMYFUNCTION("""COMPUTED_VALUE"""),"상담신청")</f>
        <v>상담신청</v>
      </c>
      <c r="F188" s="6" t="str">
        <f ca="1">IFERROR(__xludf.DUMMYFUNCTION("""COMPUTED_VALUE"""),"배너")</f>
        <v>배너</v>
      </c>
      <c r="G188" s="7" t="str">
        <f ca="1">IFERROR(__xludf.DUMMYFUNCTION("""COMPUTED_VALUE"""),"https://newstart-law.com/?inType=NIP002&amp;NaPm=ci=6iqhVXSRKPTeCkvbMBLkE3NQ|tr=gfa|ct=mqj5w54f|hk=3f36d27e73c31392af75c73f69e97e2ffdd8cc90|nacn=A3Y4BIxFfJSIA")</f>
        <v>https://newstart-law.com/?inType=NIP002&amp;NaPm=ci=6iqhVXSRKPTeCkvbMBLkE3NQ|tr=gfa|ct=mqj5w54f|hk=3f36d27e73c31392af75c73f69e97e2ffdd8cc90|nacn=A3Y4BIxFfJSIA</v>
      </c>
      <c r="H188" s="6" t="str">
        <f ca="1">IFERROR(__xludf.DUMMYFUNCTION("""COMPUTED_VALUE"""),"NIP002")</f>
        <v>NIP002</v>
      </c>
      <c r="I188" s="6" t="str">
        <f ca="1">IFERROR(__xludf.DUMMYFUNCTION("""COMPUTED_VALUE"""),"")</f>
        <v/>
      </c>
      <c r="J188" s="6" t="str">
        <f ca="1">IFERROR(__xludf.DUMMYFUNCTION("""COMPUTED_VALUE"""),"메인 상단 상담폼")</f>
        <v>메인 상단 상담폼</v>
      </c>
    </row>
    <row r="189" spans="1:10" x14ac:dyDescent="0.2">
      <c r="A189" s="6">
        <f ca="1">IFERROR(__xludf.DUMMYFUNCTION("""COMPUTED_VALUE"""),188)</f>
        <v>188</v>
      </c>
      <c r="B189" s="6">
        <f ca="1">IFERROR(__xludf.DUMMYFUNCTION("""COMPUTED_VALUE"""),46191.6753009259)</f>
        <v>46191.675300925897</v>
      </c>
      <c r="C189" s="6" t="str">
        <f ca="1">IFERROR(__xludf.DUMMYFUNCTION("""COMPUTED_VALUE"""),"..")</f>
        <v>..</v>
      </c>
      <c r="D189" s="6">
        <f ca="1">IFERROR(__xludf.DUMMYFUNCTION("""COMPUTED_VALUE"""),1079874685)</f>
        <v>1079874685</v>
      </c>
      <c r="E189" s="6" t="str">
        <f ca="1">IFERROR(__xludf.DUMMYFUNCTION("""COMPUTED_VALUE"""),"상담신청")</f>
        <v>상담신청</v>
      </c>
      <c r="F189" s="6" t="str">
        <f ca="1">IFERROR(__xludf.DUMMYFUNCTION("""COMPUTED_VALUE"""),"배너")</f>
        <v>배너</v>
      </c>
      <c r="G189" s="7" t="str">
        <f ca="1">IFERROR(__xludf.DUMMYFUNCTION("""COMPUTED_VALUE"""),"https://newstart-law.com/?inType=NIP002&amp;NaPm=ci=6iqhVXSRKPTeCkvbMBLkE3NQ|tr=gfa|ct=mqj5w54f|hk=3f36d27e73c31392af75c73f69e97e2ffdd8cc90|nacn=A3Y4BIxFfJSIA")</f>
        <v>https://newstart-law.com/?inType=NIP002&amp;NaPm=ci=6iqhVXSRKPTeCkvbMBLkE3NQ|tr=gfa|ct=mqj5w54f|hk=3f36d27e73c31392af75c73f69e97e2ffdd8cc90|nacn=A3Y4BIxFfJSIA</v>
      </c>
      <c r="H189" s="6" t="str">
        <f ca="1">IFERROR(__xludf.DUMMYFUNCTION("""COMPUTED_VALUE"""),"NIP002")</f>
        <v>NIP002</v>
      </c>
      <c r="I189" s="6" t="str">
        <f ca="1">IFERROR(__xludf.DUMMYFUNCTION("""COMPUTED_VALUE"""),"")</f>
        <v/>
      </c>
      <c r="J189" s="6" t="str">
        <f ca="1">IFERROR(__xludf.DUMMYFUNCTION("""COMPUTED_VALUE"""),"PC 하단 상담폼")</f>
        <v>PC 하단 상담폼</v>
      </c>
    </row>
    <row r="190" spans="1:10" x14ac:dyDescent="0.2">
      <c r="A190" s="6">
        <f ca="1">IFERROR(__xludf.DUMMYFUNCTION("""COMPUTED_VALUE"""),189)</f>
        <v>189</v>
      </c>
      <c r="B190" s="6">
        <f ca="1">IFERROR(__xludf.DUMMYFUNCTION("""COMPUTED_VALUE"""),46191.6753703703)</f>
        <v>46191.6753703703</v>
      </c>
      <c r="C190" s="6" t="str">
        <f ca="1">IFERROR(__xludf.DUMMYFUNCTION("""COMPUTED_VALUE"""),"..")</f>
        <v>..</v>
      </c>
      <c r="D190" s="6">
        <f ca="1">IFERROR(__xludf.DUMMYFUNCTION("""COMPUTED_VALUE"""),1000000000)</f>
        <v>1000000000</v>
      </c>
      <c r="E190" s="6" t="str">
        <f ca="1">IFERROR(__xludf.DUMMYFUNCTION("""COMPUTED_VALUE"""),"상담신청")</f>
        <v>상담신청</v>
      </c>
      <c r="F190" s="6" t="str">
        <f ca="1">IFERROR(__xludf.DUMMYFUNCTION("""COMPUTED_VALUE"""),"배너")</f>
        <v>배너</v>
      </c>
      <c r="G190" s="7" t="str">
        <f ca="1">IFERROR(__xludf.DUMMYFUNCTION("""COMPUTED_VALUE"""),"https://newstart-law.com/?inType=NIP002&amp;NaPm=ci=6iqhVXSRKPTeCkvbMBLkE3NQ|tr=gfa|ct=mqj5w54f|hk=3f36d27e73c31392af75c73f69e97e2ffdd8cc90|nacn=A3Y4BIxFfJSIA")</f>
        <v>https://newstart-law.com/?inType=NIP002&amp;NaPm=ci=6iqhVXSRKPTeCkvbMBLkE3NQ|tr=gfa|ct=mqj5w54f|hk=3f36d27e73c31392af75c73f69e97e2ffdd8cc90|nacn=A3Y4BIxFfJSIA</v>
      </c>
      <c r="H190" s="6" t="str">
        <f ca="1">IFERROR(__xludf.DUMMYFUNCTION("""COMPUTED_VALUE"""),"NIP002")</f>
        <v>NIP002</v>
      </c>
      <c r="I190" s="6" t="str">
        <f ca="1">IFERROR(__xludf.DUMMYFUNCTION("""COMPUTED_VALUE"""),"")</f>
        <v/>
      </c>
      <c r="J190" s="6" t="str">
        <f ca="1">IFERROR(__xludf.DUMMYFUNCTION("""COMPUTED_VALUE"""),"PC 하단 상담폼")</f>
        <v>PC 하단 상담폼</v>
      </c>
    </row>
    <row r="191" spans="1:10" x14ac:dyDescent="0.2">
      <c r="A191" s="6">
        <f ca="1">IFERROR(__xludf.DUMMYFUNCTION("""COMPUTED_VALUE"""),190)</f>
        <v>190</v>
      </c>
      <c r="B191" s="6">
        <f ca="1">IFERROR(__xludf.DUMMYFUNCTION("""COMPUTED_VALUE"""),46191.6754976851)</f>
        <v>46191.675497685101</v>
      </c>
      <c r="C191" s="6" t="str">
        <f ca="1">IFERROR(__xludf.DUMMYFUNCTION("""COMPUTED_VALUE"""),"..")</f>
        <v>..</v>
      </c>
      <c r="D191" s="6">
        <f ca="1">IFERROR(__xludf.DUMMYFUNCTION("""COMPUTED_VALUE"""),1000000000)</f>
        <v>1000000000</v>
      </c>
      <c r="E191" s="6" t="str">
        <f ca="1">IFERROR(__xludf.DUMMYFUNCTION("""COMPUTED_VALUE"""),"상담신청")</f>
        <v>상담신청</v>
      </c>
      <c r="F191" s="6" t="str">
        <f ca="1">IFERROR(__xludf.DUMMYFUNCTION("""COMPUTED_VALUE"""),"배너")</f>
        <v>배너</v>
      </c>
      <c r="G191" s="7" t="str">
        <f ca="1">IFERROR(__xludf.DUMMYFUNCTION("""COMPUTED_VALUE"""),"https://newstart-law.com/?inType=NIP002&amp;NaPm=ci=6iqhVXSRKPTeCkvbMBLkE3NQ|tr=gfa|ct=mqj5w54f|hk=3f36d27e73c31392af75c73f69e97e2ffdd8cc90|nacn=A3Y4BIxFfJSIA")</f>
        <v>https://newstart-law.com/?inType=NIP002&amp;NaPm=ci=6iqhVXSRKPTeCkvbMBLkE3NQ|tr=gfa|ct=mqj5w54f|hk=3f36d27e73c31392af75c73f69e97e2ffdd8cc90|nacn=A3Y4BIxFfJSIA</v>
      </c>
      <c r="H191" s="6" t="str">
        <f ca="1">IFERROR(__xludf.DUMMYFUNCTION("""COMPUTED_VALUE"""),"NIP002")</f>
        <v>NIP002</v>
      </c>
      <c r="I191" s="6" t="str">
        <f ca="1">IFERROR(__xludf.DUMMYFUNCTION("""COMPUTED_VALUE"""),"")</f>
        <v/>
      </c>
      <c r="J191" s="6" t="str">
        <f ca="1">IFERROR(__xludf.DUMMYFUNCTION("""COMPUTED_VALUE"""),"PC 하단 상담폼")</f>
        <v>PC 하단 상담폼</v>
      </c>
    </row>
    <row r="192" spans="1:10" x14ac:dyDescent="0.2">
      <c r="A192" s="6">
        <f ca="1">IFERROR(__xludf.DUMMYFUNCTION("""COMPUTED_VALUE"""),191)</f>
        <v>191</v>
      </c>
      <c r="B192" s="6">
        <f ca="1">IFERROR(__xludf.DUMMYFUNCTION("""COMPUTED_VALUE"""),46191.6778587963)</f>
        <v>46191.677858796298</v>
      </c>
      <c r="C192" s="6" t="str">
        <f ca="1">IFERROR(__xludf.DUMMYFUNCTION("""COMPUTED_VALUE"""),"39.121.239.84")</f>
        <v>39.121.239.84</v>
      </c>
      <c r="D192" s="6" t="str">
        <f ca="1">IFERROR(__xludf.DUMMYFUNCTION("""COMPUTED_VALUE"""),"네이버톡톡")</f>
        <v>네이버톡톡</v>
      </c>
      <c r="E192" s="6" t="str">
        <f ca="1">IFERROR(__xludf.DUMMYFUNCTION("""COMPUTED_VALUE"""),"네이버톡톡")</f>
        <v>네이버톡톡</v>
      </c>
      <c r="F192" s="6" t="str">
        <f ca="1">IFERROR(__xludf.DUMMYFUNCTION("""COMPUTED_VALUE"""),"배너")</f>
        <v>배너</v>
      </c>
      <c r="G192" s="7" t="str">
        <f ca="1">IFERROR(__xludf.DUMMYFUNCTION("""COMPUTED_VALUE"""),"http://newstart-law.com/?inType=nim003&amp;NaPm=ci=6iZrmdYVtYR3Ojee3ldeq0NQ|tr=gfa|ct=mqj60y57|hk=6c4c480ecdc61d904c736911420f5fd3065a4334|nacn=euq3Dwh05IAfD")</f>
        <v>http://newstart-law.com/?inType=nim003&amp;NaPm=ci=6iZrmdYVtYR3Ojee3ldeq0NQ|tr=gfa|ct=mqj60y57|hk=6c4c480ecdc61d904c736911420f5fd3065a4334|nacn=euq3Dwh05IAfD</v>
      </c>
      <c r="H192" s="6" t="str">
        <f ca="1">IFERROR(__xludf.DUMMYFUNCTION("""COMPUTED_VALUE"""),"nim003")</f>
        <v>nim003</v>
      </c>
      <c r="I192" s="6" t="str">
        <f ca="1">IFERROR(__xludf.DUMMYFUNCTION("""COMPUTED_VALUE"""),"")</f>
        <v/>
      </c>
      <c r="J192" s="6" t="str">
        <f ca="1">IFERROR(__xludf.DUMMYFUNCTION("""COMPUTED_VALUE"""),"네이버 톡톡")</f>
        <v>네이버 톡톡</v>
      </c>
    </row>
    <row r="193" spans="1:10" x14ac:dyDescent="0.2">
      <c r="A193" s="6">
        <f ca="1">IFERROR(__xludf.DUMMYFUNCTION("""COMPUTED_VALUE"""),192)</f>
        <v>192</v>
      </c>
      <c r="B193" s="6">
        <f ca="1">IFERROR(__xludf.DUMMYFUNCTION("""COMPUTED_VALUE"""),46191.7345254629)</f>
        <v>46191.734525462904</v>
      </c>
      <c r="C193" s="6" t="str">
        <f ca="1">IFERROR(__xludf.DUMMYFUNCTION("""COMPUTED_VALUE"""),"211.193.250.149")</f>
        <v>211.193.250.149</v>
      </c>
      <c r="D193" s="6" t="str">
        <f ca="1">IFERROR(__xludf.DUMMYFUNCTION("""COMPUTED_VALUE"""),"카카오")</f>
        <v>카카오</v>
      </c>
      <c r="E193" s="6" t="str">
        <f ca="1">IFERROR(__xludf.DUMMYFUNCTION("""COMPUTED_VALUE"""),"카카오톡")</f>
        <v>카카오톡</v>
      </c>
      <c r="F193" s="6" t="str">
        <f ca="1">IFERROR(__xludf.DUMMYFUNCTION("""COMPUTED_VALUE"""),"배너")</f>
        <v>배너</v>
      </c>
      <c r="G193" s="7" t="str">
        <f ca="1">IFERROR(__xludf.DUMMYFUNCTION("""COMPUTED_VALUE"""),"http://newstart-law.com/?inType=NIM001&amp;NaPm=ci=6iEf8iqcZ4QRigMC9hTj-IAg|tr=gfa|ct=mqj8wniq|hk=f523590d9597dbd4e558275d0d89ee8d12e9905b|nacn=ICcyB0wsJxyU")</f>
        <v>http://newstart-law.com/?inType=NIM001&amp;NaPm=ci=6iEf8iqcZ4QRigMC9hTj-IAg|tr=gfa|ct=mqj8wniq|hk=f523590d9597dbd4e558275d0d89ee8d12e9905b|nacn=ICcyB0wsJxyU</v>
      </c>
      <c r="H193" s="6" t="str">
        <f ca="1">IFERROR(__xludf.DUMMYFUNCTION("""COMPUTED_VALUE"""),"NIM001")</f>
        <v>NIM001</v>
      </c>
      <c r="I193" s="6" t="str">
        <f ca="1">IFERROR(__xludf.DUMMYFUNCTION("""COMPUTED_VALUE"""),"")</f>
        <v/>
      </c>
      <c r="J193" s="6" t="str">
        <f ca="1">IFERROR(__xludf.DUMMYFUNCTION("""COMPUTED_VALUE"""),"카카오톡")</f>
        <v>카카오톡</v>
      </c>
    </row>
    <row r="194" spans="1:10" x14ac:dyDescent="0.2">
      <c r="A194" s="6">
        <f ca="1">IFERROR(__xludf.DUMMYFUNCTION("""COMPUTED_VALUE"""),193)</f>
        <v>193</v>
      </c>
      <c r="B194" s="6">
        <f ca="1">IFERROR(__xludf.DUMMYFUNCTION("""COMPUTED_VALUE"""),46191.9320254629)</f>
        <v>46191.932025462898</v>
      </c>
      <c r="C194" s="6" t="str">
        <f ca="1">IFERROR(__xludf.DUMMYFUNCTION("""COMPUTED_VALUE"""),"정정우")</f>
        <v>정정우</v>
      </c>
      <c r="D194" s="6">
        <f ca="1">IFERROR(__xludf.DUMMYFUNCTION("""COMPUTED_VALUE"""),1056195253)</f>
        <v>1056195253</v>
      </c>
      <c r="E194" s="6" t="str">
        <f ca="1">IFERROR(__xludf.DUMMYFUNCTION("""COMPUTED_VALUE"""),"상담신청")</f>
        <v>상담신청</v>
      </c>
      <c r="F194" s="6" t="str">
        <f ca="1">IFERROR(__xludf.DUMMYFUNCTION("""COMPUTED_VALUE"""),"검색")</f>
        <v>검색</v>
      </c>
      <c r="G194" s="7" t="str">
        <f ca="1">IFERROR(__xludf.DUMMYFUNCTION("""COMPUTED_VALUE"""),"https://www.newstart-law.com/?inType=NK&amp;n_media=8753&amp;n_query=개인회생&amp;n_rank=6&amp;n_ad_group=grp-a001-01-000000063063767&amp;n_ad=nad-a001-01-000000495340403&amp;n_keyword_id=nkw-a001-01-000007934680459&amp;n_keyword=개인회생&amp;n_campaign_type=1&amp;n_ad_group_type=1&amp;n_match=1&amp;NaPm=c"&amp;"t=mqjj3h40|ci=ER99e36620-6b18-11f1-b44e-96706a7dac00|tr=sa|hk=c8d9edb69938e8010dcb9f4ca8ae762915587448|nacn=hdFlBwAiC6Ma")</f>
        <v>https://www.newstart-law.com/?inType=NK&amp;n_media=8753&amp;n_query=개인회생&amp;n_rank=6&amp;n_ad_group=grp-a001-01-000000063063767&amp;n_ad=nad-a001-01-000000495340403&amp;n_keyword_id=nkw-a001-01-000007934680459&amp;n_keyword=개인회생&amp;n_campaign_type=1&amp;n_ad_group_type=1&amp;n_match=1&amp;NaPm=ct=mqjj3h40|ci=ER99e36620-6b18-11f1-b44e-96706a7dac00|tr=sa|hk=c8d9edb69938e8010dcb9f4ca8ae762915587448|nacn=hdFlBwAiC6Ma</v>
      </c>
      <c r="H194" s="6" t="str">
        <f ca="1">IFERROR(__xludf.DUMMYFUNCTION("""COMPUTED_VALUE"""),"NK")</f>
        <v>NK</v>
      </c>
      <c r="I194" s="6" t="str">
        <f ca="1">IFERROR(__xludf.DUMMYFUNCTION("""COMPUTED_VALUE"""),"개인회생")</f>
        <v>개인회생</v>
      </c>
      <c r="J194" s="6" t="str">
        <f ca="1">IFERROR(__xludf.DUMMYFUNCTION("""COMPUTED_VALUE"""),"모바일 하단 상담폼")</f>
        <v>모바일 하단 상담폼</v>
      </c>
    </row>
    <row r="195" spans="1:10" x14ac:dyDescent="0.2">
      <c r="A195" s="6">
        <f ca="1">IFERROR(__xludf.DUMMYFUNCTION("""COMPUTED_VALUE"""),194)</f>
        <v>194</v>
      </c>
      <c r="B195" s="6">
        <f ca="1">IFERROR(__xludf.DUMMYFUNCTION("""COMPUTED_VALUE"""),46191.9468171296)</f>
        <v>46191.946817129603</v>
      </c>
      <c r="C195" s="6" t="str">
        <f ca="1">IFERROR(__xludf.DUMMYFUNCTION("""COMPUTED_VALUE"""),"115.41.186.223")</f>
        <v>115.41.186.223</v>
      </c>
      <c r="D195" s="6" t="str">
        <f ca="1">IFERROR(__xludf.DUMMYFUNCTION("""COMPUTED_VALUE"""),"전화")</f>
        <v>전화</v>
      </c>
      <c r="E195" s="6" t="str">
        <f ca="1">IFERROR(__xludf.DUMMYFUNCTION("""COMPUTED_VALUE"""),"전화")</f>
        <v>전화</v>
      </c>
      <c r="F195" s="6" t="str">
        <f ca="1">IFERROR(__xludf.DUMMYFUNCTION("""COMPUTED_VALUE"""),"검색")</f>
        <v>검색</v>
      </c>
      <c r="G195" s="7" t="str">
        <f ca="1">IFERROR(__xludf.DUMMYFUNCTION("""COMPUTED_VALUE"""),"https://www.newstart-law.com/?inType=NK&amp;n_media=8753&amp;n_query=개인회생파산&amp;n_rank=1&amp;n_ad_group=grp-a001-01-000000063065632&amp;n_ad=nad-a001-01-000000485213835&amp;n_keyword_id=nkw-a001-01-000007951806231&amp;n_keyword=개인회생파산&amp;n_campaign_type=1&amp;n_ad_group_type=1&amp;n_match=1&amp;Na"&amp;"Pm=ct=mqjjvhtw|ci=ERa5198c9c-6b1b-11f1-a98e-3ef43d3dbc8f|tr=sa|hk=0a87551d8b09873648a6a629b8a912beb148804c|nacn=VyozB0QXrjl")</f>
        <v>https://www.newstart-law.com/?inType=NK&amp;n_media=8753&amp;n_query=개인회생파산&amp;n_rank=1&amp;n_ad_group=grp-a001-01-000000063065632&amp;n_ad=nad-a001-01-000000485213835&amp;n_keyword_id=nkw-a001-01-000007951806231&amp;n_keyword=개인회생파산&amp;n_campaign_type=1&amp;n_ad_group_type=1&amp;n_match=1&amp;NaPm=ct=mqjjvhtw|ci=ERa5198c9c-6b1b-11f1-a98e-3ef43d3dbc8f|tr=sa|hk=0a87551d8b09873648a6a629b8a912beb148804c|nacn=VyozB0QXrjl</v>
      </c>
      <c r="H195" s="6" t="str">
        <f ca="1">IFERROR(__xludf.DUMMYFUNCTION("""COMPUTED_VALUE"""),"NK")</f>
        <v>NK</v>
      </c>
      <c r="I195" s="6" t="str">
        <f ca="1">IFERROR(__xludf.DUMMYFUNCTION("""COMPUTED_VALUE"""),"개인회생파산")</f>
        <v>개인회생파산</v>
      </c>
      <c r="J195" s="6" t="str">
        <f ca="1">IFERROR(__xludf.DUMMYFUNCTION("""COMPUTED_VALUE"""),"전화 문의")</f>
        <v>전화 문의</v>
      </c>
    </row>
    <row r="196" spans="1:10" x14ac:dyDescent="0.2">
      <c r="A196" s="6">
        <f ca="1">IFERROR(__xludf.DUMMYFUNCTION("""COMPUTED_VALUE"""),195)</f>
        <v>195</v>
      </c>
      <c r="B196" s="6">
        <f ca="1">IFERROR(__xludf.DUMMYFUNCTION("""COMPUTED_VALUE"""),46192.6736111111)</f>
        <v>46192.673611111102</v>
      </c>
      <c r="C196" s="6" t="str">
        <f ca="1">IFERROR(__xludf.DUMMYFUNCTION("""COMPUTED_VALUE"""),"180.182.73.246")</f>
        <v>180.182.73.246</v>
      </c>
      <c r="D196" s="6" t="str">
        <f ca="1">IFERROR(__xludf.DUMMYFUNCTION("""COMPUTED_VALUE"""),"카카오")</f>
        <v>카카오</v>
      </c>
      <c r="E196" s="6" t="str">
        <f ca="1">IFERROR(__xludf.DUMMYFUNCTION("""COMPUTED_VALUE"""),"카카오톡")</f>
        <v>카카오톡</v>
      </c>
      <c r="F196" s="6" t="str">
        <f ca="1">IFERROR(__xludf.DUMMYFUNCTION("""COMPUTED_VALUE"""),"배너")</f>
        <v>배너</v>
      </c>
      <c r="G196" s="7" t="str">
        <f ca="1">IFERROR(__xludf.DUMMYFUNCTION("""COMPUTED_VALUE"""),"https://newstart-law.com/?inType=NIM001&amp;NaPm=ci=6jRUrVuA_0Q-6rkj8uh7dJ-w|tr=gfa|ct=mqkl8dy4|hk=6526eda94e9f1fe824638782c6edb07d81af4e1e|nacn=JQiyBwwjvi8V")</f>
        <v>https://newstart-law.com/?inType=NIM001&amp;NaPm=ci=6jRUrVuA_0Q-6rkj8uh7dJ-w|tr=gfa|ct=mqkl8dy4|hk=6526eda94e9f1fe824638782c6edb07d81af4e1e|nacn=JQiyBwwjvi8V</v>
      </c>
      <c r="H196" s="6" t="str">
        <f ca="1">IFERROR(__xludf.DUMMYFUNCTION("""COMPUTED_VALUE"""),"NIM001")</f>
        <v>NIM001</v>
      </c>
      <c r="I196" s="6" t="str">
        <f ca="1">IFERROR(__xludf.DUMMYFUNCTION("""COMPUTED_VALUE"""),"")</f>
        <v/>
      </c>
      <c r="J196" s="6" t="str">
        <f ca="1">IFERROR(__xludf.DUMMYFUNCTION("""COMPUTED_VALUE"""),"카카오톡")</f>
        <v>카카오톡</v>
      </c>
    </row>
    <row r="197" spans="1:10" x14ac:dyDescent="0.2">
      <c r="A197" s="6">
        <f ca="1">IFERROR(__xludf.DUMMYFUNCTION("""COMPUTED_VALUE"""),196)</f>
        <v>196</v>
      </c>
      <c r="B197" s="6">
        <f ca="1">IFERROR(__xludf.DUMMYFUNCTION("""COMPUTED_VALUE"""),46192.6914699074)</f>
        <v>46192.691469907397</v>
      </c>
      <c r="C197" s="6" t="str">
        <f ca="1">IFERROR(__xludf.DUMMYFUNCTION("""COMPUTED_VALUE"""),"권성빈")</f>
        <v>권성빈</v>
      </c>
      <c r="D197" s="6">
        <f ca="1">IFERROR(__xludf.DUMMYFUNCTION("""COMPUTED_VALUE"""),1089827598)</f>
        <v>1089827598</v>
      </c>
      <c r="E197" s="6" t="str">
        <f ca="1">IFERROR(__xludf.DUMMYFUNCTION("""COMPUTED_VALUE"""),"상담신청")</f>
        <v>상담신청</v>
      </c>
      <c r="F197" s="6" t="str">
        <f ca="1">IFERROR(__xludf.DUMMYFUNCTION("""COMPUTED_VALUE"""),"검색")</f>
        <v>검색</v>
      </c>
      <c r="G197" s="7" t="str">
        <f ca="1">IFERROR(__xludf.DUMMYFUNCTION("""COMPUTED_VALUE"""),"https://www.newstart-law.com/?inType=NK&amp;n_media=27758&amp;n_query=회생&amp;n_rank=7&amp;n_ad_group=grp-a001-01-000000063065651&amp;n_ad=nad-a001-01-000000495459437&amp;n_keyword_id=nkw-a001-01-000007951807360&amp;n_keyword=회생&amp;n_campaign_type=1&amp;n_ad_group_type=1&amp;n_match=1&amp;NaPm=ct=m"&amp;"qkm6jbc|ci=ER730e0d03-6bb1-11f1-bab5-d227dfb109da|tr=sa|hk=f7ed8f1e43ffb7136d6a0fa227cebd94e45c2d99|nacn=rtnBBYwadKgS")</f>
        <v>https://www.newstart-law.com/?inType=NK&amp;n_media=27758&amp;n_query=회생&amp;n_rank=7&amp;n_ad_group=grp-a001-01-000000063065651&amp;n_ad=nad-a001-01-000000495459437&amp;n_keyword_id=nkw-a001-01-000007951807360&amp;n_keyword=회생&amp;n_campaign_type=1&amp;n_ad_group_type=1&amp;n_match=1&amp;NaPm=ct=mqkm6jbc|ci=ER730e0d03-6bb1-11f1-bab5-d227dfb109da|tr=sa|hk=f7ed8f1e43ffb7136d6a0fa227cebd94e45c2d99|nacn=rtnBBYwadKgS</v>
      </c>
      <c r="H197" s="6" t="str">
        <f ca="1">IFERROR(__xludf.DUMMYFUNCTION("""COMPUTED_VALUE"""),"NK")</f>
        <v>NK</v>
      </c>
      <c r="I197" s="6" t="str">
        <f ca="1">IFERROR(__xludf.DUMMYFUNCTION("""COMPUTED_VALUE"""),"회생")</f>
        <v>회생</v>
      </c>
      <c r="J197" s="6" t="str">
        <f ca="1">IFERROR(__xludf.DUMMYFUNCTION("""COMPUTED_VALUE"""),"메인 상단 상담폼")</f>
        <v>메인 상단 상담폼</v>
      </c>
    </row>
    <row r="198" spans="1:10" x14ac:dyDescent="0.2">
      <c r="A198" s="6">
        <f ca="1">IFERROR(__xludf.DUMMYFUNCTION("""COMPUTED_VALUE"""),197)</f>
        <v>197</v>
      </c>
      <c r="B198" s="6">
        <f ca="1">IFERROR(__xludf.DUMMYFUNCTION("""COMPUTED_VALUE"""),46192.7344675925)</f>
        <v>46192.734467592498</v>
      </c>
      <c r="C198" s="6" t="str">
        <f ca="1">IFERROR(__xludf.DUMMYFUNCTION("""COMPUTED_VALUE"""),"이영설")</f>
        <v>이영설</v>
      </c>
      <c r="D198" s="6">
        <f ca="1">IFERROR(__xludf.DUMMYFUNCTION("""COMPUTED_VALUE"""),1088648300)</f>
        <v>1088648300</v>
      </c>
      <c r="E198" s="6" t="str">
        <f ca="1">IFERROR(__xludf.DUMMYFUNCTION("""COMPUTED_VALUE"""),"상담신청")</f>
        <v>상담신청</v>
      </c>
      <c r="F198" s="6" t="str">
        <f ca="1">IFERROR(__xludf.DUMMYFUNCTION("""COMPUTED_VALUE"""),"배너")</f>
        <v>배너</v>
      </c>
      <c r="G198" s="7" t="str">
        <f ca="1">IFERROR(__xludf.DUMMYFUNCTION("""COMPUTED_VALUE"""),"https://newstart-law.com/?inType=nim_sq02&amp;NaPm=ci=6jVPO2EaP6QQCziQMHFrA-DQ|tr=gfa|ct=mqkoalo3|hk=a6f80e9ee6049ef3236417037a00562b5a234a44|nacn=fMPACAhd46hOB")</f>
        <v>https://newstart-law.com/?inType=nim_sq02&amp;NaPm=ci=6jVPO2EaP6QQCziQMHFrA-DQ|tr=gfa|ct=mqkoalo3|hk=a6f80e9ee6049ef3236417037a00562b5a234a44|nacn=fMPACAhd46hOB</v>
      </c>
      <c r="H198" s="6" t="str">
        <f ca="1">IFERROR(__xludf.DUMMYFUNCTION("""COMPUTED_VALUE"""),"nim_sq02")</f>
        <v>nim_sq02</v>
      </c>
      <c r="I198" s="6" t="str">
        <f ca="1">IFERROR(__xludf.DUMMYFUNCTION("""COMPUTED_VALUE"""),"")</f>
        <v/>
      </c>
      <c r="J198" s="6" t="str">
        <f ca="1">IFERROR(__xludf.DUMMYFUNCTION("""COMPUTED_VALUE"""),"AI 진단")</f>
        <v>AI 진단</v>
      </c>
    </row>
    <row r="199" spans="1:10" x14ac:dyDescent="0.2">
      <c r="A199" s="6">
        <f ca="1">IFERROR(__xludf.DUMMYFUNCTION("""COMPUTED_VALUE"""),198)</f>
        <v>198</v>
      </c>
      <c r="B199" s="6">
        <f ca="1">IFERROR(__xludf.DUMMYFUNCTION("""COMPUTED_VALUE"""),46192.7348263888)</f>
        <v>46192.734826388798</v>
      </c>
      <c r="C199" s="6" t="str">
        <f ca="1">IFERROR(__xludf.DUMMYFUNCTION("""COMPUTED_VALUE"""),"119.202.239.184")</f>
        <v>119.202.239.184</v>
      </c>
      <c r="D199" s="6" t="str">
        <f ca="1">IFERROR(__xludf.DUMMYFUNCTION("""COMPUTED_VALUE"""),"카카오")</f>
        <v>카카오</v>
      </c>
      <c r="E199" s="6" t="str">
        <f ca="1">IFERROR(__xludf.DUMMYFUNCTION("""COMPUTED_VALUE"""),"카카오톡")</f>
        <v>카카오톡</v>
      </c>
      <c r="F199" s="6" t="str">
        <f ca="1">IFERROR(__xludf.DUMMYFUNCTION("""COMPUTED_VALUE"""),"배너")</f>
        <v>배너</v>
      </c>
      <c r="G199" s="7" t="str">
        <f ca="1">IFERROR(__xludf.DUMMYFUNCTION("""COMPUTED_VALUE"""),"https://newstart-law.com/?inType=nim_sq02&amp;NaPm=ci=6jVPO2EaP6QQCziQMHFrA-DQ|tr=gfa|ct=mqkoalo3|hk=a6f80e9ee6049ef3236417037a00562b5a234a44|nacn=fMPACAhd46hOB")</f>
        <v>https://newstart-law.com/?inType=nim_sq02&amp;NaPm=ci=6jVPO2EaP6QQCziQMHFrA-DQ|tr=gfa|ct=mqkoalo3|hk=a6f80e9ee6049ef3236417037a00562b5a234a44|nacn=fMPACAhd46hOB</v>
      </c>
      <c r="H199" s="6" t="str">
        <f ca="1">IFERROR(__xludf.DUMMYFUNCTION("""COMPUTED_VALUE"""),"nim_sq02")</f>
        <v>nim_sq02</v>
      </c>
      <c r="I199" s="6" t="str">
        <f ca="1">IFERROR(__xludf.DUMMYFUNCTION("""COMPUTED_VALUE"""),"")</f>
        <v/>
      </c>
      <c r="J199" s="6" t="str">
        <f ca="1">IFERROR(__xludf.DUMMYFUNCTION("""COMPUTED_VALUE"""),"카카오톡")</f>
        <v>카카오톡</v>
      </c>
    </row>
    <row r="200" spans="1:10" x14ac:dyDescent="0.2">
      <c r="A200" s="6">
        <f ca="1">IFERROR(__xludf.DUMMYFUNCTION("""COMPUTED_VALUE"""),199)</f>
        <v>199</v>
      </c>
      <c r="B200" s="6">
        <f ca="1">IFERROR(__xludf.DUMMYFUNCTION("""COMPUTED_VALUE"""),46192.7379976851)</f>
        <v>46192.737997685101</v>
      </c>
      <c r="C200" s="6" t="str">
        <f ca="1">IFERROR(__xludf.DUMMYFUNCTION("""COMPUTED_VALUE"""),"116.124.82.69")</f>
        <v>116.124.82.69</v>
      </c>
      <c r="D200" s="6" t="str">
        <f ca="1">IFERROR(__xludf.DUMMYFUNCTION("""COMPUTED_VALUE"""),"전화")</f>
        <v>전화</v>
      </c>
      <c r="E200" s="6" t="str">
        <f ca="1">IFERROR(__xludf.DUMMYFUNCTION("""COMPUTED_VALUE"""),"전화")</f>
        <v>전화</v>
      </c>
      <c r="F200" s="6" t="str">
        <f ca="1">IFERROR(__xludf.DUMMYFUNCTION("""COMPUTED_VALUE"""),"배너")</f>
        <v>배너</v>
      </c>
      <c r="G200" s="7" t="str">
        <f ca="1">IFERROR(__xludf.DUMMYFUNCTION("""COMPUTED_VALUE"""),"https://newstart-law.com/?inType=NIM001&amp;NaPm=ci=6jVioOwy87TqCtDESczCTbEA|tr=gfa|ct=mqkokwlm|hk=f332b6e19ef6b2bf08741069d144809d31cfc597|nacn=tYRPBoAZnLBs")</f>
        <v>https://newstart-law.com/?inType=NIM001&amp;NaPm=ci=6jVioOwy87TqCtDESczCTbEA|tr=gfa|ct=mqkokwlm|hk=f332b6e19ef6b2bf08741069d144809d31cfc597|nacn=tYRPBoAZnLBs</v>
      </c>
      <c r="H200" s="6" t="str">
        <f ca="1">IFERROR(__xludf.DUMMYFUNCTION("""COMPUTED_VALUE"""),"NIM001")</f>
        <v>NIM001</v>
      </c>
      <c r="I200" s="6" t="str">
        <f ca="1">IFERROR(__xludf.DUMMYFUNCTION("""COMPUTED_VALUE"""),"")</f>
        <v/>
      </c>
      <c r="J200" s="6" t="str">
        <f ca="1">IFERROR(__xludf.DUMMYFUNCTION("""COMPUTED_VALUE"""),"전화 문의")</f>
        <v>전화 문의</v>
      </c>
    </row>
    <row r="201" spans="1:10" x14ac:dyDescent="0.2">
      <c r="A201" s="6">
        <f ca="1">IFERROR(__xludf.DUMMYFUNCTION("""COMPUTED_VALUE"""),200)</f>
        <v>200</v>
      </c>
      <c r="B201" s="6">
        <f ca="1">IFERROR(__xludf.DUMMYFUNCTION("""COMPUTED_VALUE"""),46192.9026273148)</f>
        <v>46192.902627314797</v>
      </c>
      <c r="C201" s="6" t="str">
        <f ca="1">IFERROR(__xludf.DUMMYFUNCTION("""COMPUTED_VALUE"""),"정준식")</f>
        <v>정준식</v>
      </c>
      <c r="D201" s="6">
        <f ca="1">IFERROR(__xludf.DUMMYFUNCTION("""COMPUTED_VALUE"""),1058408070)</f>
        <v>1058408070</v>
      </c>
      <c r="E201" s="6" t="str">
        <f ca="1">IFERROR(__xludf.DUMMYFUNCTION("""COMPUTED_VALUE"""),"상담신청")</f>
        <v>상담신청</v>
      </c>
      <c r="F201" s="6" t="str">
        <f ca="1">IFERROR(__xludf.DUMMYFUNCTION("""COMPUTED_VALUE"""),"검색")</f>
        <v>검색</v>
      </c>
      <c r="G201" s="7" t="str">
        <f ca="1">IFERROR(__xludf.DUMMYFUNCTION("""COMPUTED_VALUE"""),"https://www.newstart-law.com/?inType=NK&amp;n_media=27758&amp;n_query=개인회생&amp;n_rank=4&amp;n_ad_group=grp-a001-01-000000063063607&amp;n_ad=nad-a001-01-000000485213830&amp;n_keyword_id=nkw-a001-01-000007934681996&amp;n_keyword=개인회생&amp;n_campaign_type=1&amp;n_ad_group_type=1&amp;n_match=1&amp;NaPm="&amp;"ct=mqkwy5ig|ci=ER8e571ed2-6bdb-11f1-a9b8-6e3ae24fc82e|tr=sa|hk=e74c8c7a88b6181ec7b0594c4ca5a0a81c5dfbd0|nacn=ivzbBEhB33pa")</f>
        <v>https://www.newstart-law.com/?inType=NK&amp;n_media=27758&amp;n_query=개인회생&amp;n_rank=4&amp;n_ad_group=grp-a001-01-000000063063607&amp;n_ad=nad-a001-01-000000485213830&amp;n_keyword_id=nkw-a001-01-000007934681996&amp;n_keyword=개인회생&amp;n_campaign_type=1&amp;n_ad_group_type=1&amp;n_match=1&amp;NaPm=ct=mqkwy5ig|ci=ER8e571ed2-6bdb-11f1-a9b8-6e3ae24fc82e|tr=sa|hk=e74c8c7a88b6181ec7b0594c4ca5a0a81c5dfbd0|nacn=ivzbBEhB33pa</v>
      </c>
      <c r="H201" s="6" t="str">
        <f ca="1">IFERROR(__xludf.DUMMYFUNCTION("""COMPUTED_VALUE"""),"NK")</f>
        <v>NK</v>
      </c>
      <c r="I201" s="6" t="str">
        <f ca="1">IFERROR(__xludf.DUMMYFUNCTION("""COMPUTED_VALUE"""),"개인회생")</f>
        <v>개인회생</v>
      </c>
      <c r="J201" s="6" t="str">
        <f ca="1">IFERROR(__xludf.DUMMYFUNCTION("""COMPUTED_VALUE"""),"PC 하단 상담폼")</f>
        <v>PC 하단 상담폼</v>
      </c>
    </row>
    <row r="202" spans="1:10" x14ac:dyDescent="0.2">
      <c r="A202" s="6">
        <f ca="1">IFERROR(__xludf.DUMMYFUNCTION("""COMPUTED_VALUE"""),201)</f>
        <v>201</v>
      </c>
      <c r="B202" s="6">
        <f ca="1">IFERROR(__xludf.DUMMYFUNCTION("""COMPUTED_VALUE"""),46194.8181944444)</f>
        <v>46194.8181944444</v>
      </c>
      <c r="C202" s="6" t="str">
        <f ca="1">IFERROR(__xludf.DUMMYFUNCTION("""COMPUTED_VALUE"""),"106.101.70.151")</f>
        <v>106.101.70.151</v>
      </c>
      <c r="D202" s="6" t="str">
        <f ca="1">IFERROR(__xludf.DUMMYFUNCTION("""COMPUTED_VALUE"""),"전화")</f>
        <v>전화</v>
      </c>
      <c r="E202" s="6" t="str">
        <f ca="1">IFERROR(__xludf.DUMMYFUNCTION("""COMPUTED_VALUE"""),"전화")</f>
        <v>전화</v>
      </c>
      <c r="F202" s="6" t="str">
        <f ca="1">IFERROR(__xludf.DUMMYFUNCTION("""COMPUTED_VALUE"""),"유입확인불가")</f>
        <v>유입확인불가</v>
      </c>
      <c r="G202" s="7" t="str">
        <f ca="1">IFERROR(__xludf.DUMMYFUNCTION("""COMPUTED_VALUE"""),"https://www.newstart-law.com/")</f>
        <v>https://www.newstart-law.com/</v>
      </c>
      <c r="H202" s="6" t="str">
        <f ca="1">IFERROR(__xludf.DUMMYFUNCTION("""COMPUTED_VALUE"""),"")</f>
        <v/>
      </c>
      <c r="I202" s="6" t="str">
        <f ca="1">IFERROR(__xludf.DUMMYFUNCTION("""COMPUTED_VALUE"""),"")</f>
        <v/>
      </c>
      <c r="J202" s="6" t="str">
        <f ca="1">IFERROR(__xludf.DUMMYFUNCTION("""COMPUTED_VALUE"""),"전화 문의")</f>
        <v>전화 문의</v>
      </c>
    </row>
    <row r="203" spans="1:10" x14ac:dyDescent="0.2">
      <c r="A203" s="6">
        <f ca="1">IFERROR(__xludf.DUMMYFUNCTION("""COMPUTED_VALUE"""),202)</f>
        <v>202</v>
      </c>
      <c r="B203" s="6">
        <f ca="1">IFERROR(__xludf.DUMMYFUNCTION("""COMPUTED_VALUE"""),46194.8182986111)</f>
        <v>46194.818298611099</v>
      </c>
      <c r="C203" s="6" t="str">
        <f ca="1">IFERROR(__xludf.DUMMYFUNCTION("""COMPUTED_VALUE"""),"106.101.70.151")</f>
        <v>106.101.70.151</v>
      </c>
      <c r="D203" s="6" t="str">
        <f ca="1">IFERROR(__xludf.DUMMYFUNCTION("""COMPUTED_VALUE"""),"카카오")</f>
        <v>카카오</v>
      </c>
      <c r="E203" s="6" t="str">
        <f ca="1">IFERROR(__xludf.DUMMYFUNCTION("""COMPUTED_VALUE"""),"카카오톡")</f>
        <v>카카오톡</v>
      </c>
      <c r="F203" s="6" t="str">
        <f ca="1">IFERROR(__xludf.DUMMYFUNCTION("""COMPUTED_VALUE"""),"유입확인불가")</f>
        <v>유입확인불가</v>
      </c>
      <c r="G203" s="7" t="str">
        <f ca="1">IFERROR(__xludf.DUMMYFUNCTION("""COMPUTED_VALUE"""),"https://www.newstart-law.com/")</f>
        <v>https://www.newstart-law.com/</v>
      </c>
      <c r="H203" s="6" t="str">
        <f ca="1">IFERROR(__xludf.DUMMYFUNCTION("""COMPUTED_VALUE"""),"")</f>
        <v/>
      </c>
      <c r="I203" s="6" t="str">
        <f ca="1">IFERROR(__xludf.DUMMYFUNCTION("""COMPUTED_VALUE"""),"")</f>
        <v/>
      </c>
      <c r="J203" s="6" t="str">
        <f ca="1">IFERROR(__xludf.DUMMYFUNCTION("""COMPUTED_VALUE"""),"카카오톡")</f>
        <v>카카오톡</v>
      </c>
    </row>
    <row r="204" spans="1:10" x14ac:dyDescent="0.2">
      <c r="A204" s="6">
        <f ca="1">IFERROR(__xludf.DUMMYFUNCTION("""COMPUTED_VALUE"""),203)</f>
        <v>203</v>
      </c>
      <c r="B204" s="6">
        <f ca="1">IFERROR(__xludf.DUMMYFUNCTION("""COMPUTED_VALUE"""),46195.4046527777)</f>
        <v>46195.404652777703</v>
      </c>
      <c r="C204" s="6" t="str">
        <f ca="1">IFERROR(__xludf.DUMMYFUNCTION("""COMPUTED_VALUE"""),"백돔욱")</f>
        <v>백돔욱</v>
      </c>
      <c r="D204" s="6">
        <f ca="1">IFERROR(__xludf.DUMMYFUNCTION("""COMPUTED_VALUE"""),102240557)</f>
        <v>102240557</v>
      </c>
      <c r="E204" s="6" t="str">
        <f ca="1">IFERROR(__xludf.DUMMYFUNCTION("""COMPUTED_VALUE"""),"상담신청")</f>
        <v>상담신청</v>
      </c>
      <c r="F204" s="6" t="str">
        <f ca="1">IFERROR(__xludf.DUMMYFUNCTION("""COMPUTED_VALUE"""),"배너")</f>
        <v>배너</v>
      </c>
      <c r="G204" s="7" t="str">
        <f ca="1">IFERROR(__xludf.DUMMYFUNCTION("""COMPUTED_VALUE"""),"https://newstart-law.com/?inType=NIM001&amp;NaPm=ci=6m8XjJUOz0Q6e6v_96gxLVlQ|tr=gfa|ct=mqohp9xq|hk=e35c13fcf8d9171edd8fe152a9f278ee7d6537cc|nacn=IfdMCQCVozM0B")</f>
        <v>https://newstart-law.com/?inType=NIM001&amp;NaPm=ci=6m8XjJUOz0Q6e6v_96gxLVlQ|tr=gfa|ct=mqohp9xq|hk=e35c13fcf8d9171edd8fe152a9f278ee7d6537cc|nacn=IfdMCQCVozM0B</v>
      </c>
      <c r="H204" s="6" t="str">
        <f ca="1">IFERROR(__xludf.DUMMYFUNCTION("""COMPUTED_VALUE"""),"NIM001")</f>
        <v>NIM001</v>
      </c>
      <c r="I204" s="6" t="str">
        <f ca="1">IFERROR(__xludf.DUMMYFUNCTION("""COMPUTED_VALUE"""),"")</f>
        <v/>
      </c>
      <c r="J204" s="6" t="str">
        <f ca="1">IFERROR(__xludf.DUMMYFUNCTION("""COMPUTED_VALUE"""),"모바일 하단 상담폼")</f>
        <v>모바일 하단 상담폼</v>
      </c>
    </row>
    <row r="205" spans="1:10" x14ac:dyDescent="0.2">
      <c r="A205" s="6">
        <f ca="1">IFERROR(__xludf.DUMMYFUNCTION("""COMPUTED_VALUE"""),204)</f>
        <v>204</v>
      </c>
      <c r="B205" s="6">
        <f ca="1">IFERROR(__xludf.DUMMYFUNCTION("""COMPUTED_VALUE"""),46195.5104398148)</f>
        <v>46195.510439814803</v>
      </c>
      <c r="C205" s="6" t="str">
        <f ca="1">IFERROR(__xludf.DUMMYFUNCTION("""COMPUTED_VALUE"""),"김영준")</f>
        <v>김영준</v>
      </c>
      <c r="D205" s="6">
        <f ca="1">IFERROR(__xludf.DUMMYFUNCTION("""COMPUTED_VALUE"""),1079808571)</f>
        <v>1079808571</v>
      </c>
      <c r="E205" s="6" t="str">
        <f ca="1">IFERROR(__xludf.DUMMYFUNCTION("""COMPUTED_VALUE"""),"상담신청")</f>
        <v>상담신청</v>
      </c>
      <c r="F205" s="6" t="str">
        <f ca="1">IFERROR(__xludf.DUMMYFUNCTION("""COMPUTED_VALUE"""),"배너")</f>
        <v>배너</v>
      </c>
      <c r="G205" s="7" t="str">
        <f ca="1">IFERROR(__xludf.DUMMYFUNCTION("""COMPUTED_VALUE"""),"http://newstart-law.com/?inType=nim_sq01&amp;NaPm=ci=6mwbPQh4fkT1eSiEV9FdaFAw|tr=gfa|ct=mqon5ca3|hk=f778c683ef8673b48ceba9a21ca2abd4244a9543|nacn=53sbBwAGaObk")</f>
        <v>http://newstart-law.com/?inType=nim_sq01&amp;NaPm=ci=6mwbPQh4fkT1eSiEV9FdaFAw|tr=gfa|ct=mqon5ca3|hk=f778c683ef8673b48ceba9a21ca2abd4244a9543|nacn=53sbBwAGaObk</v>
      </c>
      <c r="H205" s="6" t="str">
        <f ca="1">IFERROR(__xludf.DUMMYFUNCTION("""COMPUTED_VALUE"""),"nim_sq01")</f>
        <v>nim_sq01</v>
      </c>
      <c r="I205" s="6" t="str">
        <f ca="1">IFERROR(__xludf.DUMMYFUNCTION("""COMPUTED_VALUE"""),"")</f>
        <v/>
      </c>
      <c r="J205" s="6" t="str">
        <f ca="1">IFERROR(__xludf.DUMMYFUNCTION("""COMPUTED_VALUE"""),"모바일 하단 상담폼")</f>
        <v>모바일 하단 상담폼</v>
      </c>
    </row>
    <row r="206" spans="1:10" x14ac:dyDescent="0.2">
      <c r="A206" s="6">
        <f ca="1">IFERROR(__xludf.DUMMYFUNCTION("""COMPUTED_VALUE"""),205)</f>
        <v>205</v>
      </c>
      <c r="B206" s="6">
        <f ca="1">IFERROR(__xludf.DUMMYFUNCTION("""COMPUTED_VALUE"""),46195.5115277777)</f>
        <v>46195.5115277777</v>
      </c>
      <c r="C206" s="6" t="str">
        <f ca="1">IFERROR(__xludf.DUMMYFUNCTION("""COMPUTED_VALUE"""),"124.50.192.46")</f>
        <v>124.50.192.46</v>
      </c>
      <c r="D206" s="6" t="str">
        <f ca="1">IFERROR(__xludf.DUMMYFUNCTION("""COMPUTED_VALUE"""),"카카오")</f>
        <v>카카오</v>
      </c>
      <c r="E206" s="6" t="str">
        <f ca="1">IFERROR(__xludf.DUMMYFUNCTION("""COMPUTED_VALUE"""),"카카오톡")</f>
        <v>카카오톡</v>
      </c>
      <c r="F206" s="6" t="str">
        <f ca="1">IFERROR(__xludf.DUMMYFUNCTION("""COMPUTED_VALUE"""),"배너")</f>
        <v>배너</v>
      </c>
      <c r="G206" s="7" t="str">
        <f ca="1">IFERROR(__xludf.DUMMYFUNCTION("""COMPUTED_VALUE"""),"http://newstart-law.com/?inType=NIM001&amp;NaPm=ci=6mIt3BBjHtSS-QWjeh3Hh_yA|tr=gfa|ct=mqomoara|hk=d19827732795a0caeac10012552868d436937bb6|nacn=yrz6BgABeWPZB")</f>
        <v>http://newstart-law.com/?inType=NIM001&amp;NaPm=ci=6mIt3BBjHtSS-QWjeh3Hh_yA|tr=gfa|ct=mqomoara|hk=d19827732795a0caeac10012552868d436937bb6|nacn=yrz6BgABeWPZB</v>
      </c>
      <c r="H206" s="6" t="str">
        <f ca="1">IFERROR(__xludf.DUMMYFUNCTION("""COMPUTED_VALUE"""),"NIM001")</f>
        <v>NIM001</v>
      </c>
      <c r="I206" s="6" t="str">
        <f ca="1">IFERROR(__xludf.DUMMYFUNCTION("""COMPUTED_VALUE"""),"")</f>
        <v/>
      </c>
      <c r="J206" s="6" t="str">
        <f ca="1">IFERROR(__xludf.DUMMYFUNCTION("""COMPUTED_VALUE"""),"카카오톡")</f>
        <v>카카오톡</v>
      </c>
    </row>
    <row r="207" spans="1:10" x14ac:dyDescent="0.2">
      <c r="A207" s="6">
        <f ca="1">IFERROR(__xludf.DUMMYFUNCTION("""COMPUTED_VALUE"""),206)</f>
        <v>206</v>
      </c>
      <c r="B207" s="6">
        <f ca="1">IFERROR(__xludf.DUMMYFUNCTION("""COMPUTED_VALUE"""),46195.5476157407)</f>
        <v>46195.547615740703</v>
      </c>
      <c r="C207" s="6" t="str">
        <f ca="1">IFERROR(__xludf.DUMMYFUNCTION("""COMPUTED_VALUE"""),"118.235.81.80")</f>
        <v>118.235.81.80</v>
      </c>
      <c r="D207" s="6" t="str">
        <f ca="1">IFERROR(__xludf.DUMMYFUNCTION("""COMPUTED_VALUE"""),"전화")</f>
        <v>전화</v>
      </c>
      <c r="E207" s="6" t="str">
        <f ca="1">IFERROR(__xludf.DUMMYFUNCTION("""COMPUTED_VALUE"""),"전화")</f>
        <v>전화</v>
      </c>
      <c r="F207" s="6" t="str">
        <f ca="1">IFERROR(__xludf.DUMMYFUNCTION("""COMPUTED_VALUE"""),"배너")</f>
        <v>배너</v>
      </c>
      <c r="G207" s="7" t="str">
        <f ca="1">IFERROR(__xludf.DUMMYFUNCTION("""COMPUTED_VALUE"""),"http://newstart-law.com/?inType=NIM001&amp;NaPm=ci=6mMU6jbVu1TfGd08chnq00xA|tr=gfa|ct=mqop3k8l|hk=bf099f891badea92d45dc300892d631005abae09|nacn=8c2XB4Qje5NwA")</f>
        <v>http://newstart-law.com/?inType=NIM001&amp;NaPm=ci=6mMU6jbVu1TfGd08chnq00xA|tr=gfa|ct=mqop3k8l|hk=bf099f891badea92d45dc300892d631005abae09|nacn=8c2XB4Qje5NwA</v>
      </c>
      <c r="H207" s="6" t="str">
        <f ca="1">IFERROR(__xludf.DUMMYFUNCTION("""COMPUTED_VALUE"""),"NIM001")</f>
        <v>NIM001</v>
      </c>
      <c r="I207" s="6" t="str">
        <f ca="1">IFERROR(__xludf.DUMMYFUNCTION("""COMPUTED_VALUE"""),"")</f>
        <v/>
      </c>
      <c r="J207" s="6" t="str">
        <f ca="1">IFERROR(__xludf.DUMMYFUNCTION("""COMPUTED_VALUE"""),"전화 문의")</f>
        <v>전화 문의</v>
      </c>
    </row>
    <row r="208" spans="1:10" x14ac:dyDescent="0.2">
      <c r="A208" s="6">
        <f ca="1">IFERROR(__xludf.DUMMYFUNCTION("""COMPUTED_VALUE"""),207)</f>
        <v>207</v>
      </c>
      <c r="B208" s="6">
        <f ca="1">IFERROR(__xludf.DUMMYFUNCTION("""COMPUTED_VALUE"""),46195.5718402777)</f>
        <v>46195.571840277698</v>
      </c>
      <c r="C208" s="6" t="str">
        <f ca="1">IFERROR(__xludf.DUMMYFUNCTION("""COMPUTED_VALUE"""),"119.192.66.95")</f>
        <v>119.192.66.95</v>
      </c>
      <c r="D208" s="6" t="str">
        <f ca="1">IFERROR(__xludf.DUMMYFUNCTION("""COMPUTED_VALUE"""),"카카오")</f>
        <v>카카오</v>
      </c>
      <c r="E208" s="6" t="str">
        <f ca="1">IFERROR(__xludf.DUMMYFUNCTION("""COMPUTED_VALUE"""),"카카오톡")</f>
        <v>카카오톡</v>
      </c>
      <c r="F208" s="6" t="str">
        <f ca="1">IFERROR(__xludf.DUMMYFUNCTION("""COMPUTED_VALUE"""),"유입확인불가")</f>
        <v>유입확인불가</v>
      </c>
      <c r="G208" s="7" t="str">
        <f ca="1">IFERROR(__xludf.DUMMYFUNCTION("""COMPUTED_VALUE"""),"https://www.newstart-law.com/")</f>
        <v>https://www.newstart-law.com/</v>
      </c>
      <c r="H208" s="6" t="str">
        <f ca="1">IFERROR(__xludf.DUMMYFUNCTION("""COMPUTED_VALUE"""),"")</f>
        <v/>
      </c>
      <c r="I208" s="6" t="str">
        <f ca="1">IFERROR(__xludf.DUMMYFUNCTION("""COMPUTED_VALUE"""),"")</f>
        <v/>
      </c>
      <c r="J208" s="6" t="str">
        <f ca="1">IFERROR(__xludf.DUMMYFUNCTION("""COMPUTED_VALUE"""),"카카오톡")</f>
        <v>카카오톡</v>
      </c>
    </row>
    <row r="209" spans="1:10" x14ac:dyDescent="0.2">
      <c r="A209" s="6">
        <f ca="1">IFERROR(__xludf.DUMMYFUNCTION("""COMPUTED_VALUE"""),208)</f>
        <v>208</v>
      </c>
      <c r="B209" s="6">
        <f ca="1">IFERROR(__xludf.DUMMYFUNCTION("""COMPUTED_VALUE"""),46195.5977083333)</f>
        <v>46195.597708333298</v>
      </c>
      <c r="C209" s="6" t="str">
        <f ca="1">IFERROR(__xludf.DUMMYFUNCTION("""COMPUTED_VALUE"""),"61.75.150.158")</f>
        <v>61.75.150.158</v>
      </c>
      <c r="D209" s="6" t="str">
        <f ca="1">IFERROR(__xludf.DUMMYFUNCTION("""COMPUTED_VALUE"""),"전화")</f>
        <v>전화</v>
      </c>
      <c r="E209" s="6" t="str">
        <f ca="1">IFERROR(__xludf.DUMMYFUNCTION("""COMPUTED_VALUE"""),"전화")</f>
        <v>전화</v>
      </c>
      <c r="F209" s="6" t="str">
        <f ca="1">IFERROR(__xludf.DUMMYFUNCTION("""COMPUTED_VALUE"""),"배너")</f>
        <v>배너</v>
      </c>
      <c r="G209" s="7" t="str">
        <f ca="1">IFERROR(__xludf.DUMMYFUNCTION("""COMPUTED_VALUE"""),"http://newstart-law.com/?inType=nim_sq01&amp;NaPm=ci=6mlun0Ti6wS8qDhTu9QflAcg|tr=gfa|ct=mqorofj3|hk=ff396c175fa5831e7f3dec32f3a973c2cb8ea5f0|nacn=ufOeHQCl7xIaB")</f>
        <v>http://newstart-law.com/?inType=nim_sq01&amp;NaPm=ci=6mlun0Ti6wS8qDhTu9QflAcg|tr=gfa|ct=mqorofj3|hk=ff396c175fa5831e7f3dec32f3a973c2cb8ea5f0|nacn=ufOeHQCl7xIaB</v>
      </c>
      <c r="H209" s="6" t="str">
        <f ca="1">IFERROR(__xludf.DUMMYFUNCTION("""COMPUTED_VALUE"""),"nim_sq01")</f>
        <v>nim_sq01</v>
      </c>
      <c r="I209" s="6" t="str">
        <f ca="1">IFERROR(__xludf.DUMMYFUNCTION("""COMPUTED_VALUE"""),"")</f>
        <v/>
      </c>
      <c r="J209" s="6" t="str">
        <f ca="1">IFERROR(__xludf.DUMMYFUNCTION("""COMPUTED_VALUE"""),"전화 문의")</f>
        <v>전화 문의</v>
      </c>
    </row>
    <row r="210" spans="1:10" x14ac:dyDescent="0.2">
      <c r="A210" s="6">
        <f ca="1">IFERROR(__xludf.DUMMYFUNCTION("""COMPUTED_VALUE"""),209)</f>
        <v>209</v>
      </c>
      <c r="B210" s="6">
        <f ca="1">IFERROR(__xludf.DUMMYFUNCTION("""COMPUTED_VALUE"""),46195.5977777777)</f>
        <v>46195.597777777701</v>
      </c>
      <c r="C210" s="6" t="str">
        <f ca="1">IFERROR(__xludf.DUMMYFUNCTION("""COMPUTED_VALUE"""),"61.75.150.158")</f>
        <v>61.75.150.158</v>
      </c>
      <c r="D210" s="6" t="str">
        <f ca="1">IFERROR(__xludf.DUMMYFUNCTION("""COMPUTED_VALUE"""),"카카오")</f>
        <v>카카오</v>
      </c>
      <c r="E210" s="6" t="str">
        <f ca="1">IFERROR(__xludf.DUMMYFUNCTION("""COMPUTED_VALUE"""),"카카오톡")</f>
        <v>카카오톡</v>
      </c>
      <c r="F210" s="6" t="str">
        <f ca="1">IFERROR(__xludf.DUMMYFUNCTION("""COMPUTED_VALUE"""),"배너")</f>
        <v>배너</v>
      </c>
      <c r="G210" s="7" t="str">
        <f ca="1">IFERROR(__xludf.DUMMYFUNCTION("""COMPUTED_VALUE"""),"http://newstart-law.com/?inType=nim_sq01&amp;NaPm=ci=6mlun0Ti6wS8qDhTu9QflAcg|tr=gfa|ct=mqorofj3|hk=ff396c175fa5831e7f3dec32f3a973c2cb8ea5f0|nacn=ufOeHQCl7xIaB")</f>
        <v>http://newstart-law.com/?inType=nim_sq01&amp;NaPm=ci=6mlun0Ti6wS8qDhTu9QflAcg|tr=gfa|ct=mqorofj3|hk=ff396c175fa5831e7f3dec32f3a973c2cb8ea5f0|nacn=ufOeHQCl7xIaB</v>
      </c>
      <c r="H210" s="6" t="str">
        <f ca="1">IFERROR(__xludf.DUMMYFUNCTION("""COMPUTED_VALUE"""),"nim_sq01")</f>
        <v>nim_sq01</v>
      </c>
      <c r="I210" s="6" t="str">
        <f ca="1">IFERROR(__xludf.DUMMYFUNCTION("""COMPUTED_VALUE"""),"")</f>
        <v/>
      </c>
      <c r="J210" s="6" t="str">
        <f ca="1">IFERROR(__xludf.DUMMYFUNCTION("""COMPUTED_VALUE"""),"카카오톡")</f>
        <v>카카오톡</v>
      </c>
    </row>
    <row r="211" spans="1:10" x14ac:dyDescent="0.2">
      <c r="A211" s="6">
        <f ca="1">IFERROR(__xludf.DUMMYFUNCTION("""COMPUTED_VALUE"""),210)</f>
        <v>210</v>
      </c>
      <c r="B211" s="6">
        <f ca="1">IFERROR(__xludf.DUMMYFUNCTION("""COMPUTED_VALUE"""),46195.6262268518)</f>
        <v>46195.626226851797</v>
      </c>
      <c r="C211" s="6" t="str">
        <f ca="1">IFERROR(__xludf.DUMMYFUNCTION("""COMPUTED_VALUE"""),"류인곤")</f>
        <v>류인곤</v>
      </c>
      <c r="D211" s="6">
        <f ca="1">IFERROR(__xludf.DUMMYFUNCTION("""COMPUTED_VALUE"""),1093102975)</f>
        <v>1093102975</v>
      </c>
      <c r="E211" s="6" t="str">
        <f ca="1">IFERROR(__xludf.DUMMYFUNCTION("""COMPUTED_VALUE"""),"상담신청")</f>
        <v>상담신청</v>
      </c>
      <c r="F211" s="6" t="str">
        <f ca="1">IFERROR(__xludf.DUMMYFUNCTION("""COMPUTED_VALUE"""),"배너")</f>
        <v>배너</v>
      </c>
      <c r="G211" s="7" t="str">
        <f ca="1">IFERROR(__xludf.DUMMYFUNCTION("""COMPUTED_VALUE"""),"https://newstart-law.com/?inType=NIM001&amp;NaPm=ci=6m2OFS_3HiRE6aqoSbI_o94Q|tr=gfa|ct=mqot4oqi|hk=8017201e6184520cf88165ffa2bb3aa3dbe3abd5|nacn=YNnhBAhQOiBE")</f>
        <v>https://newstart-law.com/?inType=NIM001&amp;NaPm=ci=6m2OFS_3HiRE6aqoSbI_o94Q|tr=gfa|ct=mqot4oqi|hk=8017201e6184520cf88165ffa2bb3aa3dbe3abd5|nacn=YNnhBAhQOiBE</v>
      </c>
      <c r="H211" s="6" t="str">
        <f ca="1">IFERROR(__xludf.DUMMYFUNCTION("""COMPUTED_VALUE"""),"NIM001")</f>
        <v>NIM001</v>
      </c>
      <c r="I211" s="6" t="str">
        <f ca="1">IFERROR(__xludf.DUMMYFUNCTION("""COMPUTED_VALUE"""),"")</f>
        <v/>
      </c>
      <c r="J211" s="6" t="str">
        <f ca="1">IFERROR(__xludf.DUMMYFUNCTION("""COMPUTED_VALUE"""),"모바일 하단 상담폼")</f>
        <v>모바일 하단 상담폼</v>
      </c>
    </row>
    <row r="212" spans="1:10" x14ac:dyDescent="0.2">
      <c r="A212" s="6">
        <f ca="1">IFERROR(__xludf.DUMMYFUNCTION("""COMPUTED_VALUE"""),211)</f>
        <v>211</v>
      </c>
      <c r="B212" s="6">
        <f ca="1">IFERROR(__xludf.DUMMYFUNCTION("""COMPUTED_VALUE"""),46195.6332175925)</f>
        <v>46195.633217592498</v>
      </c>
      <c r="C212" s="6" t="str">
        <f ca="1">IFERROR(__xludf.DUMMYFUNCTION("""COMPUTED_VALUE"""),"117.111.5.130")</f>
        <v>117.111.5.130</v>
      </c>
      <c r="D212" s="6" t="str">
        <f ca="1">IFERROR(__xludf.DUMMYFUNCTION("""COMPUTED_VALUE"""),"전화")</f>
        <v>전화</v>
      </c>
      <c r="E212" s="6" t="str">
        <f ca="1">IFERROR(__xludf.DUMMYFUNCTION("""COMPUTED_VALUE"""),"전화")</f>
        <v>전화</v>
      </c>
      <c r="F212" s="6" t="str">
        <f ca="1">IFERROR(__xludf.DUMMYFUNCTION("""COMPUTED_VALUE"""),"배너")</f>
        <v>배너</v>
      </c>
      <c r="G212" s="7" t="str">
        <f ca="1">IFERROR(__xludf.DUMMYFUNCTION("""COMPUTED_VALUE"""),"http://newstart-law.com/?inType=nim003&amp;NaPm=ci=6mKyM3C8ZaTq6G6Q5OJCQIVg|tr=gfa|ct=mqotic9z|hk=1a752980da82a5fd07c094097050ec02e59efd0a|nacn=V7RABYgePPRcB")</f>
        <v>http://newstart-law.com/?inType=nim003&amp;NaPm=ci=6mKyM3C8ZaTq6G6Q5OJCQIVg|tr=gfa|ct=mqotic9z|hk=1a752980da82a5fd07c094097050ec02e59efd0a|nacn=V7RABYgePPRcB</v>
      </c>
      <c r="H212" s="6" t="str">
        <f ca="1">IFERROR(__xludf.DUMMYFUNCTION("""COMPUTED_VALUE"""),"nim003")</f>
        <v>nim003</v>
      </c>
      <c r="I212" s="6" t="str">
        <f ca="1">IFERROR(__xludf.DUMMYFUNCTION("""COMPUTED_VALUE"""),"")</f>
        <v/>
      </c>
      <c r="J212" s="6" t="str">
        <f ca="1">IFERROR(__xludf.DUMMYFUNCTION("""COMPUTED_VALUE"""),"전화 문의")</f>
        <v>전화 문의</v>
      </c>
    </row>
    <row r="213" spans="1:10" x14ac:dyDescent="0.2">
      <c r="A213" s="6">
        <f ca="1">IFERROR(__xludf.DUMMYFUNCTION("""COMPUTED_VALUE"""),212)</f>
        <v>212</v>
      </c>
      <c r="B213" s="6">
        <f ca="1">IFERROR(__xludf.DUMMYFUNCTION("""COMPUTED_VALUE"""),46195.6335648148)</f>
        <v>46195.633564814802</v>
      </c>
      <c r="C213" s="6" t="str">
        <f ca="1">IFERROR(__xludf.DUMMYFUNCTION("""COMPUTED_VALUE"""),"106.101.72.159")</f>
        <v>106.101.72.159</v>
      </c>
      <c r="D213" s="6" t="str">
        <f ca="1">IFERROR(__xludf.DUMMYFUNCTION("""COMPUTED_VALUE"""),"전화")</f>
        <v>전화</v>
      </c>
      <c r="E213" s="6" t="str">
        <f ca="1">IFERROR(__xludf.DUMMYFUNCTION("""COMPUTED_VALUE"""),"전화")</f>
        <v>전화</v>
      </c>
      <c r="F213" s="6" t="str">
        <f ca="1">IFERROR(__xludf.DUMMYFUNCTION("""COMPUTED_VALUE"""),"배너")</f>
        <v>배너</v>
      </c>
      <c r="G213" s="7" t="str">
        <f ca="1">IFERROR(__xludf.DUMMYFUNCTION("""COMPUTED_VALUE"""),"http://newstart-law.com/?inType=nim_sq01&amp;NaPm=ci=6mbR43wNZhSaW7_PqQvLtPBA|tr=gfa|ct=mqotigrb|hk=1a1a490d9b092ffb6a139c58bb68d481e0d4be25|nacn=2lHNBUQzIJKd")</f>
        <v>http://newstart-law.com/?inType=nim_sq01&amp;NaPm=ci=6mbR43wNZhSaW7_PqQvLtPBA|tr=gfa|ct=mqotigrb|hk=1a1a490d9b092ffb6a139c58bb68d481e0d4be25|nacn=2lHNBUQzIJKd</v>
      </c>
      <c r="H213" s="6" t="str">
        <f ca="1">IFERROR(__xludf.DUMMYFUNCTION("""COMPUTED_VALUE"""),"nim_sq01")</f>
        <v>nim_sq01</v>
      </c>
      <c r="I213" s="6" t="str">
        <f ca="1">IFERROR(__xludf.DUMMYFUNCTION("""COMPUTED_VALUE"""),"")</f>
        <v/>
      </c>
      <c r="J213" s="6" t="str">
        <f ca="1">IFERROR(__xludf.DUMMYFUNCTION("""COMPUTED_VALUE"""),"전화 문의")</f>
        <v>전화 문의</v>
      </c>
    </row>
    <row r="214" spans="1:10" x14ac:dyDescent="0.2">
      <c r="A214" s="6">
        <f ca="1">IFERROR(__xludf.DUMMYFUNCTION("""COMPUTED_VALUE"""),213)</f>
        <v>213</v>
      </c>
      <c r="B214" s="6">
        <f ca="1">IFERROR(__xludf.DUMMYFUNCTION("""COMPUTED_VALUE"""),46195.7162962963)</f>
        <v>46195.716296296298</v>
      </c>
      <c r="C214" s="6" t="str">
        <f ca="1">IFERROR(__xludf.DUMMYFUNCTION("""COMPUTED_VALUE"""),"211.234.227.138")</f>
        <v>211.234.227.138</v>
      </c>
      <c r="D214" s="6" t="str">
        <f ca="1">IFERROR(__xludf.DUMMYFUNCTION("""COMPUTED_VALUE"""),"전화")</f>
        <v>전화</v>
      </c>
      <c r="E214" s="6" t="str">
        <f ca="1">IFERROR(__xludf.DUMMYFUNCTION("""COMPUTED_VALUE"""),"전화")</f>
        <v>전화</v>
      </c>
      <c r="F214" s="6" t="str">
        <f ca="1">IFERROR(__xludf.DUMMYFUNCTION("""COMPUTED_VALUE"""),"배너")</f>
        <v>배너</v>
      </c>
      <c r="G214" s="7" t="str">
        <f ca="1">IFERROR(__xludf.DUMMYFUNCTION("""COMPUTED_VALUE"""),"http://newstart-law.com/?inType=nim003&amp;NaPm=ci=6m1pvY6hnBRi2ZMSq1C6C7Xg|tr=gfa|ct=mqoxo9dj|hk=b954d31a8020574abfc1a7a70fe20621febb69a3|nacn=JekpDggAfd4fA")</f>
        <v>http://newstart-law.com/?inType=nim003&amp;NaPm=ci=6m1pvY6hnBRi2ZMSq1C6C7Xg|tr=gfa|ct=mqoxo9dj|hk=b954d31a8020574abfc1a7a70fe20621febb69a3|nacn=JekpDggAfd4fA</v>
      </c>
      <c r="H214" s="6" t="str">
        <f ca="1">IFERROR(__xludf.DUMMYFUNCTION("""COMPUTED_VALUE"""),"nim003")</f>
        <v>nim003</v>
      </c>
      <c r="I214" s="6" t="str">
        <f ca="1">IFERROR(__xludf.DUMMYFUNCTION("""COMPUTED_VALUE"""),"")</f>
        <v/>
      </c>
      <c r="J214" s="6" t="str">
        <f ca="1">IFERROR(__xludf.DUMMYFUNCTION("""COMPUTED_VALUE"""),"전화 문의")</f>
        <v>전화 문의</v>
      </c>
    </row>
    <row r="215" spans="1:10" x14ac:dyDescent="0.2">
      <c r="A215" s="6">
        <f ca="1">IFERROR(__xludf.DUMMYFUNCTION("""COMPUTED_VALUE"""),214)</f>
        <v>214</v>
      </c>
      <c r="B215" s="6">
        <f ca="1">IFERROR(__xludf.DUMMYFUNCTION("""COMPUTED_VALUE"""),46195.7182175925)</f>
        <v>46195.718217592497</v>
      </c>
      <c r="C215" s="6" t="str">
        <f ca="1">IFERROR(__xludf.DUMMYFUNCTION("""COMPUTED_VALUE"""),"강민수")</f>
        <v>강민수</v>
      </c>
      <c r="D215" s="6">
        <f ca="1">IFERROR(__xludf.DUMMYFUNCTION("""COMPUTED_VALUE"""),1093779080)</f>
        <v>1093779080</v>
      </c>
      <c r="E215" s="6" t="str">
        <f ca="1">IFERROR(__xludf.DUMMYFUNCTION("""COMPUTED_VALUE"""),"상담신청")</f>
        <v>상담신청</v>
      </c>
      <c r="F215" s="6" t="str">
        <f ca="1">IFERROR(__xludf.DUMMYFUNCTION("""COMPUTED_VALUE"""),"유입확인불가")</f>
        <v>유입확인불가</v>
      </c>
      <c r="G215" s="7" t="str">
        <f ca="1">IFERROR(__xludf.DUMMYFUNCTION("""COMPUTED_VALUE"""),"http://newstart-law.com/")</f>
        <v>http://newstart-law.com/</v>
      </c>
      <c r="H215" s="6" t="str">
        <f ca="1">IFERROR(__xludf.DUMMYFUNCTION("""COMPUTED_VALUE"""),"")</f>
        <v/>
      </c>
      <c r="I215" s="6" t="str">
        <f ca="1">IFERROR(__xludf.DUMMYFUNCTION("""COMPUTED_VALUE"""),"")</f>
        <v/>
      </c>
      <c r="J215" s="6" t="str">
        <f ca="1">IFERROR(__xludf.DUMMYFUNCTION("""COMPUTED_VALUE"""),"모바일 하단 상담폼")</f>
        <v>모바일 하단 상담폼</v>
      </c>
    </row>
    <row r="216" spans="1:10" x14ac:dyDescent="0.2">
      <c r="A216" s="6">
        <f ca="1">IFERROR(__xludf.DUMMYFUNCTION("""COMPUTED_VALUE"""),215)</f>
        <v>215</v>
      </c>
      <c r="B216" s="6">
        <f ca="1">IFERROR(__xludf.DUMMYFUNCTION("""COMPUTED_VALUE"""),46195.7189699074)</f>
        <v>46195.718969907401</v>
      </c>
      <c r="C216" s="6" t="str">
        <f ca="1">IFERROR(__xludf.DUMMYFUNCTION("""COMPUTED_VALUE"""),"106.101.202.235")</f>
        <v>106.101.202.235</v>
      </c>
      <c r="D216" s="6" t="str">
        <f ca="1">IFERROR(__xludf.DUMMYFUNCTION("""COMPUTED_VALUE"""),"카카오")</f>
        <v>카카오</v>
      </c>
      <c r="E216" s="6" t="str">
        <f ca="1">IFERROR(__xludf.DUMMYFUNCTION("""COMPUTED_VALUE"""),"카카오톡")</f>
        <v>카카오톡</v>
      </c>
      <c r="F216" s="6" t="str">
        <f ca="1">IFERROR(__xludf.DUMMYFUNCTION("""COMPUTED_VALUE"""),"배너")</f>
        <v>배너</v>
      </c>
      <c r="G216" s="7" t="str">
        <f ca="1">IFERROR(__xludf.DUMMYFUNCTION("""COMPUTED_VALUE"""),"http://newstart-law.com/?inType=nim003&amp;NaPm=ci=6m2VHRKIIkQsCOaRvk2s_oKw|tr=gfa|ct=mqoxwrfz|hk=5a083e90f96ce39865b5536d64e35382d54e362e|nacn=porkBwg06dJq")</f>
        <v>http://newstart-law.com/?inType=nim003&amp;NaPm=ci=6m2VHRKIIkQsCOaRvk2s_oKw|tr=gfa|ct=mqoxwrfz|hk=5a083e90f96ce39865b5536d64e35382d54e362e|nacn=porkBwg06dJq</v>
      </c>
      <c r="H216" s="6" t="str">
        <f ca="1">IFERROR(__xludf.DUMMYFUNCTION("""COMPUTED_VALUE"""),"nim003")</f>
        <v>nim003</v>
      </c>
      <c r="I216" s="6" t="str">
        <f ca="1">IFERROR(__xludf.DUMMYFUNCTION("""COMPUTED_VALUE"""),"")</f>
        <v/>
      </c>
      <c r="J216" s="6" t="str">
        <f ca="1">IFERROR(__xludf.DUMMYFUNCTION("""COMPUTED_VALUE"""),"카카오톡")</f>
        <v>카카오톡</v>
      </c>
    </row>
    <row r="217" spans="1:10" x14ac:dyDescent="0.2">
      <c r="A217" s="6">
        <f ca="1">IFERROR(__xludf.DUMMYFUNCTION("""COMPUTED_VALUE"""),216)</f>
        <v>216</v>
      </c>
      <c r="B217" s="6">
        <f ca="1">IFERROR(__xludf.DUMMYFUNCTION("""COMPUTED_VALUE"""),46195.7191666666)</f>
        <v>46195.719166666597</v>
      </c>
      <c r="C217" s="6" t="str">
        <f ca="1">IFERROR(__xludf.DUMMYFUNCTION("""COMPUTED_VALUE"""),"강민수")</f>
        <v>강민수</v>
      </c>
      <c r="D217" s="6">
        <f ca="1">IFERROR(__xludf.DUMMYFUNCTION("""COMPUTED_VALUE"""),1093779080)</f>
        <v>1093779080</v>
      </c>
      <c r="E217" s="6" t="str">
        <f ca="1">IFERROR(__xludf.DUMMYFUNCTION("""COMPUTED_VALUE"""),"상담신청")</f>
        <v>상담신청</v>
      </c>
      <c r="F217" s="6" t="str">
        <f ca="1">IFERROR(__xludf.DUMMYFUNCTION("""COMPUTED_VALUE"""),"유입확인불가")</f>
        <v>유입확인불가</v>
      </c>
      <c r="G217" s="7" t="str">
        <f ca="1">IFERROR(__xludf.DUMMYFUNCTION("""COMPUTED_VALUE"""),"http://newstart-law.com/")</f>
        <v>http://newstart-law.com/</v>
      </c>
      <c r="H217" s="6" t="str">
        <f ca="1">IFERROR(__xludf.DUMMYFUNCTION("""COMPUTED_VALUE"""),"")</f>
        <v/>
      </c>
      <c r="I217" s="6" t="str">
        <f ca="1">IFERROR(__xludf.DUMMYFUNCTION("""COMPUTED_VALUE"""),"")</f>
        <v/>
      </c>
      <c r="J217" s="6" t="str">
        <f ca="1">IFERROR(__xludf.DUMMYFUNCTION("""COMPUTED_VALUE"""),"모바일 하단 상담폼")</f>
        <v>모바일 하단 상담폼</v>
      </c>
    </row>
    <row r="218" spans="1:10" x14ac:dyDescent="0.2">
      <c r="A218" s="6">
        <f ca="1">IFERROR(__xludf.DUMMYFUNCTION("""COMPUTED_VALUE"""),217)</f>
        <v>217</v>
      </c>
      <c r="B218" s="6">
        <f ca="1">IFERROR(__xludf.DUMMYFUNCTION("""COMPUTED_VALUE"""),46195.7198958333)</f>
        <v>46195.719895833303</v>
      </c>
      <c r="C218" s="6" t="str">
        <f ca="1">IFERROR(__xludf.DUMMYFUNCTION("""COMPUTED_VALUE"""),"106.101.202.235")</f>
        <v>106.101.202.235</v>
      </c>
      <c r="D218" s="6" t="str">
        <f ca="1">IFERROR(__xludf.DUMMYFUNCTION("""COMPUTED_VALUE"""),"네이버톡톡")</f>
        <v>네이버톡톡</v>
      </c>
      <c r="E218" s="6" t="str">
        <f ca="1">IFERROR(__xludf.DUMMYFUNCTION("""COMPUTED_VALUE"""),"네이버톡톡")</f>
        <v>네이버톡톡</v>
      </c>
      <c r="F218" s="6" t="str">
        <f ca="1">IFERROR(__xludf.DUMMYFUNCTION("""COMPUTED_VALUE"""),"유입확인불가")</f>
        <v>유입확인불가</v>
      </c>
      <c r="G218" s="7" t="str">
        <f ca="1">IFERROR(__xludf.DUMMYFUNCTION("""COMPUTED_VALUE"""),"http://newstart-law.com/")</f>
        <v>http://newstart-law.com/</v>
      </c>
      <c r="H218" s="6" t="str">
        <f ca="1">IFERROR(__xludf.DUMMYFUNCTION("""COMPUTED_VALUE"""),"")</f>
        <v/>
      </c>
      <c r="I218" s="6" t="str">
        <f ca="1">IFERROR(__xludf.DUMMYFUNCTION("""COMPUTED_VALUE"""),"")</f>
        <v/>
      </c>
      <c r="J218" s="6" t="str">
        <f ca="1">IFERROR(__xludf.DUMMYFUNCTION("""COMPUTED_VALUE"""),"네이버 톡톡")</f>
        <v>네이버 톡톡</v>
      </c>
    </row>
    <row r="219" spans="1:10" x14ac:dyDescent="0.2">
      <c r="A219" s="6">
        <f ca="1">IFERROR(__xludf.DUMMYFUNCTION("""COMPUTED_VALUE"""),218)</f>
        <v>218</v>
      </c>
      <c r="B219" s="6">
        <f ca="1">IFERROR(__xludf.DUMMYFUNCTION("""COMPUTED_VALUE"""),46195.7218981481)</f>
        <v>46195.721898148098</v>
      </c>
      <c r="C219" s="6" t="str">
        <f ca="1">IFERROR(__xludf.DUMMYFUNCTION("""COMPUTED_VALUE"""),"211.235.67.246")</f>
        <v>211.235.67.246</v>
      </c>
      <c r="D219" s="6" t="str">
        <f ca="1">IFERROR(__xludf.DUMMYFUNCTION("""COMPUTED_VALUE"""),"네이버예약")</f>
        <v>네이버예약</v>
      </c>
      <c r="E219" s="6" t="str">
        <f ca="1">IFERROR(__xludf.DUMMYFUNCTION("""COMPUTED_VALUE"""),"네이버예약")</f>
        <v>네이버예약</v>
      </c>
      <c r="F219" s="6" t="str">
        <f ca="1">IFERROR(__xludf.DUMMYFUNCTION("""COMPUTED_VALUE"""),"배너")</f>
        <v>배너</v>
      </c>
      <c r="G219" s="7" t="str">
        <f ca="1">IFERROR(__xludf.DUMMYFUNCTION("""COMPUTED_VALUE"""),"http://newstart-law.com/?inType=nim003&amp;NaPm=ci=6m2TocWFizTvmqFElAXGXafw|tr=gfa|ct=mqoxziwk|hk=34aa5edaf84bee53d9961a474f7c56a0e643d27f|nacn=U8yaBIhDR8BN")</f>
        <v>http://newstart-law.com/?inType=nim003&amp;NaPm=ci=6m2TocWFizTvmqFElAXGXafw|tr=gfa|ct=mqoxziwk|hk=34aa5edaf84bee53d9961a474f7c56a0e643d27f|nacn=U8yaBIhDR8BN</v>
      </c>
      <c r="H219" s="6" t="str">
        <f ca="1">IFERROR(__xludf.DUMMYFUNCTION("""COMPUTED_VALUE"""),"nim003")</f>
        <v>nim003</v>
      </c>
      <c r="I219" s="6" t="str">
        <f ca="1">IFERROR(__xludf.DUMMYFUNCTION("""COMPUTED_VALUE"""),"")</f>
        <v/>
      </c>
      <c r="J219" s="6" t="str">
        <f ca="1">IFERROR(__xludf.DUMMYFUNCTION("""COMPUTED_VALUE"""),"네이버 예약")</f>
        <v>네이버 예약</v>
      </c>
    </row>
    <row r="220" spans="1:10" x14ac:dyDescent="0.2">
      <c r="A220" s="6">
        <f ca="1">IFERROR(__xludf.DUMMYFUNCTION("""COMPUTED_VALUE"""),219)</f>
        <v>219</v>
      </c>
      <c r="B220" s="6">
        <f ca="1">IFERROR(__xludf.DUMMYFUNCTION("""COMPUTED_VALUE"""),46195.7235532407)</f>
        <v>46195.723553240699</v>
      </c>
      <c r="C220" s="6" t="str">
        <f ca="1">IFERROR(__xludf.DUMMYFUNCTION("""COMPUTED_VALUE"""),"175.203.58.8")</f>
        <v>175.203.58.8</v>
      </c>
      <c r="D220" s="6" t="str">
        <f ca="1">IFERROR(__xludf.DUMMYFUNCTION("""COMPUTED_VALUE"""),"네이버톡톡")</f>
        <v>네이버톡톡</v>
      </c>
      <c r="E220" s="6" t="str">
        <f ca="1">IFERROR(__xludf.DUMMYFUNCTION("""COMPUTED_VALUE"""),"네이버톡톡")</f>
        <v>네이버톡톡</v>
      </c>
      <c r="F220" s="6" t="str">
        <f ca="1">IFERROR(__xludf.DUMMYFUNCTION("""COMPUTED_VALUE"""),"배너")</f>
        <v>배너</v>
      </c>
      <c r="G220" s="7" t="str">
        <f ca="1">IFERROR(__xludf.DUMMYFUNCTION("""COMPUTED_VALUE"""),"http://newstart-law.com/?inType=NIM001&amp;NaPm=ci=6mZSe9NrAYSlO9mywu_cH-Ug|tr=gfa|ct=mqoxyv6h|hk=b7a032fe79488770256398ae788a020f4b92e17c|nacn=PZRJBcgTSkwg")</f>
        <v>http://newstart-law.com/?inType=NIM001&amp;NaPm=ci=6mZSe9NrAYSlO9mywu_cH-Ug|tr=gfa|ct=mqoxyv6h|hk=b7a032fe79488770256398ae788a020f4b92e17c|nacn=PZRJBcgTSkwg</v>
      </c>
      <c r="H220" s="6" t="str">
        <f ca="1">IFERROR(__xludf.DUMMYFUNCTION("""COMPUTED_VALUE"""),"NIM001")</f>
        <v>NIM001</v>
      </c>
      <c r="I220" s="6" t="str">
        <f ca="1">IFERROR(__xludf.DUMMYFUNCTION("""COMPUTED_VALUE"""),"")</f>
        <v/>
      </c>
      <c r="J220" s="6" t="str">
        <f ca="1">IFERROR(__xludf.DUMMYFUNCTION("""COMPUTED_VALUE"""),"네이버 톡톡")</f>
        <v>네이버 톡톡</v>
      </c>
    </row>
    <row r="221" spans="1:10" x14ac:dyDescent="0.2">
      <c r="A221" s="6">
        <f ca="1">IFERROR(__xludf.DUMMYFUNCTION("""COMPUTED_VALUE"""),220)</f>
        <v>220</v>
      </c>
      <c r="B221" s="6">
        <f ca="1">IFERROR(__xludf.DUMMYFUNCTION("""COMPUTED_VALUE"""),46195.7519907407)</f>
        <v>46195.751990740697</v>
      </c>
      <c r="C221" s="6" t="str">
        <f ca="1">IFERROR(__xludf.DUMMYFUNCTION("""COMPUTED_VALUE"""),"118.235.65.236")</f>
        <v>118.235.65.236</v>
      </c>
      <c r="D221" s="6" t="str">
        <f ca="1">IFERROR(__xludf.DUMMYFUNCTION("""COMPUTED_VALUE"""),"전화")</f>
        <v>전화</v>
      </c>
      <c r="E221" s="6" t="str">
        <f ca="1">IFERROR(__xludf.DUMMYFUNCTION("""COMPUTED_VALUE"""),"전화")</f>
        <v>전화</v>
      </c>
      <c r="F221" s="6" t="str">
        <f ca="1">IFERROR(__xludf.DUMMYFUNCTION("""COMPUTED_VALUE"""),"배너")</f>
        <v>배너</v>
      </c>
      <c r="G221" s="7" t="str">
        <f ca="1">IFERROR(__xludf.DUMMYFUNCTION("""COMPUTED_VALUE"""),"http://newstart-law.com/?inType=nim003&amp;NaPm=ci=6mMNoyZahOTw-7U8qCugvAGw|tr=gfa|ct=mqoxwico|hk=e6214aae4190c4b614172821d69b32148c2cae90|nacn=JxTtB0gTuVLM")</f>
        <v>http://newstart-law.com/?inType=nim003&amp;NaPm=ci=6mMNoyZahOTw-7U8qCugvAGw|tr=gfa|ct=mqoxwico|hk=e6214aae4190c4b614172821d69b32148c2cae90|nacn=JxTtB0gTuVLM</v>
      </c>
      <c r="H221" s="6" t="str">
        <f ca="1">IFERROR(__xludf.DUMMYFUNCTION("""COMPUTED_VALUE"""),"nim003")</f>
        <v>nim003</v>
      </c>
      <c r="I221" s="6" t="str">
        <f ca="1">IFERROR(__xludf.DUMMYFUNCTION("""COMPUTED_VALUE"""),"")</f>
        <v/>
      </c>
      <c r="J221" s="6" t="str">
        <f ca="1">IFERROR(__xludf.DUMMYFUNCTION("""COMPUTED_VALUE"""),"전화 문의")</f>
        <v>전화 문의</v>
      </c>
    </row>
    <row r="222" spans="1:10" x14ac:dyDescent="0.2">
      <c r="A222" s="6">
        <f ca="1">IFERROR(__xludf.DUMMYFUNCTION("""COMPUTED_VALUE"""),221)</f>
        <v>221</v>
      </c>
      <c r="B222" s="6">
        <f ca="1">IFERROR(__xludf.DUMMYFUNCTION("""COMPUTED_VALUE"""),46195.8552662037)</f>
        <v>46195.855266203696</v>
      </c>
      <c r="C222" s="6" t="str">
        <f ca="1">IFERROR(__xludf.DUMMYFUNCTION("""COMPUTED_VALUE"""),"권서나")</f>
        <v>권서나</v>
      </c>
      <c r="D222" s="6">
        <f ca="1">IFERROR(__xludf.DUMMYFUNCTION("""COMPUTED_VALUE"""),1041670717)</f>
        <v>1041670717</v>
      </c>
      <c r="E222" s="6" t="str">
        <f ca="1">IFERROR(__xludf.DUMMYFUNCTION("""COMPUTED_VALUE"""),"상담신청")</f>
        <v>상담신청</v>
      </c>
      <c r="F222" s="6" t="str">
        <f ca="1">IFERROR(__xludf.DUMMYFUNCTION("""COMPUTED_VALUE"""),"검색")</f>
        <v>검색</v>
      </c>
      <c r="G222" s="7" t="str">
        <f ca="1">IFERROR(__xludf.DUMMYFUNCTION("""COMPUTED_VALUE"""),"https://www.newstart-law.com/?inType=NK&amp;n_media=27758&amp;n_query=안산개인회생&amp;n_rank=2&amp;n_ad_group=grp-a001-01-000000063065651&amp;n_ad=nad-a001-01-000000495459437&amp;n_keyword_id=nkw-a001-01-000007951807345&amp;n_keyword=안산개인회생&amp;n_campaign_type=1&amp;n_ad_group_type=1&amp;n_match=1&amp;N"&amp;"aPm=ct=mqp4wc4p|ci=ERc7771609-6e2d-11f1-b44e-96706a7dac00|tr=sa|hk=ae4e61c011d4a6918fe8bad85f703ff962bf3a71|nacn=xyJkB4QeFM")</f>
        <v>https://www.newstart-law.com/?inType=NK&amp;n_media=27758&amp;n_query=안산개인회생&amp;n_rank=2&amp;n_ad_group=grp-a001-01-000000063065651&amp;n_ad=nad-a001-01-000000495459437&amp;n_keyword_id=nkw-a001-01-000007951807345&amp;n_keyword=안산개인회생&amp;n_campaign_type=1&amp;n_ad_group_type=1&amp;n_match=1&amp;NaPm=ct=mqp4wc4p|ci=ERc7771609-6e2d-11f1-b44e-96706a7dac00|tr=sa|hk=ae4e61c011d4a6918fe8bad85f703ff962bf3a71|nacn=xyJkB4QeFM</v>
      </c>
      <c r="H222" s="6" t="str">
        <f ca="1">IFERROR(__xludf.DUMMYFUNCTION("""COMPUTED_VALUE"""),"NK")</f>
        <v>NK</v>
      </c>
      <c r="I222" s="6" t="str">
        <f ca="1">IFERROR(__xludf.DUMMYFUNCTION("""COMPUTED_VALUE"""),"안산개인회생")</f>
        <v>안산개인회생</v>
      </c>
      <c r="J222" s="6" t="str">
        <f ca="1">IFERROR(__xludf.DUMMYFUNCTION("""COMPUTED_VALUE"""),"메인 상단 상담폼")</f>
        <v>메인 상단 상담폼</v>
      </c>
    </row>
    <row r="223" spans="1:10" x14ac:dyDescent="0.2">
      <c r="A223" s="6">
        <f ca="1">IFERROR(__xludf.DUMMYFUNCTION("""COMPUTED_VALUE"""),222)</f>
        <v>222</v>
      </c>
      <c r="B223" s="6">
        <f ca="1">IFERROR(__xludf.DUMMYFUNCTION("""COMPUTED_VALUE"""),46195.9240393518)</f>
        <v>46195.924039351798</v>
      </c>
      <c r="C223" s="6" t="str">
        <f ca="1">IFERROR(__xludf.DUMMYFUNCTION("""COMPUTED_VALUE"""),"175.212.26.199")</f>
        <v>175.212.26.199</v>
      </c>
      <c r="D223" s="6" t="str">
        <f ca="1">IFERROR(__xludf.DUMMYFUNCTION("""COMPUTED_VALUE"""),"전화")</f>
        <v>전화</v>
      </c>
      <c r="E223" s="6" t="str">
        <f ca="1">IFERROR(__xludf.DUMMYFUNCTION("""COMPUTED_VALUE"""),"전화")</f>
        <v>전화</v>
      </c>
      <c r="F223" s="6" t="str">
        <f ca="1">IFERROR(__xludf.DUMMYFUNCTION("""COMPUTED_VALUE"""),"검색")</f>
        <v>검색</v>
      </c>
      <c r="G223" s="7" t="str">
        <f ca="1">IFERROR(__xludf.DUMMYFUNCTION("""COMPUTED_VALUE"""),"https://www.newstart-law.com/?inType=NK&amp;n_media=8753&amp;n_query=개인파산&amp;n_rank=3&amp;n_ad_group=grp-a001-01-000000063065512&amp;n_ad=nad-a001-01-000000495460286&amp;n_keyword_id=nkw-a001-01-000007934684740&amp;n_keyword=개인파산&amp;n_campaign_type=1&amp;n_ad_group_type=1&amp;n_match=1&amp;NaPm=c"&amp;"t=mqp8gwks|ci=ERbed482c0-6e3b-11f1-ae91-da434ee44931|tr=sa|hk=ab6b8fe8dbeb5ed6168cd131f523d42210b0e705|nacn=kquyB0wv62Yq")</f>
        <v>https://www.newstart-law.com/?inType=NK&amp;n_media=8753&amp;n_query=개인파산&amp;n_rank=3&amp;n_ad_group=grp-a001-01-000000063065512&amp;n_ad=nad-a001-01-000000495460286&amp;n_keyword_id=nkw-a001-01-000007934684740&amp;n_keyword=개인파산&amp;n_campaign_type=1&amp;n_ad_group_type=1&amp;n_match=1&amp;NaPm=ct=mqp8gwks|ci=ERbed482c0-6e3b-11f1-ae91-da434ee44931|tr=sa|hk=ab6b8fe8dbeb5ed6168cd131f523d42210b0e705|nacn=kquyB0wv62Yq</v>
      </c>
      <c r="H223" s="6" t="str">
        <f ca="1">IFERROR(__xludf.DUMMYFUNCTION("""COMPUTED_VALUE"""),"NK")</f>
        <v>NK</v>
      </c>
      <c r="I223" s="6" t="str">
        <f ca="1">IFERROR(__xludf.DUMMYFUNCTION("""COMPUTED_VALUE"""),"개인파산")</f>
        <v>개인파산</v>
      </c>
      <c r="J223" s="6" t="str">
        <f ca="1">IFERROR(__xludf.DUMMYFUNCTION("""COMPUTED_VALUE"""),"전화 문의")</f>
        <v>전화 문의</v>
      </c>
    </row>
    <row r="224" spans="1:10" x14ac:dyDescent="0.2">
      <c r="A224" s="6">
        <f ca="1">IFERROR(__xludf.DUMMYFUNCTION("""COMPUTED_VALUE"""),223)</f>
        <v>223</v>
      </c>
      <c r="B224" s="6">
        <f ca="1">IFERROR(__xludf.DUMMYFUNCTION("""COMPUTED_VALUE"""),46195.9360648148)</f>
        <v>46195.936064814799</v>
      </c>
      <c r="C224" s="6" t="str">
        <f ca="1">IFERROR(__xludf.DUMMYFUNCTION("""COMPUTED_VALUE"""),"박연춘")</f>
        <v>박연춘</v>
      </c>
      <c r="D224" s="6">
        <f ca="1">IFERROR(__xludf.DUMMYFUNCTION("""COMPUTED_VALUE"""),1092548851)</f>
        <v>1092548851</v>
      </c>
      <c r="E224" s="6" t="str">
        <f ca="1">IFERROR(__xludf.DUMMYFUNCTION("""COMPUTED_VALUE"""),"상담신청")</f>
        <v>상담신청</v>
      </c>
      <c r="F224" s="6" t="str">
        <f ca="1">IFERROR(__xludf.DUMMYFUNCTION("""COMPUTED_VALUE"""),"검색")</f>
        <v>검색</v>
      </c>
      <c r="G224" s="7" t="str">
        <f ca="1">IFERROR(__xludf.DUMMYFUNCTION("""COMPUTED_VALUE"""),"https://www.newstart-law.com/?inType=NK&amp;n_media=8753&amp;n_query=개인파산&amp;n_rank=3&amp;n_ad_group=grp-a001-01-000000063065512&amp;n_ad=nad-a001-01-000000495460286&amp;n_keyword_id=nkw-a001-01-000007934684740&amp;n_keyword=개인파산&amp;n_campaign_type=1&amp;n_ad_group_type=1&amp;n_match=1&amp;NaPm=c"&amp;"t=mqp930sv|ci=ER25e50638-6e3e-11f1-85dc-12882e70cd6b|tr=sa|hk=bb64d72d1f3576f77c0a6b8aa7b7f9a673c21d9e|nacn=eLnqCICqLOg8B")</f>
        <v>https://www.newstart-law.com/?inType=NK&amp;n_media=8753&amp;n_query=개인파산&amp;n_rank=3&amp;n_ad_group=grp-a001-01-000000063065512&amp;n_ad=nad-a001-01-000000495460286&amp;n_keyword_id=nkw-a001-01-000007934684740&amp;n_keyword=개인파산&amp;n_campaign_type=1&amp;n_ad_group_type=1&amp;n_match=1&amp;NaPm=ct=mqp930sv|ci=ER25e50638-6e3e-11f1-85dc-12882e70cd6b|tr=sa|hk=bb64d72d1f3576f77c0a6b8aa7b7f9a673c21d9e|nacn=eLnqCICqLOg8B</v>
      </c>
      <c r="H224" s="6" t="str">
        <f ca="1">IFERROR(__xludf.DUMMYFUNCTION("""COMPUTED_VALUE"""),"NK")</f>
        <v>NK</v>
      </c>
      <c r="I224" s="6" t="str">
        <f ca="1">IFERROR(__xludf.DUMMYFUNCTION("""COMPUTED_VALUE"""),"개인파산")</f>
        <v>개인파산</v>
      </c>
      <c r="J224" s="6" t="str">
        <f ca="1">IFERROR(__xludf.DUMMYFUNCTION("""COMPUTED_VALUE"""),"모바일 하단 상담폼")</f>
        <v>모바일 하단 상담폼</v>
      </c>
    </row>
    <row r="225" spans="1:10" x14ac:dyDescent="0.2">
      <c r="A225" s="6">
        <f ca="1">IFERROR(__xludf.DUMMYFUNCTION("""COMPUTED_VALUE"""),224)</f>
        <v>224</v>
      </c>
      <c r="B225" s="6">
        <f ca="1">IFERROR(__xludf.DUMMYFUNCTION("""COMPUTED_VALUE"""),46195.9360879629)</f>
        <v>46195.936087962902</v>
      </c>
      <c r="C225" s="6" t="str">
        <f ca="1">IFERROR(__xludf.DUMMYFUNCTION("""COMPUTED_VALUE"""),"115.161.129.231")</f>
        <v>115.161.129.231</v>
      </c>
      <c r="D225" s="6" t="str">
        <f ca="1">IFERROR(__xludf.DUMMYFUNCTION("""COMPUTED_VALUE"""),"카카오")</f>
        <v>카카오</v>
      </c>
      <c r="E225" s="6" t="str">
        <f ca="1">IFERROR(__xludf.DUMMYFUNCTION("""COMPUTED_VALUE"""),"카카오톡")</f>
        <v>카카오톡</v>
      </c>
      <c r="F225" s="6" t="str">
        <f ca="1">IFERROR(__xludf.DUMMYFUNCTION("""COMPUTED_VALUE"""),"검색")</f>
        <v>검색</v>
      </c>
      <c r="G225" s="7" t="str">
        <f ca="1">IFERROR(__xludf.DUMMYFUNCTION("""COMPUTED_VALUE"""),"https://www.newstart-law.com/?inType=NK&amp;n_media=8753&amp;n_query=개인파산&amp;n_rank=3&amp;n_ad_group=grp-a001-01-000000063065512&amp;n_ad=nad-a001-01-000000495460286&amp;n_keyword_id=nkw-a001-01-000007934684740&amp;n_keyword=개인파산&amp;n_campaign_type=1&amp;n_ad_group_type=1&amp;n_match=1&amp;NaPm=c"&amp;"t=mqp930sv|ci=ER25e50638-6e3e-11f1-85dc-12882e70cd6b|tr=sa|hk=bb64d72d1f3576f77c0a6b8aa7b7f9a673c21d9e|nacn=eLnqCICqLOg8B")</f>
        <v>https://www.newstart-law.com/?inType=NK&amp;n_media=8753&amp;n_query=개인파산&amp;n_rank=3&amp;n_ad_group=grp-a001-01-000000063065512&amp;n_ad=nad-a001-01-000000495460286&amp;n_keyword_id=nkw-a001-01-000007934684740&amp;n_keyword=개인파산&amp;n_campaign_type=1&amp;n_ad_group_type=1&amp;n_match=1&amp;NaPm=ct=mqp930sv|ci=ER25e50638-6e3e-11f1-85dc-12882e70cd6b|tr=sa|hk=bb64d72d1f3576f77c0a6b8aa7b7f9a673c21d9e|nacn=eLnqCICqLOg8B</v>
      </c>
      <c r="H225" s="6" t="str">
        <f ca="1">IFERROR(__xludf.DUMMYFUNCTION("""COMPUTED_VALUE"""),"NK")</f>
        <v>NK</v>
      </c>
      <c r="I225" s="6" t="str">
        <f ca="1">IFERROR(__xludf.DUMMYFUNCTION("""COMPUTED_VALUE"""),"개인파산")</f>
        <v>개인파산</v>
      </c>
      <c r="J225" s="6" t="str">
        <f ca="1">IFERROR(__xludf.DUMMYFUNCTION("""COMPUTED_VALUE"""),"카카오톡")</f>
        <v>카카오톡</v>
      </c>
    </row>
    <row r="226" spans="1:10" x14ac:dyDescent="0.2">
      <c r="A226" s="6">
        <f ca="1">IFERROR(__xludf.DUMMYFUNCTION("""COMPUTED_VALUE"""),225)</f>
        <v>225</v>
      </c>
      <c r="B226" s="6">
        <f ca="1">IFERROR(__xludf.DUMMYFUNCTION("""COMPUTED_VALUE"""),46195.9366782407)</f>
        <v>46195.936678240701</v>
      </c>
      <c r="C226" s="6" t="str">
        <f ca="1">IFERROR(__xludf.DUMMYFUNCTION("""COMPUTED_VALUE"""),"115.161.129.231")</f>
        <v>115.161.129.231</v>
      </c>
      <c r="D226" s="6" t="str">
        <f ca="1">IFERROR(__xludf.DUMMYFUNCTION("""COMPUTED_VALUE"""),"전화")</f>
        <v>전화</v>
      </c>
      <c r="E226" s="6" t="str">
        <f ca="1">IFERROR(__xludf.DUMMYFUNCTION("""COMPUTED_VALUE"""),"전화")</f>
        <v>전화</v>
      </c>
      <c r="F226" s="6" t="str">
        <f ca="1">IFERROR(__xludf.DUMMYFUNCTION("""COMPUTED_VALUE"""),"검색")</f>
        <v>검색</v>
      </c>
      <c r="G226" s="7" t="str">
        <f ca="1">IFERROR(__xludf.DUMMYFUNCTION("""COMPUTED_VALUE"""),"https://www.newstart-law.com/?inType=NK&amp;n_media=8753&amp;n_query=개인파산&amp;n_rank=3&amp;n_ad_group=grp-a001-01-000000063065512&amp;n_ad=nad-a001-01-000000495460286&amp;n_keyword_id=nkw-a001-01-000007934684740&amp;n_keyword=개인파산&amp;n_campaign_type=1&amp;n_ad_group_type=1&amp;n_match=1&amp;NaPm=c"&amp;"t=mqp930sv|ci=ER25e50638-6e3e-11f1-85dc-12882e70cd6b|tr=sa|hk=bb64d72d1f3576f77c0a6b8aa7b7f9a673c21d9e|nacn=eLnqCICqLOg8B")</f>
        <v>https://www.newstart-law.com/?inType=NK&amp;n_media=8753&amp;n_query=개인파산&amp;n_rank=3&amp;n_ad_group=grp-a001-01-000000063065512&amp;n_ad=nad-a001-01-000000495460286&amp;n_keyword_id=nkw-a001-01-000007934684740&amp;n_keyword=개인파산&amp;n_campaign_type=1&amp;n_ad_group_type=1&amp;n_match=1&amp;NaPm=ct=mqp930sv|ci=ER25e50638-6e3e-11f1-85dc-12882e70cd6b|tr=sa|hk=bb64d72d1f3576f77c0a6b8aa7b7f9a673c21d9e|nacn=eLnqCICqLOg8B</v>
      </c>
      <c r="H226" s="6" t="str">
        <f ca="1">IFERROR(__xludf.DUMMYFUNCTION("""COMPUTED_VALUE"""),"NK")</f>
        <v>NK</v>
      </c>
      <c r="I226" s="6" t="str">
        <f ca="1">IFERROR(__xludf.DUMMYFUNCTION("""COMPUTED_VALUE"""),"개인파산")</f>
        <v>개인파산</v>
      </c>
      <c r="J226" s="6" t="str">
        <f ca="1">IFERROR(__xludf.DUMMYFUNCTION("""COMPUTED_VALUE"""),"전화 문의")</f>
        <v>전화 문의</v>
      </c>
    </row>
    <row r="227" spans="1:10" x14ac:dyDescent="0.2">
      <c r="A227" s="6">
        <f ca="1">IFERROR(__xludf.DUMMYFUNCTION("""COMPUTED_VALUE"""),226)</f>
        <v>226</v>
      </c>
      <c r="B227" s="6">
        <f ca="1">IFERROR(__xludf.DUMMYFUNCTION("""COMPUTED_VALUE"""),46195.9704398148)</f>
        <v>46195.970439814802</v>
      </c>
      <c r="C227" s="6" t="str">
        <f ca="1">IFERROR(__xludf.DUMMYFUNCTION("""COMPUTED_VALUE"""),"115.161.129.231")</f>
        <v>115.161.129.231</v>
      </c>
      <c r="D227" s="6" t="str">
        <f ca="1">IFERROR(__xludf.DUMMYFUNCTION("""COMPUTED_VALUE"""),"전화")</f>
        <v>전화</v>
      </c>
      <c r="E227" s="6" t="str">
        <f ca="1">IFERROR(__xludf.DUMMYFUNCTION("""COMPUTED_VALUE"""),"전화")</f>
        <v>전화</v>
      </c>
      <c r="F227" s="6" t="str">
        <f ca="1">IFERROR(__xludf.DUMMYFUNCTION("""COMPUTED_VALUE"""),"검색")</f>
        <v>검색</v>
      </c>
      <c r="G227" s="7" t="str">
        <f ca="1">IFERROR(__xludf.DUMMYFUNCTION("""COMPUTED_VALUE"""),"https://www.newstart-law.com/?inType=NK&amp;n_media=8753&amp;n_query=개인파산&amp;n_rank=1&amp;n_ad_group=grp-a001-01-000000063065512&amp;n_ad=nad-a001-01-000000495460286&amp;n_keyword_id=nkw-a001-01-000007934684740&amp;n_keyword=개인파산&amp;n_campaign_type=1&amp;n_ad_group_type=1&amp;n_match=1&amp;NaPm=c"&amp;"t=mqpauqzb|ci=ER1217e2ff-6e45-11f1-81e1-e609e8bf4a3b|tr=sa|hk=f8d6f0fd2fbb2bbd7598e68b730880769b1c9885|nacn=eLnqCICqLOg8B")</f>
        <v>https://www.newstart-law.com/?inType=NK&amp;n_media=8753&amp;n_query=개인파산&amp;n_rank=1&amp;n_ad_group=grp-a001-01-000000063065512&amp;n_ad=nad-a001-01-000000495460286&amp;n_keyword_id=nkw-a001-01-000007934684740&amp;n_keyword=개인파산&amp;n_campaign_type=1&amp;n_ad_group_type=1&amp;n_match=1&amp;NaPm=ct=mqpauqzb|ci=ER1217e2ff-6e45-11f1-81e1-e609e8bf4a3b|tr=sa|hk=f8d6f0fd2fbb2bbd7598e68b730880769b1c9885|nacn=eLnqCICqLOg8B</v>
      </c>
      <c r="H227" s="6" t="str">
        <f ca="1">IFERROR(__xludf.DUMMYFUNCTION("""COMPUTED_VALUE"""),"NK")</f>
        <v>NK</v>
      </c>
      <c r="I227" s="6" t="str">
        <f ca="1">IFERROR(__xludf.DUMMYFUNCTION("""COMPUTED_VALUE"""),"개인파산")</f>
        <v>개인파산</v>
      </c>
      <c r="J227" s="6" t="str">
        <f ca="1">IFERROR(__xludf.DUMMYFUNCTION("""COMPUTED_VALUE"""),"전화 문의")</f>
        <v>전화 문의</v>
      </c>
    </row>
    <row r="228" spans="1:10" x14ac:dyDescent="0.2">
      <c r="A228" s="6">
        <f ca="1">IFERROR(__xludf.DUMMYFUNCTION("""COMPUTED_VALUE"""),227)</f>
        <v>227</v>
      </c>
      <c r="B228" s="6">
        <f ca="1">IFERROR(__xludf.DUMMYFUNCTION("""COMPUTED_VALUE"""),46195.9704629629)</f>
        <v>46195.970462962898</v>
      </c>
      <c r="C228" s="6" t="str">
        <f ca="1">IFERROR(__xludf.DUMMYFUNCTION("""COMPUTED_VALUE"""),"115.161.129.231")</f>
        <v>115.161.129.231</v>
      </c>
      <c r="D228" s="6" t="str">
        <f ca="1">IFERROR(__xludf.DUMMYFUNCTION("""COMPUTED_VALUE"""),"네이버톡톡")</f>
        <v>네이버톡톡</v>
      </c>
      <c r="E228" s="6" t="str">
        <f ca="1">IFERROR(__xludf.DUMMYFUNCTION("""COMPUTED_VALUE"""),"네이버톡톡")</f>
        <v>네이버톡톡</v>
      </c>
      <c r="F228" s="6" t="str">
        <f ca="1">IFERROR(__xludf.DUMMYFUNCTION("""COMPUTED_VALUE"""),"검색")</f>
        <v>검색</v>
      </c>
      <c r="G228" s="7" t="str">
        <f ca="1">IFERROR(__xludf.DUMMYFUNCTION("""COMPUTED_VALUE"""),"https://www.newstart-law.com/?inType=NK&amp;n_media=8753&amp;n_query=개인파산&amp;n_rank=1&amp;n_ad_group=grp-a001-01-000000063065512&amp;n_ad=nad-a001-01-000000495460286&amp;n_keyword_id=nkw-a001-01-000007934684740&amp;n_keyword=개인파산&amp;n_campaign_type=1&amp;n_ad_group_type=1&amp;n_match=1&amp;NaPm=c"&amp;"t=mqpauqzb|ci=ER1217e2ff-6e45-11f1-81e1-e609e8bf4a3b|tr=sa|hk=f8d6f0fd2fbb2bbd7598e68b730880769b1c9885|nacn=eLnqCICqLOg8B")</f>
        <v>https://www.newstart-law.com/?inType=NK&amp;n_media=8753&amp;n_query=개인파산&amp;n_rank=1&amp;n_ad_group=grp-a001-01-000000063065512&amp;n_ad=nad-a001-01-000000495460286&amp;n_keyword_id=nkw-a001-01-000007934684740&amp;n_keyword=개인파산&amp;n_campaign_type=1&amp;n_ad_group_type=1&amp;n_match=1&amp;NaPm=ct=mqpauqzb|ci=ER1217e2ff-6e45-11f1-81e1-e609e8bf4a3b|tr=sa|hk=f8d6f0fd2fbb2bbd7598e68b730880769b1c9885|nacn=eLnqCICqLOg8B</v>
      </c>
      <c r="H228" s="6" t="str">
        <f ca="1">IFERROR(__xludf.DUMMYFUNCTION("""COMPUTED_VALUE"""),"NK")</f>
        <v>NK</v>
      </c>
      <c r="I228" s="6" t="str">
        <f ca="1">IFERROR(__xludf.DUMMYFUNCTION("""COMPUTED_VALUE"""),"개인파산")</f>
        <v>개인파산</v>
      </c>
      <c r="J228" s="6" t="str">
        <f ca="1">IFERROR(__xludf.DUMMYFUNCTION("""COMPUTED_VALUE"""),"네이버 톡톡")</f>
        <v>네이버 톡톡</v>
      </c>
    </row>
    <row r="229" spans="1:10" x14ac:dyDescent="0.2">
      <c r="A229" s="6">
        <f ca="1">IFERROR(__xludf.DUMMYFUNCTION("""COMPUTED_VALUE"""),228)</f>
        <v>228</v>
      </c>
      <c r="B229" s="6">
        <f ca="1">IFERROR(__xludf.DUMMYFUNCTION("""COMPUTED_VALUE"""),46195.9708449074)</f>
        <v>46195.970844907402</v>
      </c>
      <c r="C229" s="6" t="str">
        <f ca="1">IFERROR(__xludf.DUMMYFUNCTION("""COMPUTED_VALUE"""),"박연춘")</f>
        <v>박연춘</v>
      </c>
      <c r="D229" s="6">
        <f ca="1">IFERROR(__xludf.DUMMYFUNCTION("""COMPUTED_VALUE"""),1092548851)</f>
        <v>1092548851</v>
      </c>
      <c r="E229" s="6" t="str">
        <f ca="1">IFERROR(__xludf.DUMMYFUNCTION("""COMPUTED_VALUE"""),"상담신청")</f>
        <v>상담신청</v>
      </c>
      <c r="F229" s="6" t="str">
        <f ca="1">IFERROR(__xludf.DUMMYFUNCTION("""COMPUTED_VALUE"""),"검색")</f>
        <v>검색</v>
      </c>
      <c r="G229" s="7" t="str">
        <f ca="1">IFERROR(__xludf.DUMMYFUNCTION("""COMPUTED_VALUE"""),"https://www.newstart-law.com/?inType=NK&amp;n_media=8753&amp;n_query=개인파산&amp;n_rank=1&amp;n_ad_group=grp-a001-01-000000063065512&amp;n_ad=nad-a001-01-000000495460286&amp;n_keyword_id=nkw-a001-01-000007934684740&amp;n_keyword=개인파산&amp;n_campaign_type=1&amp;n_ad_group_type=1&amp;n_match=1&amp;NaPm=c"&amp;"t=mqpauqzb|ci=ER1217e2ff-6e45-11f1-81e1-e609e8bf4a3b|tr=sa|hk=f8d6f0fd2fbb2bbd7598e68b730880769b1c9885|nacn=eLnqCICqLOg8B")</f>
        <v>https://www.newstart-law.com/?inType=NK&amp;n_media=8753&amp;n_query=개인파산&amp;n_rank=1&amp;n_ad_group=grp-a001-01-000000063065512&amp;n_ad=nad-a001-01-000000495460286&amp;n_keyword_id=nkw-a001-01-000007934684740&amp;n_keyword=개인파산&amp;n_campaign_type=1&amp;n_ad_group_type=1&amp;n_match=1&amp;NaPm=ct=mqpauqzb|ci=ER1217e2ff-6e45-11f1-81e1-e609e8bf4a3b|tr=sa|hk=f8d6f0fd2fbb2bbd7598e68b730880769b1c9885|nacn=eLnqCICqLOg8B</v>
      </c>
      <c r="H229" s="6" t="str">
        <f ca="1">IFERROR(__xludf.DUMMYFUNCTION("""COMPUTED_VALUE"""),"NK")</f>
        <v>NK</v>
      </c>
      <c r="I229" s="6" t="str">
        <f ca="1">IFERROR(__xludf.DUMMYFUNCTION("""COMPUTED_VALUE"""),"개인파산")</f>
        <v>개인파산</v>
      </c>
      <c r="J229" s="6" t="str">
        <f ca="1">IFERROR(__xludf.DUMMYFUNCTION("""COMPUTED_VALUE"""),"모바일 하단 상담폼")</f>
        <v>모바일 하단 상담폼</v>
      </c>
    </row>
    <row r="230" spans="1:10" x14ac:dyDescent="0.2">
      <c r="A230" s="6">
        <f ca="1">IFERROR(__xludf.DUMMYFUNCTION("""COMPUTED_VALUE"""),229)</f>
        <v>229</v>
      </c>
      <c r="B230" s="6">
        <f ca="1">IFERROR(__xludf.DUMMYFUNCTION("""COMPUTED_VALUE"""),46196.4798726851)</f>
        <v>46196.4798726851</v>
      </c>
      <c r="C230" s="6" t="str">
        <f ca="1">IFERROR(__xludf.DUMMYFUNCTION("""COMPUTED_VALUE"""),"106.101.81.53")</f>
        <v>106.101.81.53</v>
      </c>
      <c r="D230" s="6" t="str">
        <f ca="1">IFERROR(__xludf.DUMMYFUNCTION("""COMPUTED_VALUE"""),"전화")</f>
        <v>전화</v>
      </c>
      <c r="E230" s="6" t="str">
        <f ca="1">IFERROR(__xludf.DUMMYFUNCTION("""COMPUTED_VALUE"""),"전화")</f>
        <v>전화</v>
      </c>
      <c r="F230" s="6" t="str">
        <f ca="1">IFERROR(__xludf.DUMMYFUNCTION("""COMPUTED_VALUE"""),"배너")</f>
        <v>배너</v>
      </c>
      <c r="G230" s="7" t="str">
        <f ca="1">IFERROR(__xludf.DUMMYFUNCTION("""COMPUTED_VALUE"""),"http://newstart-law.com/?inType=nim003&amp;NaPm=ci=6nosGe3N0-SlODeUbGgyGZDw|tr=gfa|ct=mqpw7wsp|hk=b167e6a7408cdfd1a0ee837bdc7fef39b1d59e5b|nacn=XtOLBogF9pEh")</f>
        <v>http://newstart-law.com/?inType=nim003&amp;NaPm=ci=6nosGe3N0-SlODeUbGgyGZDw|tr=gfa|ct=mqpw7wsp|hk=b167e6a7408cdfd1a0ee837bdc7fef39b1d59e5b|nacn=XtOLBogF9pEh</v>
      </c>
      <c r="H230" s="6" t="str">
        <f ca="1">IFERROR(__xludf.DUMMYFUNCTION("""COMPUTED_VALUE"""),"nim003")</f>
        <v>nim003</v>
      </c>
      <c r="I230" s="6" t="str">
        <f ca="1">IFERROR(__xludf.DUMMYFUNCTION("""COMPUTED_VALUE"""),"")</f>
        <v/>
      </c>
      <c r="J230" s="6" t="str">
        <f ca="1">IFERROR(__xludf.DUMMYFUNCTION("""COMPUTED_VALUE"""),"전화 문의")</f>
        <v>전화 문의</v>
      </c>
    </row>
    <row r="231" spans="1:10" x14ac:dyDescent="0.2">
      <c r="A231" s="6">
        <f ca="1">IFERROR(__xludf.DUMMYFUNCTION("""COMPUTED_VALUE"""),230)</f>
        <v>230</v>
      </c>
      <c r="B231" s="6">
        <f ca="1">IFERROR(__xludf.DUMMYFUNCTION("""COMPUTED_VALUE"""),46196.488136574)</f>
        <v>46196.488136574</v>
      </c>
      <c r="C231" s="6" t="str">
        <f ca="1">IFERROR(__xludf.DUMMYFUNCTION("""COMPUTED_VALUE"""),"112.185.120.123")</f>
        <v>112.185.120.123</v>
      </c>
      <c r="D231" s="6" t="str">
        <f ca="1">IFERROR(__xludf.DUMMYFUNCTION("""COMPUTED_VALUE"""),"카카오")</f>
        <v>카카오</v>
      </c>
      <c r="E231" s="6" t="str">
        <f ca="1">IFERROR(__xludf.DUMMYFUNCTION("""COMPUTED_VALUE"""),"카카오톡")</f>
        <v>카카오톡</v>
      </c>
      <c r="F231" s="6" t="str">
        <f ca="1">IFERROR(__xludf.DUMMYFUNCTION("""COMPUTED_VALUE"""),"배너")</f>
        <v>배너</v>
      </c>
      <c r="G231" s="7" t="str">
        <f ca="1">IFERROR(__xludf.DUMMYFUNCTION("""COMPUTED_VALUE"""),"http://newstart-law.com/?inType=nim003&amp;NaPm=ci=6n11cwnMT4TTWFqWUIaZrNIQ|tr=gfa|ct=mqq1he5h|hk=afa25746a59c83b02592c3061aa82f5ab9098174|nacn=vWyBBgALVojz")</f>
        <v>http://newstart-law.com/?inType=nim003&amp;NaPm=ci=6n11cwnMT4TTWFqWUIaZrNIQ|tr=gfa|ct=mqq1he5h|hk=afa25746a59c83b02592c3061aa82f5ab9098174|nacn=vWyBBgALVojz</v>
      </c>
      <c r="H231" s="6" t="str">
        <f ca="1">IFERROR(__xludf.DUMMYFUNCTION("""COMPUTED_VALUE"""),"nim003")</f>
        <v>nim003</v>
      </c>
      <c r="I231" s="6" t="str">
        <f ca="1">IFERROR(__xludf.DUMMYFUNCTION("""COMPUTED_VALUE"""),"")</f>
        <v/>
      </c>
      <c r="J231" s="6" t="str">
        <f ca="1">IFERROR(__xludf.DUMMYFUNCTION("""COMPUTED_VALUE"""),"카카오톡")</f>
        <v>카카오톡</v>
      </c>
    </row>
    <row r="232" spans="1:10" x14ac:dyDescent="0.2">
      <c r="A232" s="6">
        <f ca="1">IFERROR(__xludf.DUMMYFUNCTION("""COMPUTED_VALUE"""),231)</f>
        <v>231</v>
      </c>
      <c r="B232" s="6">
        <f ca="1">IFERROR(__xludf.DUMMYFUNCTION("""COMPUTED_VALUE"""),46196.4932754629)</f>
        <v>46196.493275462897</v>
      </c>
      <c r="C232" s="6" t="str">
        <f ca="1">IFERROR(__xludf.DUMMYFUNCTION("""COMPUTED_VALUE"""),"121.141.16.204")</f>
        <v>121.141.16.204</v>
      </c>
      <c r="D232" s="6" t="str">
        <f ca="1">IFERROR(__xludf.DUMMYFUNCTION("""COMPUTED_VALUE"""),"전화")</f>
        <v>전화</v>
      </c>
      <c r="E232" s="6" t="str">
        <f ca="1">IFERROR(__xludf.DUMMYFUNCTION("""COMPUTED_VALUE"""),"전화")</f>
        <v>전화</v>
      </c>
      <c r="F232" s="6" t="str">
        <f ca="1">IFERROR(__xludf.DUMMYFUNCTION("""COMPUTED_VALUE"""),"배너")</f>
        <v>배너</v>
      </c>
      <c r="G232" s="7" t="str">
        <f ca="1">IFERROR(__xludf.DUMMYFUNCTION("""COMPUTED_VALUE"""),"http://newstart-law.com/?inType=NIM001&amp;NaPm=ci=6n4_GPoIfCTjaw4oSEKX2z9g|tr=gfa|ct=mqq1qe43|hk=34f25f3ca6f77fe9d532625357d1f61d46dd3cff|nacn=Tu0MBcwk9WHm")</f>
        <v>http://newstart-law.com/?inType=NIM001&amp;NaPm=ci=6n4_GPoIfCTjaw4oSEKX2z9g|tr=gfa|ct=mqq1qe43|hk=34f25f3ca6f77fe9d532625357d1f61d46dd3cff|nacn=Tu0MBcwk9WHm</v>
      </c>
      <c r="H232" s="6" t="str">
        <f ca="1">IFERROR(__xludf.DUMMYFUNCTION("""COMPUTED_VALUE"""),"NIM001")</f>
        <v>NIM001</v>
      </c>
      <c r="I232" s="6" t="str">
        <f ca="1">IFERROR(__xludf.DUMMYFUNCTION("""COMPUTED_VALUE"""),"")</f>
        <v/>
      </c>
      <c r="J232" s="6" t="str">
        <f ca="1">IFERROR(__xludf.DUMMYFUNCTION("""COMPUTED_VALUE"""),"전화 문의")</f>
        <v>전화 문의</v>
      </c>
    </row>
    <row r="233" spans="1:10" x14ac:dyDescent="0.2">
      <c r="A233" s="6">
        <f ca="1">IFERROR(__xludf.DUMMYFUNCTION("""COMPUTED_VALUE"""),232)</f>
        <v>232</v>
      </c>
      <c r="B233" s="6">
        <f ca="1">IFERROR(__xludf.DUMMYFUNCTION("""COMPUTED_VALUE"""),46196.4942129629)</f>
        <v>46196.494212962898</v>
      </c>
      <c r="C233" s="6" t="str">
        <f ca="1">IFERROR(__xludf.DUMMYFUNCTION("""COMPUTED_VALUE"""),"112.223.206.122")</f>
        <v>112.223.206.122</v>
      </c>
      <c r="D233" s="6" t="str">
        <f ca="1">IFERROR(__xludf.DUMMYFUNCTION("""COMPUTED_VALUE"""),"네이버예약")</f>
        <v>네이버예약</v>
      </c>
      <c r="E233" s="6" t="str">
        <f ca="1">IFERROR(__xludf.DUMMYFUNCTION("""COMPUTED_VALUE"""),"네이버예약")</f>
        <v>네이버예약</v>
      </c>
      <c r="F233" s="6" t="str">
        <f ca="1">IFERROR(__xludf.DUMMYFUNCTION("""COMPUTED_VALUE"""),"배너")</f>
        <v>배너</v>
      </c>
      <c r="G233" s="7" t="str">
        <f ca="1">IFERROR(__xludf.DUMMYFUNCTION("""COMPUTED_VALUE"""),"http://newstart-law.com/?inType=nim003&amp;NaPm=ci=6nj9Lm1DlJSUu-fA8mfXp7KA|tr=gfa|ct=mqq1rs2i|hk=b43497014ed71f61cf42c445260b75e0d404548f|nacn=YaNfD4h9mUGjA")</f>
        <v>http://newstart-law.com/?inType=nim003&amp;NaPm=ci=6nj9Lm1DlJSUu-fA8mfXp7KA|tr=gfa|ct=mqq1rs2i|hk=b43497014ed71f61cf42c445260b75e0d404548f|nacn=YaNfD4h9mUGjA</v>
      </c>
      <c r="H233" s="6" t="str">
        <f ca="1">IFERROR(__xludf.DUMMYFUNCTION("""COMPUTED_VALUE"""),"nim003")</f>
        <v>nim003</v>
      </c>
      <c r="I233" s="6" t="str">
        <f ca="1">IFERROR(__xludf.DUMMYFUNCTION("""COMPUTED_VALUE"""),"")</f>
        <v/>
      </c>
      <c r="J233" s="6" t="str">
        <f ca="1">IFERROR(__xludf.DUMMYFUNCTION("""COMPUTED_VALUE"""),"네이버 예약")</f>
        <v>네이버 예약</v>
      </c>
    </row>
    <row r="234" spans="1:10" x14ac:dyDescent="0.2">
      <c r="A234" s="6">
        <f ca="1">IFERROR(__xludf.DUMMYFUNCTION("""COMPUTED_VALUE"""),233)</f>
        <v>233</v>
      </c>
      <c r="B234" s="6">
        <f ca="1">IFERROR(__xludf.DUMMYFUNCTION("""COMPUTED_VALUE"""),46196.7280439814)</f>
        <v>46196.728043981399</v>
      </c>
      <c r="C234" s="6" t="str">
        <f ca="1">IFERROR(__xludf.DUMMYFUNCTION("""COMPUTED_VALUE"""),"113.60.76.119")</f>
        <v>113.60.76.119</v>
      </c>
      <c r="D234" s="6" t="str">
        <f ca="1">IFERROR(__xludf.DUMMYFUNCTION("""COMPUTED_VALUE"""),"네이버톡톡")</f>
        <v>네이버톡톡</v>
      </c>
      <c r="E234" s="6" t="str">
        <f ca="1">IFERROR(__xludf.DUMMYFUNCTION("""COMPUTED_VALUE"""),"네이버톡톡")</f>
        <v>네이버톡톡</v>
      </c>
      <c r="F234" s="6" t="str">
        <f ca="1">IFERROR(__xludf.DUMMYFUNCTION("""COMPUTED_VALUE"""),"배너")</f>
        <v>배너</v>
      </c>
      <c r="G234" s="7" t="str">
        <f ca="1">IFERROR(__xludf.DUMMYFUNCTION("""COMPUTED_VALUE"""),"http://newstart-law.com/?inType=nim003&amp;NaPm=ci=6ni_7GnB9IRWK_F4RHDQtjsw|tr=gfa|ct=mqqdtp16|hk=f8239599d117b22d79ec486c12724c072205667f|nacn=cdAEB0gD2HXT")</f>
        <v>http://newstart-law.com/?inType=nim003&amp;NaPm=ci=6ni_7GnB9IRWK_F4RHDQtjsw|tr=gfa|ct=mqqdtp16|hk=f8239599d117b22d79ec486c12724c072205667f|nacn=cdAEB0gD2HXT</v>
      </c>
      <c r="H234" s="6" t="str">
        <f ca="1">IFERROR(__xludf.DUMMYFUNCTION("""COMPUTED_VALUE"""),"nim003")</f>
        <v>nim003</v>
      </c>
      <c r="I234" s="6" t="str">
        <f ca="1">IFERROR(__xludf.DUMMYFUNCTION("""COMPUTED_VALUE"""),"")</f>
        <v/>
      </c>
      <c r="J234" s="6" t="str">
        <f ca="1">IFERROR(__xludf.DUMMYFUNCTION("""COMPUTED_VALUE"""),"네이버 톡톡")</f>
        <v>네이버 톡톡</v>
      </c>
    </row>
    <row r="235" spans="1:10" x14ac:dyDescent="0.2">
      <c r="A235" s="6">
        <f ca="1">IFERROR(__xludf.DUMMYFUNCTION("""COMPUTED_VALUE"""),234)</f>
        <v>234</v>
      </c>
      <c r="B235" s="6">
        <f ca="1">IFERROR(__xludf.DUMMYFUNCTION("""COMPUTED_VALUE"""),46196.7500810185)</f>
        <v>46196.750081018501</v>
      </c>
      <c r="C235" s="6" t="str">
        <f ca="1">IFERROR(__xludf.DUMMYFUNCTION("""COMPUTED_VALUE"""),"신근호")</f>
        <v>신근호</v>
      </c>
      <c r="D235" s="6">
        <f ca="1">IFERROR(__xludf.DUMMYFUNCTION("""COMPUTED_VALUE"""),1030494207)</f>
        <v>1030494207</v>
      </c>
      <c r="E235" s="6" t="str">
        <f ca="1">IFERROR(__xludf.DUMMYFUNCTION("""COMPUTED_VALUE"""),"상담신청")</f>
        <v>상담신청</v>
      </c>
      <c r="F235" s="6" t="str">
        <f ca="1">IFERROR(__xludf.DUMMYFUNCTION("""COMPUTED_VALUE"""),"배너")</f>
        <v>배너</v>
      </c>
      <c r="G235" s="7" t="str">
        <f ca="1">IFERROR(__xludf.DUMMYFUNCTION("""COMPUTED_VALUE"""),"http://newstart-law.com/?inType=nim003&amp;NaPm=ci=6nU_RCmccrRkaI79DcO28a9Q|tr=gfa|ct=mqqex5wt|hk=7e9d4fe532aeabe2e0819aa9e6745e247e0dea10|nacn=YcmqBswpfUQnB")</f>
        <v>http://newstart-law.com/?inType=nim003&amp;NaPm=ci=6nU_RCmccrRkaI79DcO28a9Q|tr=gfa|ct=mqqex5wt|hk=7e9d4fe532aeabe2e0819aa9e6745e247e0dea10|nacn=YcmqBswpfUQnB</v>
      </c>
      <c r="H235" s="6" t="str">
        <f ca="1">IFERROR(__xludf.DUMMYFUNCTION("""COMPUTED_VALUE"""),"nim003")</f>
        <v>nim003</v>
      </c>
      <c r="I235" s="6" t="str">
        <f ca="1">IFERROR(__xludf.DUMMYFUNCTION("""COMPUTED_VALUE"""),"")</f>
        <v/>
      </c>
      <c r="J235" s="6" t="str">
        <f ca="1">IFERROR(__xludf.DUMMYFUNCTION("""COMPUTED_VALUE"""),"모바일 하단 상담폼")</f>
        <v>모바일 하단 상담폼</v>
      </c>
    </row>
    <row r="236" spans="1:10" x14ac:dyDescent="0.2">
      <c r="A236" s="6">
        <f ca="1">IFERROR(__xludf.DUMMYFUNCTION("""COMPUTED_VALUE"""),235)</f>
        <v>235</v>
      </c>
      <c r="B236" s="6">
        <f ca="1">IFERROR(__xludf.DUMMYFUNCTION("""COMPUTED_VALUE"""),46196.7673263888)</f>
        <v>46196.767326388799</v>
      </c>
      <c r="C236" s="6" t="str">
        <f ca="1">IFERROR(__xludf.DUMMYFUNCTION("""COMPUTED_VALUE"""),"211.109.254.155")</f>
        <v>211.109.254.155</v>
      </c>
      <c r="D236" s="6" t="str">
        <f ca="1">IFERROR(__xludf.DUMMYFUNCTION("""COMPUTED_VALUE"""),"네이버톡톡")</f>
        <v>네이버톡톡</v>
      </c>
      <c r="E236" s="6" t="str">
        <f ca="1">IFERROR(__xludf.DUMMYFUNCTION("""COMPUTED_VALUE"""),"네이버톡톡")</f>
        <v>네이버톡톡</v>
      </c>
      <c r="F236" s="6" t="str">
        <f ca="1">IFERROR(__xludf.DUMMYFUNCTION("""COMPUTED_VALUE"""),"배너")</f>
        <v>배너</v>
      </c>
      <c r="G236" s="7" t="str">
        <f ca="1">IFERROR(__xludf.DUMMYFUNCTION("""COMPUTED_VALUE"""),"http://newstart-law.com/?inType=nim003&amp;NaPm=ci=6n3Q1yoJyDSsqhV_8zeb51nA|tr=gfa|ct=mqqfufh9|hk=d6db716c9a0c514fc023591f5d9f784e77b1a9d3|nacn=yDjgBgwOPjgm")</f>
        <v>http://newstart-law.com/?inType=nim003&amp;NaPm=ci=6n3Q1yoJyDSsqhV_8zeb51nA|tr=gfa|ct=mqqfufh9|hk=d6db716c9a0c514fc023591f5d9f784e77b1a9d3|nacn=yDjgBgwOPjgm</v>
      </c>
      <c r="H236" s="6" t="str">
        <f ca="1">IFERROR(__xludf.DUMMYFUNCTION("""COMPUTED_VALUE"""),"nim003")</f>
        <v>nim003</v>
      </c>
      <c r="I236" s="6" t="str">
        <f ca="1">IFERROR(__xludf.DUMMYFUNCTION("""COMPUTED_VALUE"""),"")</f>
        <v/>
      </c>
      <c r="J236" s="6" t="str">
        <f ca="1">IFERROR(__xludf.DUMMYFUNCTION("""COMPUTED_VALUE"""),"네이버 톡톡")</f>
        <v>네이버 톡톡</v>
      </c>
    </row>
    <row r="237" spans="1:10" x14ac:dyDescent="0.2">
      <c r="A237" s="6">
        <f ca="1">IFERROR(__xludf.DUMMYFUNCTION("""COMPUTED_VALUE"""),236)</f>
        <v>236</v>
      </c>
      <c r="B237" s="6">
        <f ca="1">IFERROR(__xludf.DUMMYFUNCTION("""COMPUTED_VALUE"""),46196.7725925925)</f>
        <v>46196.772592592497</v>
      </c>
      <c r="C237" s="6" t="str">
        <f ca="1">IFERROR(__xludf.DUMMYFUNCTION("""COMPUTED_VALUE"""),"211.119.230.236")</f>
        <v>211.119.230.236</v>
      </c>
      <c r="D237" s="6" t="str">
        <f ca="1">IFERROR(__xludf.DUMMYFUNCTION("""COMPUTED_VALUE"""),"카카오")</f>
        <v>카카오</v>
      </c>
      <c r="E237" s="6" t="str">
        <f ca="1">IFERROR(__xludf.DUMMYFUNCTION("""COMPUTED_VALUE"""),"카카오톡")</f>
        <v>카카오톡</v>
      </c>
      <c r="F237" s="6" t="str">
        <f ca="1">IFERROR(__xludf.DUMMYFUNCTION("""COMPUTED_VALUE"""),"검색")</f>
        <v>검색</v>
      </c>
      <c r="G237" s="7" t="str">
        <f ca="1">IFERROR(__xludf.DUMMYFUNCTION("""COMPUTED_VALUE"""),"https://www.newstart-law.com/?inType=NK&amp;n_media=27758&amp;n_query=개인회생상담&amp;n_rank=6&amp;n_ad_group=grp-a001-01-000000063065651&amp;n_ad=nad-a001-01-000000495459437&amp;n_keyword_id=nkw-a001-01-000007951807367&amp;n_keyword=개인회생상담&amp;n_campaign_type=1&amp;n_ad_group_type=1&amp;n_match=1&amp;N"&amp;"aPm=ct=mqqg4d1t|ci=ER73b8089d-6ee6-11f1-b915-56305bda6a30|tr=sa|hk=40a069b3d207265d387b118c6ce5727f6bff14b9|nacn=yKCjBIRM0t")</f>
        <v>https://www.newstart-law.com/?inType=NK&amp;n_media=27758&amp;n_query=개인회생상담&amp;n_rank=6&amp;n_ad_group=grp-a001-01-000000063065651&amp;n_ad=nad-a001-01-000000495459437&amp;n_keyword_id=nkw-a001-01-000007951807367&amp;n_keyword=개인회생상담&amp;n_campaign_type=1&amp;n_ad_group_type=1&amp;n_match=1&amp;NaPm=ct=mqqg4d1t|ci=ER73b8089d-6ee6-11f1-b915-56305bda6a30|tr=sa|hk=40a069b3d207265d387b118c6ce5727f6bff14b9|nacn=yKCjBIRM0t</v>
      </c>
      <c r="H237" s="6" t="str">
        <f ca="1">IFERROR(__xludf.DUMMYFUNCTION("""COMPUTED_VALUE"""),"NK")</f>
        <v>NK</v>
      </c>
      <c r="I237" s="6" t="str">
        <f ca="1">IFERROR(__xludf.DUMMYFUNCTION("""COMPUTED_VALUE"""),"개인회생상담")</f>
        <v>개인회생상담</v>
      </c>
      <c r="J237" s="6" t="str">
        <f ca="1">IFERROR(__xludf.DUMMYFUNCTION("""COMPUTED_VALUE"""),"카카오톡")</f>
        <v>카카오톡</v>
      </c>
    </row>
    <row r="238" spans="1:10" x14ac:dyDescent="0.2">
      <c r="A238" s="6">
        <f ca="1">IFERROR(__xludf.DUMMYFUNCTION("""COMPUTED_VALUE"""),237)</f>
        <v>237</v>
      </c>
      <c r="B238" s="6">
        <f ca="1">IFERROR(__xludf.DUMMYFUNCTION("""COMPUTED_VALUE"""),46196.8374305555)</f>
        <v>46196.837430555497</v>
      </c>
      <c r="C238" s="6" t="str">
        <f ca="1">IFERROR(__xludf.DUMMYFUNCTION("""COMPUTED_VALUE"""),"조용채")</f>
        <v>조용채</v>
      </c>
      <c r="D238" s="6">
        <f ca="1">IFERROR(__xludf.DUMMYFUNCTION("""COMPUTED_VALUE"""),1037296207)</f>
        <v>1037296207</v>
      </c>
      <c r="E238" s="6" t="str">
        <f ca="1">IFERROR(__xludf.DUMMYFUNCTION("""COMPUTED_VALUE"""),"상담신청")</f>
        <v>상담신청</v>
      </c>
      <c r="F238" s="6" t="str">
        <f ca="1">IFERROR(__xludf.DUMMYFUNCTION("""COMPUTED_VALUE"""),"검색")</f>
        <v>검색</v>
      </c>
      <c r="G238" s="7" t="str">
        <f ca="1">IFERROR(__xludf.DUMMYFUNCTION("""COMPUTED_VALUE"""),"https://www.newstart-law.com/?inType=NK&amp;n_media=8753&amp;n_query=개인회생파산&amp;n_rank=1&amp;n_ad_group=grp-a001-01-000000063065632&amp;n_ad=nad-a001-01-000000485213835&amp;n_keyword_id=nkw-a001-01-000007951806231&amp;n_keyword=개인회생파산&amp;n_campaign_type=1&amp;n_ad_group_type=1&amp;n_match=1&amp;Na"&amp;"Pm=ct=mqqjcjtd|ci=ER12ce3cd7-6ef3-11f1-8eec-025cbd97c4e5|tr=sa|hk=f8ccf4863508383b0659481c03e5041b363fb2eb|nacn=o1ReCAh2sUk")</f>
        <v>https://www.newstart-law.com/?inType=NK&amp;n_media=8753&amp;n_query=개인회생파산&amp;n_rank=1&amp;n_ad_group=grp-a001-01-000000063065632&amp;n_ad=nad-a001-01-000000485213835&amp;n_keyword_id=nkw-a001-01-000007951806231&amp;n_keyword=개인회생파산&amp;n_campaign_type=1&amp;n_ad_group_type=1&amp;n_match=1&amp;NaPm=ct=mqqjcjtd|ci=ER12ce3cd7-6ef3-11f1-8eec-025cbd97c4e5|tr=sa|hk=f8ccf4863508383b0659481c03e5041b363fb2eb|nacn=o1ReCAh2sUk</v>
      </c>
      <c r="H238" s="6" t="str">
        <f ca="1">IFERROR(__xludf.DUMMYFUNCTION("""COMPUTED_VALUE"""),"NK")</f>
        <v>NK</v>
      </c>
      <c r="I238" s="6" t="str">
        <f ca="1">IFERROR(__xludf.DUMMYFUNCTION("""COMPUTED_VALUE"""),"개인회생파산")</f>
        <v>개인회생파산</v>
      </c>
      <c r="J238" s="6" t="str">
        <f ca="1">IFERROR(__xludf.DUMMYFUNCTION("""COMPUTED_VALUE"""),"AI 진단")</f>
        <v>AI 진단</v>
      </c>
    </row>
    <row r="239" spans="1:10" x14ac:dyDescent="0.2">
      <c r="A239" s="6">
        <f ca="1">IFERROR(__xludf.DUMMYFUNCTION("""COMPUTED_VALUE"""),238)</f>
        <v>238</v>
      </c>
      <c r="B239" s="6">
        <f ca="1">IFERROR(__xludf.DUMMYFUNCTION("""COMPUTED_VALUE"""),46196.934537037)</f>
        <v>46196.934537036999</v>
      </c>
      <c r="C239" s="6" t="str">
        <f ca="1">IFERROR(__xludf.DUMMYFUNCTION("""COMPUTED_VALUE"""),"김지은")</f>
        <v>김지은</v>
      </c>
      <c r="D239" s="6">
        <f ca="1">IFERROR(__xludf.DUMMYFUNCTION("""COMPUTED_VALUE"""),1063978565)</f>
        <v>1063978565</v>
      </c>
      <c r="E239" s="6" t="str">
        <f ca="1">IFERROR(__xludf.DUMMYFUNCTION("""COMPUTED_VALUE"""),"상담신청")</f>
        <v>상담신청</v>
      </c>
      <c r="F239" s="6" t="str">
        <f ca="1">IFERROR(__xludf.DUMMYFUNCTION("""COMPUTED_VALUE"""),"검색")</f>
        <v>검색</v>
      </c>
      <c r="G239" s="7" t="str">
        <f ca="1">IFERROR(__xludf.DUMMYFUNCTION("""COMPUTED_VALUE"""),"https://www.newstart-law.com/?inType=NK&amp;n_media=8753&amp;n_query=개인회생신청자격&amp;n_rank=5&amp;n_ad_group=grp-a001-01-000000063065632&amp;n_ad=nad-a001-01-000000495459382&amp;n_keyword_id=nkw-a001-01-000007951806209&amp;n_keyword=개인회생신청자격&amp;n_campaign_type=1&amp;n_ad_group_type=1&amp;n_match="&amp;"1&amp;NaPm=ct=mqqoei1a|ci=ERd6b1cf1b-6f06-11f1-ac4a-ca5d8a12ad1a|tr=sa|hk=bce0b10d26c8fb7bff65bbdc3")</f>
        <v>https://www.newstart-law.com/?inType=NK&amp;n_media=8753&amp;n_query=개인회생신청자격&amp;n_rank=5&amp;n_ad_group=grp-a001-01-000000063065632&amp;n_ad=nad-a001-01-000000495459382&amp;n_keyword_id=nkw-a001-01-000007951806209&amp;n_keyword=개인회생신청자격&amp;n_campaign_type=1&amp;n_ad_group_type=1&amp;n_match=1&amp;NaPm=ct=mqqoei1a|ci=ERd6b1cf1b-6f06-11f1-ac4a-ca5d8a12ad1a|tr=sa|hk=bce0b10d26c8fb7bff65bbdc3</v>
      </c>
      <c r="H239" s="6" t="str">
        <f ca="1">IFERROR(__xludf.DUMMYFUNCTION("""COMPUTED_VALUE"""),"NK")</f>
        <v>NK</v>
      </c>
      <c r="I239" s="6" t="str">
        <f ca="1">IFERROR(__xludf.DUMMYFUNCTION("""COMPUTED_VALUE"""),"개인회생신청자격")</f>
        <v>개인회생신청자격</v>
      </c>
      <c r="J239" s="6" t="str">
        <f ca="1">IFERROR(__xludf.DUMMYFUNCTION("""COMPUTED_VALUE"""),"AI 진단")</f>
        <v>AI 진단</v>
      </c>
    </row>
    <row r="240" spans="1:10" x14ac:dyDescent="0.2">
      <c r="A240" s="6">
        <f ca="1">IFERROR(__xludf.DUMMYFUNCTION("""COMPUTED_VALUE"""),239)</f>
        <v>239</v>
      </c>
      <c r="B240" s="6">
        <f ca="1">IFERROR(__xludf.DUMMYFUNCTION("""COMPUTED_VALUE"""),46197.3709375)</f>
        <v>46197.370937500003</v>
      </c>
      <c r="C240" s="6" t="str">
        <f ca="1">IFERROR(__xludf.DUMMYFUNCTION("""COMPUTED_VALUE"""),"황동일")</f>
        <v>황동일</v>
      </c>
      <c r="D240" s="6">
        <f ca="1">IFERROR(__xludf.DUMMYFUNCTION("""COMPUTED_VALUE"""),1088596067)</f>
        <v>1088596067</v>
      </c>
      <c r="E240" s="6" t="str">
        <f ca="1">IFERROR(__xludf.DUMMYFUNCTION("""COMPUTED_VALUE"""),"상담신청")</f>
        <v>상담신청</v>
      </c>
      <c r="F240" s="6" t="str">
        <f ca="1">IFERROR(__xludf.DUMMYFUNCTION("""COMPUTED_VALUE"""),"배너")</f>
        <v>배너</v>
      </c>
      <c r="G240" s="7" t="str">
        <f ca="1">IFERROR(__xludf.DUMMYFUNCTION("""COMPUTED_VALUE"""),"https://newstart-law.com/?inType=NIP002&amp;NaPm=ci=6oN7KXlEGaT0aUNEtWJpk3gg|tr=gfa|ct=mqravqz9|hk=cf336f374fb8eadb911194017d1efccbe5b87d37|nacn=kndfCQCaKpUpA")</f>
        <v>https://newstart-law.com/?inType=NIP002&amp;NaPm=ci=6oN7KXlEGaT0aUNEtWJpk3gg|tr=gfa|ct=mqravqz9|hk=cf336f374fb8eadb911194017d1efccbe5b87d37|nacn=kndfCQCaKpUpA</v>
      </c>
      <c r="H240" s="6" t="str">
        <f ca="1">IFERROR(__xludf.DUMMYFUNCTION("""COMPUTED_VALUE"""),"NIP002")</f>
        <v>NIP002</v>
      </c>
      <c r="I240" s="6" t="str">
        <f ca="1">IFERROR(__xludf.DUMMYFUNCTION("""COMPUTED_VALUE"""),"")</f>
        <v/>
      </c>
      <c r="J240" s="6" t="str">
        <f ca="1">IFERROR(__xludf.DUMMYFUNCTION("""COMPUTED_VALUE"""),"메인 상단 상담폼")</f>
        <v>메인 상단 상담폼</v>
      </c>
    </row>
    <row r="241" spans="1:10" x14ac:dyDescent="0.2">
      <c r="A241" s="6">
        <f ca="1">IFERROR(__xludf.DUMMYFUNCTION("""COMPUTED_VALUE"""),240)</f>
        <v>240</v>
      </c>
      <c r="B241" s="6">
        <f ca="1">IFERROR(__xludf.DUMMYFUNCTION("""COMPUTED_VALUE"""),46197.3936111111)</f>
        <v>46197.393611111103</v>
      </c>
      <c r="C241" s="6" t="str">
        <f ca="1">IFERROR(__xludf.DUMMYFUNCTION("""COMPUTED_VALUE"""),"118.235.2.93")</f>
        <v>118.235.2.93</v>
      </c>
      <c r="D241" s="6" t="str">
        <f ca="1">IFERROR(__xludf.DUMMYFUNCTION("""COMPUTED_VALUE"""),"네이버톡톡")</f>
        <v>네이버톡톡</v>
      </c>
      <c r="E241" s="6" t="str">
        <f ca="1">IFERROR(__xludf.DUMMYFUNCTION("""COMPUTED_VALUE"""),"네이버톡톡")</f>
        <v>네이버톡톡</v>
      </c>
      <c r="F241" s="6" t="str">
        <f ca="1">IFERROR(__xludf.DUMMYFUNCTION("""COMPUTED_VALUE"""),"배너")</f>
        <v>배너</v>
      </c>
      <c r="G241" s="7" t="str">
        <f ca="1">IFERROR(__xludf.DUMMYFUNCTION("""COMPUTED_VALUE"""),"http://newstart-law.com/?inType=nim003&amp;NaPm=ci=6owqiI83AzQZeefzj6SWyilQ|tr=gfa|ct=mqrby1xo|hk=c297285b763748f486e9645c7e8e33f93abc3268|nacn=zdlRBggkEqeyB")</f>
        <v>http://newstart-law.com/?inType=nim003&amp;NaPm=ci=6owqiI83AzQZeefzj6SWyilQ|tr=gfa|ct=mqrby1xo|hk=c297285b763748f486e9645c7e8e33f93abc3268|nacn=zdlRBggkEqeyB</v>
      </c>
      <c r="H241" s="6" t="str">
        <f ca="1">IFERROR(__xludf.DUMMYFUNCTION("""COMPUTED_VALUE"""),"nim003")</f>
        <v>nim003</v>
      </c>
      <c r="I241" s="6" t="str">
        <f ca="1">IFERROR(__xludf.DUMMYFUNCTION("""COMPUTED_VALUE"""),"")</f>
        <v/>
      </c>
      <c r="J241" s="6" t="str">
        <f ca="1">IFERROR(__xludf.DUMMYFUNCTION("""COMPUTED_VALUE"""),"네이버 톡톡")</f>
        <v>네이버 톡톡</v>
      </c>
    </row>
    <row r="242" spans="1:10" x14ac:dyDescent="0.2">
      <c r="A242" s="6">
        <f ca="1">IFERROR(__xludf.DUMMYFUNCTION("""COMPUTED_VALUE"""),241)</f>
        <v>241</v>
      </c>
      <c r="B242" s="6">
        <f ca="1">IFERROR(__xludf.DUMMYFUNCTION("""COMPUTED_VALUE"""),46197.3997916666)</f>
        <v>46197.399791666598</v>
      </c>
      <c r="C242" s="6" t="str">
        <f ca="1">IFERROR(__xludf.DUMMYFUNCTION("""COMPUTED_VALUE"""),"106.101.78.57")</f>
        <v>106.101.78.57</v>
      </c>
      <c r="D242" s="6" t="str">
        <f ca="1">IFERROR(__xludf.DUMMYFUNCTION("""COMPUTED_VALUE"""),"네이버예약")</f>
        <v>네이버예약</v>
      </c>
      <c r="E242" s="6" t="str">
        <f ca="1">IFERROR(__xludf.DUMMYFUNCTION("""COMPUTED_VALUE"""),"네이버예약")</f>
        <v>네이버예약</v>
      </c>
      <c r="F242" s="6" t="str">
        <f ca="1">IFERROR(__xludf.DUMMYFUNCTION("""COMPUTED_VALUE"""),"배너")</f>
        <v>배너</v>
      </c>
      <c r="G242" s="7" t="str">
        <f ca="1">IFERROR(__xludf.DUMMYFUNCTION("""COMPUTED_VALUE"""),"http://newstart-law.com/?inType=nim003&amp;NaPm=ci=6oQFy20hu1Q6KRJftOmXk84Q|tr=gfa|ct=mqrc8dg2|hk=270ba4c5fcf7b5bbf2138eba8e955dae5f5a346f|nacn=NFeMDghMqRoqA")</f>
        <v>http://newstart-law.com/?inType=nim003&amp;NaPm=ci=6oQFy20hu1Q6KRJftOmXk84Q|tr=gfa|ct=mqrc8dg2|hk=270ba4c5fcf7b5bbf2138eba8e955dae5f5a346f|nacn=NFeMDghMqRoqA</v>
      </c>
      <c r="H242" s="6" t="str">
        <f ca="1">IFERROR(__xludf.DUMMYFUNCTION("""COMPUTED_VALUE"""),"nim003")</f>
        <v>nim003</v>
      </c>
      <c r="I242" s="6" t="str">
        <f ca="1">IFERROR(__xludf.DUMMYFUNCTION("""COMPUTED_VALUE"""),"")</f>
        <v/>
      </c>
      <c r="J242" s="6" t="str">
        <f ca="1">IFERROR(__xludf.DUMMYFUNCTION("""COMPUTED_VALUE"""),"네이버 예약")</f>
        <v>네이버 예약</v>
      </c>
    </row>
    <row r="243" spans="1:10" x14ac:dyDescent="0.2">
      <c r="A243" s="6">
        <f ca="1">IFERROR(__xludf.DUMMYFUNCTION("""COMPUTED_VALUE"""),242)</f>
        <v>242</v>
      </c>
      <c r="B243" s="6">
        <f ca="1">IFERROR(__xludf.DUMMYFUNCTION("""COMPUTED_VALUE"""),46197.4007175925)</f>
        <v>46197.4007175925</v>
      </c>
      <c r="C243" s="6" t="str">
        <f ca="1">IFERROR(__xludf.DUMMYFUNCTION("""COMPUTED_VALUE"""),"211.234.226.127")</f>
        <v>211.234.226.127</v>
      </c>
      <c r="D243" s="6" t="str">
        <f ca="1">IFERROR(__xludf.DUMMYFUNCTION("""COMPUTED_VALUE"""),"네이버톡톡")</f>
        <v>네이버톡톡</v>
      </c>
      <c r="E243" s="6" t="str">
        <f ca="1">IFERROR(__xludf.DUMMYFUNCTION("""COMPUTED_VALUE"""),"네이버톡톡")</f>
        <v>네이버톡톡</v>
      </c>
      <c r="F243" s="6" t="str">
        <f ca="1">IFERROR(__xludf.DUMMYFUNCTION("""COMPUTED_VALUE"""),"배너")</f>
        <v>배너</v>
      </c>
      <c r="G243" s="7" t="str">
        <f ca="1">IFERROR(__xludf.DUMMYFUNCTION("""COMPUTED_VALUE"""),"http://newstart-law.com/?inType=nim003&amp;NaPm=ci=6oLsqTP7B3TnirrHnE4MJ3hQ|tr=gfa|ct=mqrc9y11|hk=c6a504e8b5afba4a7f99c8ffa22e68af4faac6a4|nacn=3mzjBkwoB5fOB")</f>
        <v>http://newstart-law.com/?inType=nim003&amp;NaPm=ci=6oLsqTP7B3TnirrHnE4MJ3hQ|tr=gfa|ct=mqrc9y11|hk=c6a504e8b5afba4a7f99c8ffa22e68af4faac6a4|nacn=3mzjBkwoB5fOB</v>
      </c>
      <c r="H243" s="6" t="str">
        <f ca="1">IFERROR(__xludf.DUMMYFUNCTION("""COMPUTED_VALUE"""),"nim003")</f>
        <v>nim003</v>
      </c>
      <c r="I243" s="6" t="str">
        <f ca="1">IFERROR(__xludf.DUMMYFUNCTION("""COMPUTED_VALUE"""),"")</f>
        <v/>
      </c>
      <c r="J243" s="6" t="str">
        <f ca="1">IFERROR(__xludf.DUMMYFUNCTION("""COMPUTED_VALUE"""),"네이버 톡톡")</f>
        <v>네이버 톡톡</v>
      </c>
    </row>
    <row r="244" spans="1:10" x14ac:dyDescent="0.2">
      <c r="A244" s="6">
        <f ca="1">IFERROR(__xludf.DUMMYFUNCTION("""COMPUTED_VALUE"""),243)</f>
        <v>243</v>
      </c>
      <c r="B244" s="6">
        <f ca="1">IFERROR(__xludf.DUMMYFUNCTION("""COMPUTED_VALUE"""),46197.4202546296)</f>
        <v>46197.4202546296</v>
      </c>
      <c r="C244" s="6" t="str">
        <f ca="1">IFERROR(__xludf.DUMMYFUNCTION("""COMPUTED_VALUE"""),"211.234.195.243")</f>
        <v>211.234.195.243</v>
      </c>
      <c r="D244" s="6" t="str">
        <f ca="1">IFERROR(__xludf.DUMMYFUNCTION("""COMPUTED_VALUE"""),"카카오")</f>
        <v>카카오</v>
      </c>
      <c r="E244" s="6" t="str">
        <f ca="1">IFERROR(__xludf.DUMMYFUNCTION("""COMPUTED_VALUE"""),"카카오톡")</f>
        <v>카카오톡</v>
      </c>
      <c r="F244" s="6" t="str">
        <f ca="1">IFERROR(__xludf.DUMMYFUNCTION("""COMPUTED_VALUE"""),"배너")</f>
        <v>배너</v>
      </c>
      <c r="G244" s="7" t="str">
        <f ca="1">IFERROR(__xludf.DUMMYFUNCTION("""COMPUTED_VALUE"""),"http://newstart-law.com/?inType=nim003&amp;NaPm=ci=6oRi6waWvlS_--L5wqkyblCQ|tr=gfa|ct=mqrde0m4|hk=85a0b92dd29ce9dbf49b00e0bfe44177ec3e5a4e|nacn=00MhBABzP7Eo")</f>
        <v>http://newstart-law.com/?inType=nim003&amp;NaPm=ci=6oRi6waWvlS_--L5wqkyblCQ|tr=gfa|ct=mqrde0m4|hk=85a0b92dd29ce9dbf49b00e0bfe44177ec3e5a4e|nacn=00MhBABzP7Eo</v>
      </c>
      <c r="H244" s="6" t="str">
        <f ca="1">IFERROR(__xludf.DUMMYFUNCTION("""COMPUTED_VALUE"""),"nim003")</f>
        <v>nim003</v>
      </c>
      <c r="I244" s="6" t="str">
        <f ca="1">IFERROR(__xludf.DUMMYFUNCTION("""COMPUTED_VALUE"""),"")</f>
        <v/>
      </c>
      <c r="J244" s="6" t="str">
        <f ca="1">IFERROR(__xludf.DUMMYFUNCTION("""COMPUTED_VALUE"""),"카카오톡")</f>
        <v>카카오톡</v>
      </c>
    </row>
    <row r="245" spans="1:10" x14ac:dyDescent="0.2">
      <c r="A245" s="6">
        <f ca="1">IFERROR(__xludf.DUMMYFUNCTION("""COMPUTED_VALUE"""),244)</f>
        <v>244</v>
      </c>
      <c r="B245" s="6">
        <f ca="1">IFERROR(__xludf.DUMMYFUNCTION("""COMPUTED_VALUE"""),46197.6004513888)</f>
        <v>46197.600451388797</v>
      </c>
      <c r="C245" s="6" t="str">
        <f ca="1">IFERROR(__xludf.DUMMYFUNCTION("""COMPUTED_VALUE"""),"118.235.11.83")</f>
        <v>118.235.11.83</v>
      </c>
      <c r="D245" s="6" t="str">
        <f ca="1">IFERROR(__xludf.DUMMYFUNCTION("""COMPUTED_VALUE"""),"네이버톡톡")</f>
        <v>네이버톡톡</v>
      </c>
      <c r="E245" s="6" t="str">
        <f ca="1">IFERROR(__xludf.DUMMYFUNCTION("""COMPUTED_VALUE"""),"네이버톡톡")</f>
        <v>네이버톡톡</v>
      </c>
      <c r="F245" s="6" t="str">
        <f ca="1">IFERROR(__xludf.DUMMYFUNCTION("""COMPUTED_VALUE"""),"배너")</f>
        <v>배너</v>
      </c>
      <c r="G245" s="7" t="str">
        <f ca="1">IFERROR(__xludf.DUMMYFUNCTION("""COMPUTED_VALUE"""),"http://newstart-law.com/?inType=nim003&amp;NaPm=ci=6oFrN7CAdnR76j0-dl9md55w|tr=gfa|ct=mqrmp9q4|hk=54ab109d3fc60f2b73fe9dad67ba8738a2002524|nacn=KCDdBswfdVOyA")</f>
        <v>http://newstart-law.com/?inType=nim003&amp;NaPm=ci=6oFrN7CAdnR76j0-dl9md55w|tr=gfa|ct=mqrmp9q4|hk=54ab109d3fc60f2b73fe9dad67ba8738a2002524|nacn=KCDdBswfdVOyA</v>
      </c>
      <c r="H245" s="6" t="str">
        <f ca="1">IFERROR(__xludf.DUMMYFUNCTION("""COMPUTED_VALUE"""),"nim003")</f>
        <v>nim003</v>
      </c>
      <c r="I245" s="6" t="str">
        <f ca="1">IFERROR(__xludf.DUMMYFUNCTION("""COMPUTED_VALUE"""),"")</f>
        <v/>
      </c>
      <c r="J245" s="6" t="str">
        <f ca="1">IFERROR(__xludf.DUMMYFUNCTION("""COMPUTED_VALUE"""),"네이버 톡톡")</f>
        <v>네이버 톡톡</v>
      </c>
    </row>
    <row r="246" spans="1:10" x14ac:dyDescent="0.2">
      <c r="A246" s="6">
        <f ca="1">IFERROR(__xludf.DUMMYFUNCTION("""COMPUTED_VALUE"""),245)</f>
        <v>245</v>
      </c>
      <c r="B246" s="6">
        <f ca="1">IFERROR(__xludf.DUMMYFUNCTION("""COMPUTED_VALUE"""),46197.6012962963)</f>
        <v>46197.6012962963</v>
      </c>
      <c r="C246" s="6" t="str">
        <f ca="1">IFERROR(__xludf.DUMMYFUNCTION("""COMPUTED_VALUE"""),"106.101.198.220")</f>
        <v>106.101.198.220</v>
      </c>
      <c r="D246" s="6" t="str">
        <f ca="1">IFERROR(__xludf.DUMMYFUNCTION("""COMPUTED_VALUE"""),"전화")</f>
        <v>전화</v>
      </c>
      <c r="E246" s="6" t="str">
        <f ca="1">IFERROR(__xludf.DUMMYFUNCTION("""COMPUTED_VALUE"""),"전화")</f>
        <v>전화</v>
      </c>
      <c r="F246" s="6" t="str">
        <f ca="1">IFERROR(__xludf.DUMMYFUNCTION("""COMPUTED_VALUE"""),"배너")</f>
        <v>배너</v>
      </c>
      <c r="G246" s="7" t="str">
        <f ca="1">IFERROR(__xludf.DUMMYFUNCTION("""COMPUTED_VALUE"""),"http://newstart-law.com/?inType=nim003&amp;NaPm=ci=6oLRaIuHA0QACY5gjpQWzDfQ|tr=gfa|ct=mqrmpng8|hk=3245fcc83f190526f6209c44aaa7c39858687f87|nacn=A6cXBMwLTzAn")</f>
        <v>http://newstart-law.com/?inType=nim003&amp;NaPm=ci=6oLRaIuHA0QACY5gjpQWzDfQ|tr=gfa|ct=mqrmpng8|hk=3245fcc83f190526f6209c44aaa7c39858687f87|nacn=A6cXBMwLTzAn</v>
      </c>
      <c r="H246" s="6" t="str">
        <f ca="1">IFERROR(__xludf.DUMMYFUNCTION("""COMPUTED_VALUE"""),"nim003")</f>
        <v>nim003</v>
      </c>
      <c r="I246" s="6" t="str">
        <f ca="1">IFERROR(__xludf.DUMMYFUNCTION("""COMPUTED_VALUE"""),"")</f>
        <v/>
      </c>
      <c r="J246" s="6" t="str">
        <f ca="1">IFERROR(__xludf.DUMMYFUNCTION("""COMPUTED_VALUE"""),"전화 문의")</f>
        <v>전화 문의</v>
      </c>
    </row>
    <row r="247" spans="1:10" x14ac:dyDescent="0.2">
      <c r="A247" s="6">
        <f ca="1">IFERROR(__xludf.DUMMYFUNCTION("""COMPUTED_VALUE"""),246)</f>
        <v>246</v>
      </c>
      <c r="B247" s="6">
        <f ca="1">IFERROR(__xludf.DUMMYFUNCTION("""COMPUTED_VALUE"""),46197.6900462962)</f>
        <v>46197.6900462962</v>
      </c>
      <c r="C247" s="6" t="str">
        <f ca="1">IFERROR(__xludf.DUMMYFUNCTION("""COMPUTED_VALUE"""),"김기준")</f>
        <v>김기준</v>
      </c>
      <c r="D247" s="6">
        <f ca="1">IFERROR(__xludf.DUMMYFUNCTION("""COMPUTED_VALUE"""),10121776462)</f>
        <v>10121776462</v>
      </c>
      <c r="E247" s="6" t="str">
        <f ca="1">IFERROR(__xludf.DUMMYFUNCTION("""COMPUTED_VALUE"""),"상담신청")</f>
        <v>상담신청</v>
      </c>
      <c r="F247" s="6" t="str">
        <f ca="1">IFERROR(__xludf.DUMMYFUNCTION("""COMPUTED_VALUE"""),"배너")</f>
        <v>배너</v>
      </c>
      <c r="G247" s="7" t="str">
        <f ca="1">IFERROR(__xludf.DUMMYFUNCTION("""COMPUTED_VALUE"""),"http://newstart-law.com/?inType=nim003&amp;NaPm=ci=6ox6fCu4zNT2-hevE1HjYfYg|tr=gfa|ct=mqrr9yji|hk=8c0a3b6596e4fccde93a1a98e8f955b9123de59a|nacn=G8PPBQgtANIR")</f>
        <v>http://newstart-law.com/?inType=nim003&amp;NaPm=ci=6ox6fCu4zNT2-hevE1HjYfYg|tr=gfa|ct=mqrr9yji|hk=8c0a3b6596e4fccde93a1a98e8f955b9123de59a|nacn=G8PPBQgtANIR</v>
      </c>
      <c r="H247" s="6" t="str">
        <f ca="1">IFERROR(__xludf.DUMMYFUNCTION("""COMPUTED_VALUE"""),"nim003")</f>
        <v>nim003</v>
      </c>
      <c r="I247" s="6" t="str">
        <f ca="1">IFERROR(__xludf.DUMMYFUNCTION("""COMPUTED_VALUE"""),"")</f>
        <v/>
      </c>
      <c r="J247" s="6" t="str">
        <f ca="1">IFERROR(__xludf.DUMMYFUNCTION("""COMPUTED_VALUE"""),"AI 진단")</f>
        <v>AI 진단</v>
      </c>
    </row>
    <row r="248" spans="1:10" x14ac:dyDescent="0.2">
      <c r="A248" s="6">
        <f ca="1">IFERROR(__xludf.DUMMYFUNCTION("""COMPUTED_VALUE"""),247)</f>
        <v>247</v>
      </c>
      <c r="B248" s="6">
        <f ca="1">IFERROR(__xludf.DUMMYFUNCTION("""COMPUTED_VALUE"""),46197.7065972222)</f>
        <v>46197.706597222197</v>
      </c>
      <c r="C248" s="6" t="str">
        <f ca="1">IFERROR(__xludf.DUMMYFUNCTION("""COMPUTED_VALUE"""),"106.101.201.63")</f>
        <v>106.101.201.63</v>
      </c>
      <c r="D248" s="6" t="str">
        <f ca="1">IFERROR(__xludf.DUMMYFUNCTION("""COMPUTED_VALUE"""),"전화")</f>
        <v>전화</v>
      </c>
      <c r="E248" s="6" t="str">
        <f ca="1">IFERROR(__xludf.DUMMYFUNCTION("""COMPUTED_VALUE"""),"전화")</f>
        <v>전화</v>
      </c>
      <c r="F248" s="6" t="str">
        <f ca="1">IFERROR(__xludf.DUMMYFUNCTION("""COMPUTED_VALUE"""),"배너")</f>
        <v>배너</v>
      </c>
      <c r="G248" s="7" t="str">
        <f ca="1">IFERROR(__xludf.DUMMYFUNCTION("""COMPUTED_VALUE"""),"http://newstart-law.com/?inType=nim003&amp;NaPm=ci=6oXYmSDnYAS1-vsPgtsmQvwg|tr=gfa|ct=mqrs5nge|hk=34287c88ad45eb7465a6ba553f91bef93ae922ba|nacn=9miJBEx8Lyym")</f>
        <v>http://newstart-law.com/?inType=nim003&amp;NaPm=ci=6oXYmSDnYAS1-vsPgtsmQvwg|tr=gfa|ct=mqrs5nge|hk=34287c88ad45eb7465a6ba553f91bef93ae922ba|nacn=9miJBEx8Lyym</v>
      </c>
      <c r="H248" s="6" t="str">
        <f ca="1">IFERROR(__xludf.DUMMYFUNCTION("""COMPUTED_VALUE"""),"nim003")</f>
        <v>nim003</v>
      </c>
      <c r="I248" s="6" t="str">
        <f ca="1">IFERROR(__xludf.DUMMYFUNCTION("""COMPUTED_VALUE"""),"")</f>
        <v/>
      </c>
      <c r="J248" s="6" t="str">
        <f ca="1">IFERROR(__xludf.DUMMYFUNCTION("""COMPUTED_VALUE"""),"전화 문의")</f>
        <v>전화 문의</v>
      </c>
    </row>
    <row r="249" spans="1:10" x14ac:dyDescent="0.2">
      <c r="A249" s="6">
        <f ca="1">IFERROR(__xludf.DUMMYFUNCTION("""COMPUTED_VALUE"""),248)</f>
        <v>248</v>
      </c>
      <c r="B249" s="6">
        <f ca="1">IFERROR(__xludf.DUMMYFUNCTION("""COMPUTED_VALUE"""),46197.7261111111)</f>
        <v>46197.7261111111</v>
      </c>
      <c r="C249" s="6" t="str">
        <f ca="1">IFERROR(__xludf.DUMMYFUNCTION("""COMPUTED_VALUE"""),"112.217.160.122")</f>
        <v>112.217.160.122</v>
      </c>
      <c r="D249" s="6" t="str">
        <f ca="1">IFERROR(__xludf.DUMMYFUNCTION("""COMPUTED_VALUE"""),"카카오")</f>
        <v>카카오</v>
      </c>
      <c r="E249" s="6" t="str">
        <f ca="1">IFERROR(__xludf.DUMMYFUNCTION("""COMPUTED_VALUE"""),"카카오톡")</f>
        <v>카카오톡</v>
      </c>
      <c r="F249" s="6" t="str">
        <f ca="1">IFERROR(__xludf.DUMMYFUNCTION("""COMPUTED_VALUE"""),"배너")</f>
        <v>배너</v>
      </c>
      <c r="G249" s="7" t="str">
        <f ca="1">IFERROR(__xludf.DUMMYFUNCTION("""COMPUTED_VALUE"""),"https://newstart-law.com/?inType=NIP002&amp;NaPm=ci=6odvN2frnySqmKY_eaD2Eh8g|tr=gfa|ct=mqrt3yp2|hk=2ef52c0a5a0c797ce64c2c4860ebf508a5c3b24f|nacn=ZcSqBARPAo0i")</f>
        <v>https://newstart-law.com/?inType=NIP002&amp;NaPm=ci=6odvN2frnySqmKY_eaD2Eh8g|tr=gfa|ct=mqrt3yp2|hk=2ef52c0a5a0c797ce64c2c4860ebf508a5c3b24f|nacn=ZcSqBARPAo0i</v>
      </c>
      <c r="H249" s="6" t="str">
        <f ca="1">IFERROR(__xludf.DUMMYFUNCTION("""COMPUTED_VALUE"""),"NIP002")</f>
        <v>NIP002</v>
      </c>
      <c r="I249" s="6" t="str">
        <f ca="1">IFERROR(__xludf.DUMMYFUNCTION("""COMPUTED_VALUE"""),"")</f>
        <v/>
      </c>
      <c r="J249" s="6" t="str">
        <f ca="1">IFERROR(__xludf.DUMMYFUNCTION("""COMPUTED_VALUE"""),"카카오톡")</f>
        <v>카카오톡</v>
      </c>
    </row>
    <row r="250" spans="1:10" x14ac:dyDescent="0.2">
      <c r="A250" s="6">
        <f ca="1">IFERROR(__xludf.DUMMYFUNCTION("""COMPUTED_VALUE"""),249)</f>
        <v>249</v>
      </c>
      <c r="B250" s="6">
        <f ca="1">IFERROR(__xludf.DUMMYFUNCTION("""COMPUTED_VALUE"""),46197.7864467592)</f>
        <v>46197.786446759201</v>
      </c>
      <c r="C250" s="6" t="str">
        <f ca="1">IFERROR(__xludf.DUMMYFUNCTION("""COMPUTED_VALUE"""),"211.234.198.95")</f>
        <v>211.234.198.95</v>
      </c>
      <c r="D250" s="6" t="str">
        <f ca="1">IFERROR(__xludf.DUMMYFUNCTION("""COMPUTED_VALUE"""),"네이버예약")</f>
        <v>네이버예약</v>
      </c>
      <c r="E250" s="6" t="str">
        <f ca="1">IFERROR(__xludf.DUMMYFUNCTION("""COMPUTED_VALUE"""),"네이버예약")</f>
        <v>네이버예약</v>
      </c>
      <c r="F250" s="6" t="str">
        <f ca="1">IFERROR(__xludf.DUMMYFUNCTION("""COMPUTED_VALUE"""),"배너")</f>
        <v>배너</v>
      </c>
      <c r="G250" s="7" t="str">
        <f ca="1">IFERROR(__xludf.DUMMYFUNCTION("""COMPUTED_VALUE"""),"http://newstart-law.com/?inType=nim003&amp;NaPm=ci=6o40o_NIpzSmmDJ642B_50yQ|tr=gfa|ct=mqrw8o0l|hk=7563f132ea5bd46001ea96bd713553e974f7a4ef|nacn=2fyTCIhlnnm3A")</f>
        <v>http://newstart-law.com/?inType=nim003&amp;NaPm=ci=6o40o_NIpzSmmDJ642B_50yQ|tr=gfa|ct=mqrw8o0l|hk=7563f132ea5bd46001ea96bd713553e974f7a4ef|nacn=2fyTCIhlnnm3A</v>
      </c>
      <c r="H250" s="6" t="str">
        <f ca="1">IFERROR(__xludf.DUMMYFUNCTION("""COMPUTED_VALUE"""),"nim003")</f>
        <v>nim003</v>
      </c>
      <c r="I250" s="6" t="str">
        <f ca="1">IFERROR(__xludf.DUMMYFUNCTION("""COMPUTED_VALUE"""),"")</f>
        <v/>
      </c>
      <c r="J250" s="6" t="str">
        <f ca="1">IFERROR(__xludf.DUMMYFUNCTION("""COMPUTED_VALUE"""),"네이버 예약")</f>
        <v>네이버 예약</v>
      </c>
    </row>
    <row r="251" spans="1:10" x14ac:dyDescent="0.2">
      <c r="A251" s="6">
        <f ca="1">IFERROR(__xludf.DUMMYFUNCTION("""COMPUTED_VALUE"""),250)</f>
        <v>250</v>
      </c>
      <c r="B251" s="6">
        <f ca="1">IFERROR(__xludf.DUMMYFUNCTION("""COMPUTED_VALUE"""),46197.83875)</f>
        <v>46197.838750000003</v>
      </c>
      <c r="C251" s="6" t="str">
        <f ca="1">IFERROR(__xludf.DUMMYFUNCTION("""COMPUTED_VALUE"""),"이재창")</f>
        <v>이재창</v>
      </c>
      <c r="D251" s="6">
        <f ca="1">IFERROR(__xludf.DUMMYFUNCTION("""COMPUTED_VALUE"""),1029365808)</f>
        <v>1029365808</v>
      </c>
      <c r="E251" s="6" t="str">
        <f ca="1">IFERROR(__xludf.DUMMYFUNCTION("""COMPUTED_VALUE"""),"상담신청")</f>
        <v>상담신청</v>
      </c>
      <c r="F251" s="6" t="str">
        <f ca="1">IFERROR(__xludf.DUMMYFUNCTION("""COMPUTED_VALUE"""),"검색")</f>
        <v>검색</v>
      </c>
      <c r="G251" s="7" t="str">
        <f ca="1">IFERROR(__xludf.DUMMYFUNCTION("""COMPUTED_VALUE"""),"https://www.newstart-law.com/?inType=NK&amp;n_media=27758&amp;n_query=개인회생상담&amp;n_rank=1&amp;n_ad_group=grp-a001-01-000000063065651&amp;n_ad=nad-a001-01-000000495459437&amp;n_keyword_id=nkw-a001-01-000007951807367&amp;n_keyword=개인회생상담&amp;n_campaign_type=1&amp;n_ad_group_type=1&amp;n_match=1&amp;N"&amp;"aPm=ct=mqryxvoj|ci=ERd58cdf4f-6fbc-11f1-a2ce-e201a69bdc71|tr=sa|hk=1545bb8fc6c27f9399cf8ebfa0b984ca40144c6d|nacn=qsyYBEhGF1")</f>
        <v>https://www.newstart-law.com/?inType=NK&amp;n_media=27758&amp;n_query=개인회생상담&amp;n_rank=1&amp;n_ad_group=grp-a001-01-000000063065651&amp;n_ad=nad-a001-01-000000495459437&amp;n_keyword_id=nkw-a001-01-000007951807367&amp;n_keyword=개인회생상담&amp;n_campaign_type=1&amp;n_ad_group_type=1&amp;n_match=1&amp;NaPm=ct=mqryxvoj|ci=ERd58cdf4f-6fbc-11f1-a2ce-e201a69bdc71|tr=sa|hk=1545bb8fc6c27f9399cf8ebfa0b984ca40144c6d|nacn=qsyYBEhGF1</v>
      </c>
      <c r="H251" s="6" t="str">
        <f ca="1">IFERROR(__xludf.DUMMYFUNCTION("""COMPUTED_VALUE"""),"NK")</f>
        <v>NK</v>
      </c>
      <c r="I251" s="6" t="str">
        <f ca="1">IFERROR(__xludf.DUMMYFUNCTION("""COMPUTED_VALUE"""),"개인회생상담")</f>
        <v>개인회생상담</v>
      </c>
      <c r="J251" s="6" t="str">
        <f ca="1">IFERROR(__xludf.DUMMYFUNCTION("""COMPUTED_VALUE"""),"AI 진단")</f>
        <v>AI 진단</v>
      </c>
    </row>
    <row r="252" spans="1:10" x14ac:dyDescent="0.2">
      <c r="A252" s="6">
        <f ca="1">IFERROR(__xludf.DUMMYFUNCTION("""COMPUTED_VALUE"""),251)</f>
        <v>251</v>
      </c>
      <c r="B252" s="6">
        <f ca="1">IFERROR(__xludf.DUMMYFUNCTION("""COMPUTED_VALUE"""),46197.8713425925)</f>
        <v>46197.871342592502</v>
      </c>
      <c r="C252" s="6" t="str">
        <f ca="1">IFERROR(__xludf.DUMMYFUNCTION("""COMPUTED_VALUE"""),"추성태")</f>
        <v>추성태</v>
      </c>
      <c r="D252" s="6" t="str">
        <f ca="1">IFERROR(__xludf.DUMMYFUNCTION("""COMPUTED_VALUE"""),"010-2201-2298")</f>
        <v>010-2201-2298</v>
      </c>
      <c r="E252" s="6" t="str">
        <f ca="1">IFERROR(__xludf.DUMMYFUNCTION("""COMPUTED_VALUE"""),"상담신청")</f>
        <v>상담신청</v>
      </c>
      <c r="F252" s="6" t="str">
        <f ca="1">IFERROR(__xludf.DUMMYFUNCTION("""COMPUTED_VALUE"""),"검색")</f>
        <v>검색</v>
      </c>
      <c r="G252" s="7" t="str">
        <f ca="1">IFERROR(__xludf.DUMMYFUNCTION("""COMPUTED_VALUE"""),"https://www.newstart-law.com/?inType=NK&amp;n_media=27758&amp;n_query=개인회생신청자격&amp;n_rank=1&amp;n_ad_group=grp-a001-01-000000063065651&amp;n_ad=nad-a001-01-000000485213838&amp;n_keyword_id=nkw-a001-01-000007951807343&amp;n_keyword=개인회생신청자격&amp;n_campaign_type=1&amp;n_ad_group_type=1&amp;n_match"&amp;"=1&amp;NaPm=ct=mqs0mpw6|ci=ER716fe362-6fc3-11f1-875c-0e1f8c7c65ea|tr=sa|hk=0b2601eb560cdc8aec3764af")</f>
        <v>https://www.newstart-law.com/?inType=NK&amp;n_media=27758&amp;n_query=개인회생신청자격&amp;n_rank=1&amp;n_ad_group=grp-a001-01-000000063065651&amp;n_ad=nad-a001-01-000000485213838&amp;n_keyword_id=nkw-a001-01-000007951807343&amp;n_keyword=개인회생신청자격&amp;n_campaign_type=1&amp;n_ad_group_type=1&amp;n_match=1&amp;NaPm=ct=mqs0mpw6|ci=ER716fe362-6fc3-11f1-875c-0e1f8c7c65ea|tr=sa|hk=0b2601eb560cdc8aec3764af</v>
      </c>
      <c r="H252" s="6" t="str">
        <f ca="1">IFERROR(__xludf.DUMMYFUNCTION("""COMPUTED_VALUE"""),"NK")</f>
        <v>NK</v>
      </c>
      <c r="I252" s="6" t="str">
        <f ca="1">IFERROR(__xludf.DUMMYFUNCTION("""COMPUTED_VALUE"""),"개인회생신청자격")</f>
        <v>개인회생신청자격</v>
      </c>
      <c r="J252" s="6" t="str">
        <f ca="1">IFERROR(__xludf.DUMMYFUNCTION("""COMPUTED_VALUE"""),"메인 상단 상담폼")</f>
        <v>메인 상단 상담폼</v>
      </c>
    </row>
    <row r="253" spans="1:10" x14ac:dyDescent="0.2">
      <c r="A253" s="6">
        <f ca="1">IFERROR(__xludf.DUMMYFUNCTION("""COMPUTED_VALUE"""),252)</f>
        <v>252</v>
      </c>
      <c r="B253" s="6">
        <f ca="1">IFERROR(__xludf.DUMMYFUNCTION("""COMPUTED_VALUE"""),46197.9017708333)</f>
        <v>46197.901770833298</v>
      </c>
      <c r="C253" s="6" t="str">
        <f ca="1">IFERROR(__xludf.DUMMYFUNCTION("""COMPUTED_VALUE"""),"121.172.51.193")</f>
        <v>121.172.51.193</v>
      </c>
      <c r="D253" s="6" t="str">
        <f ca="1">IFERROR(__xludf.DUMMYFUNCTION("""COMPUTED_VALUE"""),"네이버예약")</f>
        <v>네이버예약</v>
      </c>
      <c r="E253" s="6" t="str">
        <f ca="1">IFERROR(__xludf.DUMMYFUNCTION("""COMPUTED_VALUE"""),"네이버예약")</f>
        <v>네이버예약</v>
      </c>
      <c r="F253" s="6" t="str">
        <f ca="1">IFERROR(__xludf.DUMMYFUNCTION("""COMPUTED_VALUE"""),"검색")</f>
        <v>검색</v>
      </c>
      <c r="G253" s="7" t="str">
        <f ca="1">IFERROR(__xludf.DUMMYFUNCTION("""COMPUTED_VALUE"""),"https://www.newstart-law.com/?inType=NK&amp;n_media=27758&amp;n_query=개인회생&amp;n_rank=4&amp;n_ad_group=grp-a001-01-000000063063607&amp;n_ad=nad-a001-01-000000495459275&amp;n_keyword_id=nkw-a001-01-000007934681996&amp;n_keyword=개인회생&amp;n_campaign_type=1&amp;n_ad_group_type=1&amp;n_match=1&amp;NaPm="&amp;"ct=mqs27g08|ci=ER9aeba4e7-6fc9-11f1-bff5-c2fa024ff2a0|tr=sa|hk=d45f46af84368a8d020ebf7c43e9f9f4793a5d4c|nacn=dBiRBExqeV25A")</f>
        <v>https://www.newstart-law.com/?inType=NK&amp;n_media=27758&amp;n_query=개인회생&amp;n_rank=4&amp;n_ad_group=grp-a001-01-000000063063607&amp;n_ad=nad-a001-01-000000495459275&amp;n_keyword_id=nkw-a001-01-000007934681996&amp;n_keyword=개인회생&amp;n_campaign_type=1&amp;n_ad_group_type=1&amp;n_match=1&amp;NaPm=ct=mqs27g08|ci=ER9aeba4e7-6fc9-11f1-bff5-c2fa024ff2a0|tr=sa|hk=d45f46af84368a8d020ebf7c43e9f9f4793a5d4c|nacn=dBiRBExqeV25A</v>
      </c>
      <c r="H253" s="6" t="str">
        <f ca="1">IFERROR(__xludf.DUMMYFUNCTION("""COMPUTED_VALUE"""),"NK")</f>
        <v>NK</v>
      </c>
      <c r="I253" s="6" t="str">
        <f ca="1">IFERROR(__xludf.DUMMYFUNCTION("""COMPUTED_VALUE"""),"개인회생")</f>
        <v>개인회생</v>
      </c>
      <c r="J253" s="6" t="str">
        <f ca="1">IFERROR(__xludf.DUMMYFUNCTION("""COMPUTED_VALUE"""),"네이버 예약")</f>
        <v>네이버 예약</v>
      </c>
    </row>
    <row r="254" spans="1:10" x14ac:dyDescent="0.2">
      <c r="A254" s="6">
        <f ca="1">IFERROR(__xludf.DUMMYFUNCTION("""COMPUTED_VALUE"""),253)</f>
        <v>253</v>
      </c>
      <c r="B254" s="6">
        <f ca="1">IFERROR(__xludf.DUMMYFUNCTION("""COMPUTED_VALUE"""),46197.901886574)</f>
        <v>46197.901886574</v>
      </c>
      <c r="C254" s="6" t="str">
        <f ca="1">IFERROR(__xludf.DUMMYFUNCTION("""COMPUTED_VALUE"""),"121.172.51.193")</f>
        <v>121.172.51.193</v>
      </c>
      <c r="D254" s="6" t="str">
        <f ca="1">IFERROR(__xludf.DUMMYFUNCTION("""COMPUTED_VALUE"""),"네이버톡톡")</f>
        <v>네이버톡톡</v>
      </c>
      <c r="E254" s="6" t="str">
        <f ca="1">IFERROR(__xludf.DUMMYFUNCTION("""COMPUTED_VALUE"""),"네이버톡톡")</f>
        <v>네이버톡톡</v>
      </c>
      <c r="F254" s="6" t="str">
        <f ca="1">IFERROR(__xludf.DUMMYFUNCTION("""COMPUTED_VALUE"""),"검색")</f>
        <v>검색</v>
      </c>
      <c r="G254" s="7" t="str">
        <f ca="1">IFERROR(__xludf.DUMMYFUNCTION("""COMPUTED_VALUE"""),"https://www.newstart-law.com/?inType=NK&amp;n_media=27758&amp;n_query=개인회생&amp;n_rank=4&amp;n_ad_group=grp-a001-01-000000063063607&amp;n_ad=nad-a001-01-000000495459275&amp;n_keyword_id=nkw-a001-01-000007934681996&amp;n_keyword=개인회생&amp;n_campaign_type=1&amp;n_ad_group_type=1&amp;n_match=1&amp;NaPm="&amp;"ct=mqs27g08|ci=ER9aeba4e7-6fc9-11f1-bff5-c2fa024ff2a0|tr=sa|hk=d45f46af84368a8d020ebf7c43e9f9f4793a5d4c|nacn=dBiRBExqeV25A")</f>
        <v>https://www.newstart-law.com/?inType=NK&amp;n_media=27758&amp;n_query=개인회생&amp;n_rank=4&amp;n_ad_group=grp-a001-01-000000063063607&amp;n_ad=nad-a001-01-000000495459275&amp;n_keyword_id=nkw-a001-01-000007934681996&amp;n_keyword=개인회생&amp;n_campaign_type=1&amp;n_ad_group_type=1&amp;n_match=1&amp;NaPm=ct=mqs27g08|ci=ER9aeba4e7-6fc9-11f1-bff5-c2fa024ff2a0|tr=sa|hk=d45f46af84368a8d020ebf7c43e9f9f4793a5d4c|nacn=dBiRBExqeV25A</v>
      </c>
      <c r="H254" s="6" t="str">
        <f ca="1">IFERROR(__xludf.DUMMYFUNCTION("""COMPUTED_VALUE"""),"NK")</f>
        <v>NK</v>
      </c>
      <c r="I254" s="6" t="str">
        <f ca="1">IFERROR(__xludf.DUMMYFUNCTION("""COMPUTED_VALUE"""),"개인회생")</f>
        <v>개인회생</v>
      </c>
      <c r="J254" s="6" t="str">
        <f ca="1">IFERROR(__xludf.DUMMYFUNCTION("""COMPUTED_VALUE"""),"네이버 톡톡")</f>
        <v>네이버 톡톡</v>
      </c>
    </row>
    <row r="255" spans="1:10" x14ac:dyDescent="0.2">
      <c r="A255" s="6">
        <f ca="1">IFERROR(__xludf.DUMMYFUNCTION("""COMPUTED_VALUE"""),254)</f>
        <v>254</v>
      </c>
      <c r="B255" s="6">
        <f ca="1">IFERROR(__xludf.DUMMYFUNCTION("""COMPUTED_VALUE"""),46197.9019097222)</f>
        <v>46197.901909722197</v>
      </c>
      <c r="C255" s="6" t="str">
        <f ca="1">IFERROR(__xludf.DUMMYFUNCTION("""COMPUTED_VALUE"""),"121.172.51.193")</f>
        <v>121.172.51.193</v>
      </c>
      <c r="D255" s="6" t="str">
        <f ca="1">IFERROR(__xludf.DUMMYFUNCTION("""COMPUTED_VALUE"""),"전화")</f>
        <v>전화</v>
      </c>
      <c r="E255" s="6" t="str">
        <f ca="1">IFERROR(__xludf.DUMMYFUNCTION("""COMPUTED_VALUE"""),"전화")</f>
        <v>전화</v>
      </c>
      <c r="F255" s="6" t="str">
        <f ca="1">IFERROR(__xludf.DUMMYFUNCTION("""COMPUTED_VALUE"""),"검색")</f>
        <v>검색</v>
      </c>
      <c r="G255" s="7" t="str">
        <f ca="1">IFERROR(__xludf.DUMMYFUNCTION("""COMPUTED_VALUE"""),"https://www.newstart-law.com/?inType=NK&amp;n_media=27758&amp;n_query=개인회생&amp;n_rank=4&amp;n_ad_group=grp-a001-01-000000063063607&amp;n_ad=nad-a001-01-000000495459275&amp;n_keyword_id=nkw-a001-01-000007934681996&amp;n_keyword=개인회생&amp;n_campaign_type=1&amp;n_ad_group_type=1&amp;n_match=1&amp;NaPm="&amp;"ct=mqs27g08|ci=ER9aeba4e7-6fc9-11f1-bff5-c2fa024ff2a0|tr=sa|hk=d45f46af84368a8d020ebf7c43e9f9f4793a5d4c|nacn=dBiRBExqeV25A")</f>
        <v>https://www.newstart-law.com/?inType=NK&amp;n_media=27758&amp;n_query=개인회생&amp;n_rank=4&amp;n_ad_group=grp-a001-01-000000063063607&amp;n_ad=nad-a001-01-000000495459275&amp;n_keyword_id=nkw-a001-01-000007934681996&amp;n_keyword=개인회생&amp;n_campaign_type=1&amp;n_ad_group_type=1&amp;n_match=1&amp;NaPm=ct=mqs27g08|ci=ER9aeba4e7-6fc9-11f1-bff5-c2fa024ff2a0|tr=sa|hk=d45f46af84368a8d020ebf7c43e9f9f4793a5d4c|nacn=dBiRBExqeV25A</v>
      </c>
      <c r="H255" s="6" t="str">
        <f ca="1">IFERROR(__xludf.DUMMYFUNCTION("""COMPUTED_VALUE"""),"NK")</f>
        <v>NK</v>
      </c>
      <c r="I255" s="6" t="str">
        <f ca="1">IFERROR(__xludf.DUMMYFUNCTION("""COMPUTED_VALUE"""),"개인회생")</f>
        <v>개인회생</v>
      </c>
      <c r="J255" s="6" t="str">
        <f ca="1">IFERROR(__xludf.DUMMYFUNCTION("""COMPUTED_VALUE"""),"전화 문의")</f>
        <v>전화 문의</v>
      </c>
    </row>
    <row r="256" spans="1:10" x14ac:dyDescent="0.2">
      <c r="A256" s="6">
        <f ca="1">IFERROR(__xludf.DUMMYFUNCTION("""COMPUTED_VALUE"""),255)</f>
        <v>255</v>
      </c>
      <c r="B256" s="6">
        <f ca="1">IFERROR(__xludf.DUMMYFUNCTION("""COMPUTED_VALUE"""),46197.9019444444)</f>
        <v>46197.901944444398</v>
      </c>
      <c r="C256" s="6" t="str">
        <f ca="1">IFERROR(__xludf.DUMMYFUNCTION("""COMPUTED_VALUE"""),"121.172.51.193")</f>
        <v>121.172.51.193</v>
      </c>
      <c r="D256" s="6" t="str">
        <f ca="1">IFERROR(__xludf.DUMMYFUNCTION("""COMPUTED_VALUE"""),"카카오")</f>
        <v>카카오</v>
      </c>
      <c r="E256" s="6" t="str">
        <f ca="1">IFERROR(__xludf.DUMMYFUNCTION("""COMPUTED_VALUE"""),"카카오톡")</f>
        <v>카카오톡</v>
      </c>
      <c r="F256" s="6" t="str">
        <f ca="1">IFERROR(__xludf.DUMMYFUNCTION("""COMPUTED_VALUE"""),"검색")</f>
        <v>검색</v>
      </c>
      <c r="G256" s="7" t="str">
        <f ca="1">IFERROR(__xludf.DUMMYFUNCTION("""COMPUTED_VALUE"""),"https://www.newstart-law.com/?inType=NK&amp;n_media=27758&amp;n_query=개인회생&amp;n_rank=4&amp;n_ad_group=grp-a001-01-000000063063607&amp;n_ad=nad-a001-01-000000495459275&amp;n_keyword_id=nkw-a001-01-000007934681996&amp;n_keyword=개인회생&amp;n_campaign_type=1&amp;n_ad_group_type=1&amp;n_match=1&amp;NaPm="&amp;"ct=mqs27g08|ci=ER9aeba4e7-6fc9-11f1-bff5-c2fa024ff2a0|tr=sa|hk=d45f46af84368a8d020ebf7c43e9f9f4793a5d4c|nacn=dBiRBExqeV25A")</f>
        <v>https://www.newstart-law.com/?inType=NK&amp;n_media=27758&amp;n_query=개인회생&amp;n_rank=4&amp;n_ad_group=grp-a001-01-000000063063607&amp;n_ad=nad-a001-01-000000495459275&amp;n_keyword_id=nkw-a001-01-000007934681996&amp;n_keyword=개인회생&amp;n_campaign_type=1&amp;n_ad_group_type=1&amp;n_match=1&amp;NaPm=ct=mqs27g08|ci=ER9aeba4e7-6fc9-11f1-bff5-c2fa024ff2a0|tr=sa|hk=d45f46af84368a8d020ebf7c43e9f9f4793a5d4c|nacn=dBiRBExqeV25A</v>
      </c>
      <c r="H256" s="6" t="str">
        <f ca="1">IFERROR(__xludf.DUMMYFUNCTION("""COMPUTED_VALUE"""),"NK")</f>
        <v>NK</v>
      </c>
      <c r="I256" s="6" t="str">
        <f ca="1">IFERROR(__xludf.DUMMYFUNCTION("""COMPUTED_VALUE"""),"개인회생")</f>
        <v>개인회생</v>
      </c>
      <c r="J256" s="6" t="str">
        <f ca="1">IFERROR(__xludf.DUMMYFUNCTION("""COMPUTED_VALUE"""),"카카오톡")</f>
        <v>카카오톡</v>
      </c>
    </row>
    <row r="257" spans="1:10" x14ac:dyDescent="0.2">
      <c r="A257" s="6">
        <f ca="1">IFERROR(__xludf.DUMMYFUNCTION("""COMPUTED_VALUE"""),256)</f>
        <v>256</v>
      </c>
      <c r="B257" s="6">
        <f ca="1">IFERROR(__xludf.DUMMYFUNCTION("""COMPUTED_VALUE"""),46197.9053703703)</f>
        <v>46197.905370370303</v>
      </c>
      <c r="C257" s="6" t="str">
        <f ca="1">IFERROR(__xludf.DUMMYFUNCTION("""COMPUTED_VALUE"""),"김현기")</f>
        <v>김현기</v>
      </c>
      <c r="D257" s="6">
        <f ca="1">IFERROR(__xludf.DUMMYFUNCTION("""COMPUTED_VALUE"""),1062523543)</f>
        <v>1062523543</v>
      </c>
      <c r="E257" s="6" t="str">
        <f ca="1">IFERROR(__xludf.DUMMYFUNCTION("""COMPUTED_VALUE"""),"상담신청")</f>
        <v>상담신청</v>
      </c>
      <c r="F257" s="6" t="str">
        <f ca="1">IFERROR(__xludf.DUMMYFUNCTION("""COMPUTED_VALUE"""),"검색")</f>
        <v>검색</v>
      </c>
      <c r="G257" s="7" t="str">
        <f ca="1">IFERROR(__xludf.DUMMYFUNCTION("""COMPUTED_VALUE"""),"https://www.newstart-law.com/?inType=NK&amp;n_media=8753&amp;n_query=파산신청&amp;n_rank=1&amp;n_ad_group=grp-a001-01-000000063065674&amp;n_ad=nad-a001-01-000000495460351&amp;n_keyword_id=nkw-a001-01-000007951811266&amp;n_keyword=파산신청&amp;n_campaign_type=1&amp;n_ad_group_type=1&amp;n_match=1&amp;NaPm=c"&amp;"t=mqs2bbub|ci=ER06f0b0f5-6fca-11f1-9df4-bea0638631d0|tr=sa|hk=06d247218e44deb4c9130431ab39c4ecffc5417b|nacn=9OpGBkwD1Vus")</f>
        <v>https://www.newstart-law.com/?inType=NK&amp;n_media=8753&amp;n_query=파산신청&amp;n_rank=1&amp;n_ad_group=grp-a001-01-000000063065674&amp;n_ad=nad-a001-01-000000495460351&amp;n_keyword_id=nkw-a001-01-000007951811266&amp;n_keyword=파산신청&amp;n_campaign_type=1&amp;n_ad_group_type=1&amp;n_match=1&amp;NaPm=ct=mqs2bbub|ci=ER06f0b0f5-6fca-11f1-9df4-bea0638631d0|tr=sa|hk=06d247218e44deb4c9130431ab39c4ecffc5417b|nacn=9OpGBkwD1Vus</v>
      </c>
      <c r="H257" s="6" t="str">
        <f ca="1">IFERROR(__xludf.DUMMYFUNCTION("""COMPUTED_VALUE"""),"NK")</f>
        <v>NK</v>
      </c>
      <c r="I257" s="6" t="str">
        <f ca="1">IFERROR(__xludf.DUMMYFUNCTION("""COMPUTED_VALUE"""),"파산신청")</f>
        <v>파산신청</v>
      </c>
      <c r="J257" s="6" t="str">
        <f ca="1">IFERROR(__xludf.DUMMYFUNCTION("""COMPUTED_VALUE"""),"AI 진단")</f>
        <v>AI 진단</v>
      </c>
    </row>
    <row r="258" spans="1:10" x14ac:dyDescent="0.2">
      <c r="A258" s="6">
        <f ca="1">IFERROR(__xludf.DUMMYFUNCTION("""COMPUTED_VALUE"""),257)</f>
        <v>257</v>
      </c>
      <c r="B258" s="6">
        <f ca="1">IFERROR(__xludf.DUMMYFUNCTION("""COMPUTED_VALUE"""),46198.4346296296)</f>
        <v>46198.434629629599</v>
      </c>
      <c r="C258" s="6" t="str">
        <f ca="1">IFERROR(__xludf.DUMMYFUNCTION("""COMPUTED_VALUE"""),"118.235.14.119")</f>
        <v>118.235.14.119</v>
      </c>
      <c r="D258" s="6" t="str">
        <f ca="1">IFERROR(__xludf.DUMMYFUNCTION("""COMPUTED_VALUE"""),"전화")</f>
        <v>전화</v>
      </c>
      <c r="E258" s="6" t="str">
        <f ca="1">IFERROR(__xludf.DUMMYFUNCTION("""COMPUTED_VALUE"""),"전화")</f>
        <v>전화</v>
      </c>
      <c r="F258" s="6" t="str">
        <f ca="1">IFERROR(__xludf.DUMMYFUNCTION("""COMPUTED_VALUE"""),"배너")</f>
        <v>배너</v>
      </c>
      <c r="G258" s="7" t="str">
        <f ca="1">IFERROR(__xludf.DUMMYFUNCTION("""COMPUTED_VALUE"""),"http://newstart-law.com/?inType=nim003&amp;NaPm=ci=6pQDEQ-aU8QzmNOyivDV3FNw|tr=gfa|ct=mqstli41|hk=45876a4c9eea54550c24101276215e89b8ebaeed|nacn=cvVRBQw4mviN")</f>
        <v>http://newstart-law.com/?inType=nim003&amp;NaPm=ci=6pQDEQ-aU8QzmNOyivDV3FNw|tr=gfa|ct=mqstli41|hk=45876a4c9eea54550c24101276215e89b8ebaeed|nacn=cvVRBQw4mviN</v>
      </c>
      <c r="H258" s="6" t="str">
        <f ca="1">IFERROR(__xludf.DUMMYFUNCTION("""COMPUTED_VALUE"""),"nim003")</f>
        <v>nim003</v>
      </c>
      <c r="I258" s="6" t="str">
        <f ca="1">IFERROR(__xludf.DUMMYFUNCTION("""COMPUTED_VALUE"""),"")</f>
        <v/>
      </c>
      <c r="J258" s="6" t="str">
        <f ca="1">IFERROR(__xludf.DUMMYFUNCTION("""COMPUTED_VALUE"""),"전화 문의")</f>
        <v>전화 문의</v>
      </c>
    </row>
    <row r="259" spans="1:10" x14ac:dyDescent="0.2">
      <c r="A259" s="6">
        <f ca="1">IFERROR(__xludf.DUMMYFUNCTION("""COMPUTED_VALUE"""),258)</f>
        <v>258</v>
      </c>
      <c r="B259" s="6">
        <f ca="1">IFERROR(__xludf.DUMMYFUNCTION("""COMPUTED_VALUE"""),46198.4513078703)</f>
        <v>46198.451307870302</v>
      </c>
      <c r="C259" s="6" t="str">
        <f ca="1">IFERROR(__xludf.DUMMYFUNCTION("""COMPUTED_VALUE"""),"106.101.207.6")</f>
        <v>106.101.207.6</v>
      </c>
      <c r="D259" s="6" t="str">
        <f ca="1">IFERROR(__xludf.DUMMYFUNCTION("""COMPUTED_VALUE"""),"전화")</f>
        <v>전화</v>
      </c>
      <c r="E259" s="6" t="str">
        <f ca="1">IFERROR(__xludf.DUMMYFUNCTION("""COMPUTED_VALUE"""),"전화")</f>
        <v>전화</v>
      </c>
      <c r="F259" s="6" t="str">
        <f ca="1">IFERROR(__xludf.DUMMYFUNCTION("""COMPUTED_VALUE"""),"배너")</f>
        <v>배너</v>
      </c>
      <c r="G259" s="7" t="str">
        <f ca="1">IFERROR(__xludf.DUMMYFUNCTION("""COMPUTED_VALUE"""),"http://newstart-law.com/?inType=nim003&amp;NaPm=ci=6pPpTCugeWTA2FEr9CNU-8Kg|tr=gfa|ct=mqsudc02|hk=dc7488e605f68202db551469d5f1709138e6247e|nacn=htVtBsAGf9ZRB")</f>
        <v>http://newstart-law.com/?inType=nim003&amp;NaPm=ci=6pPpTCugeWTA2FEr9CNU-8Kg|tr=gfa|ct=mqsudc02|hk=dc7488e605f68202db551469d5f1709138e6247e|nacn=htVtBsAGf9ZRB</v>
      </c>
      <c r="H259" s="6" t="str">
        <f ca="1">IFERROR(__xludf.DUMMYFUNCTION("""COMPUTED_VALUE"""),"nim003")</f>
        <v>nim003</v>
      </c>
      <c r="I259" s="6" t="str">
        <f ca="1">IFERROR(__xludf.DUMMYFUNCTION("""COMPUTED_VALUE"""),"")</f>
        <v/>
      </c>
      <c r="J259" s="6" t="str">
        <f ca="1">IFERROR(__xludf.DUMMYFUNCTION("""COMPUTED_VALUE"""),"전화 문의")</f>
        <v>전화 문의</v>
      </c>
    </row>
    <row r="260" spans="1:10" x14ac:dyDescent="0.2">
      <c r="A260" s="6">
        <f ca="1">IFERROR(__xludf.DUMMYFUNCTION("""COMPUTED_VALUE"""),259)</f>
        <v>259</v>
      </c>
      <c r="B260" s="6">
        <f ca="1">IFERROR(__xludf.DUMMYFUNCTION("""COMPUTED_VALUE"""),46198.4520254629)</f>
        <v>46198.452025462902</v>
      </c>
      <c r="C260" s="6" t="str">
        <f ca="1">IFERROR(__xludf.DUMMYFUNCTION("""COMPUTED_VALUE"""),"강종식")</f>
        <v>강종식</v>
      </c>
      <c r="D260" s="6">
        <f ca="1">IFERROR(__xludf.DUMMYFUNCTION("""COMPUTED_VALUE"""),1043243371)</f>
        <v>1043243371</v>
      </c>
      <c r="E260" s="6" t="str">
        <f ca="1">IFERROR(__xludf.DUMMYFUNCTION("""COMPUTED_VALUE"""),"상담신청")</f>
        <v>상담신청</v>
      </c>
      <c r="F260" s="6" t="str">
        <f ca="1">IFERROR(__xludf.DUMMYFUNCTION("""COMPUTED_VALUE"""),"배너")</f>
        <v>배너</v>
      </c>
      <c r="G260" s="7" t="str">
        <f ca="1">IFERROR(__xludf.DUMMYFUNCTION("""COMPUTED_VALUE"""),"https://newstart-law.com/?inType=NIM001&amp;NaPm=ci=6pygBWfPLiSsS5HjaATlNRmw|tr=gfa|ct=mqsuevtb|hk=3bad95e26c8caf9b1af3f590806d6c507d46fa57|nacn=IbjoB0w24NeIB")</f>
        <v>https://newstart-law.com/?inType=NIM001&amp;NaPm=ci=6pygBWfPLiSsS5HjaATlNRmw|tr=gfa|ct=mqsuevtb|hk=3bad95e26c8caf9b1af3f590806d6c507d46fa57|nacn=IbjoB0w24NeIB</v>
      </c>
      <c r="H260" s="6" t="str">
        <f ca="1">IFERROR(__xludf.DUMMYFUNCTION("""COMPUTED_VALUE"""),"NIM001")</f>
        <v>NIM001</v>
      </c>
      <c r="I260" s="6" t="str">
        <f ca="1">IFERROR(__xludf.DUMMYFUNCTION("""COMPUTED_VALUE"""),"")</f>
        <v/>
      </c>
      <c r="J260" s="6" t="str">
        <f ca="1">IFERROR(__xludf.DUMMYFUNCTION("""COMPUTED_VALUE"""),"모바일 하단 상담폼")</f>
        <v>모바일 하단 상담폼</v>
      </c>
    </row>
    <row r="261" spans="1:10" x14ac:dyDescent="0.2">
      <c r="A261" s="6">
        <f ca="1">IFERROR(__xludf.DUMMYFUNCTION("""COMPUTED_VALUE"""),260)</f>
        <v>260</v>
      </c>
      <c r="B261" s="6">
        <f ca="1">IFERROR(__xludf.DUMMYFUNCTION("""COMPUTED_VALUE"""),46198.5803587962)</f>
        <v>46198.5803587962</v>
      </c>
      <c r="C261" s="6" t="str">
        <f ca="1">IFERROR(__xludf.DUMMYFUNCTION("""COMPUTED_VALUE"""),"백순옥")</f>
        <v>백순옥</v>
      </c>
      <c r="D261" s="6">
        <f ca="1">IFERROR(__xludf.DUMMYFUNCTION("""COMPUTED_VALUE"""),1023829123)</f>
        <v>1023829123</v>
      </c>
      <c r="E261" s="6" t="str">
        <f ca="1">IFERROR(__xludf.DUMMYFUNCTION("""COMPUTED_VALUE"""),"상담신청")</f>
        <v>상담신청</v>
      </c>
      <c r="F261" s="6" t="str">
        <f ca="1">IFERROR(__xludf.DUMMYFUNCTION("""COMPUTED_VALUE"""),"배너")</f>
        <v>배너</v>
      </c>
      <c r="G261" s="7" t="str">
        <f ca="1">IFERROR(__xludf.DUMMYFUNCTION("""COMPUTED_VALUE"""),"https://newstart-law.com/?inType=NIP002&amp;NaPm=ci=6pXBxxajvrTVGCedXR9v4ywA|tr=gfa|ct=mqt0qh44|hk=c70521b55948f22c02ebe6021a40dfde3d6d1084|nacn=LTzQB0QvfeVqB")</f>
        <v>https://newstart-law.com/?inType=NIP002&amp;NaPm=ci=6pXBxxajvrTVGCedXR9v4ywA|tr=gfa|ct=mqt0qh44|hk=c70521b55948f22c02ebe6021a40dfde3d6d1084|nacn=LTzQB0QvfeVqB</v>
      </c>
      <c r="H261" s="6" t="str">
        <f ca="1">IFERROR(__xludf.DUMMYFUNCTION("""COMPUTED_VALUE"""),"NIP002")</f>
        <v>NIP002</v>
      </c>
      <c r="I261" s="6" t="str">
        <f ca="1">IFERROR(__xludf.DUMMYFUNCTION("""COMPUTED_VALUE"""),"")</f>
        <v/>
      </c>
      <c r="J261" s="6" t="str">
        <f ca="1">IFERROR(__xludf.DUMMYFUNCTION("""COMPUTED_VALUE"""),"AI 진단")</f>
        <v>AI 진단</v>
      </c>
    </row>
    <row r="262" spans="1:10" x14ac:dyDescent="0.2">
      <c r="A262" s="6">
        <f ca="1">IFERROR(__xludf.DUMMYFUNCTION("""COMPUTED_VALUE"""),261)</f>
        <v>261</v>
      </c>
      <c r="B262" s="6">
        <f ca="1">IFERROR(__xludf.DUMMYFUNCTION("""COMPUTED_VALUE"""),46198.7305092592)</f>
        <v>46198.7305092592</v>
      </c>
      <c r="C262" s="6" t="str">
        <f ca="1">IFERROR(__xludf.DUMMYFUNCTION("""COMPUTED_VALUE"""),"220.70.34.197")</f>
        <v>220.70.34.197</v>
      </c>
      <c r="D262" s="6" t="str">
        <f ca="1">IFERROR(__xludf.DUMMYFUNCTION("""COMPUTED_VALUE"""),"네이버톡톡")</f>
        <v>네이버톡톡</v>
      </c>
      <c r="E262" s="6" t="str">
        <f ca="1">IFERROR(__xludf.DUMMYFUNCTION("""COMPUTED_VALUE"""),"네이버톡톡")</f>
        <v>네이버톡톡</v>
      </c>
      <c r="F262" s="6" t="str">
        <f ca="1">IFERROR(__xludf.DUMMYFUNCTION("""COMPUTED_VALUE"""),"유입확인불가")</f>
        <v>유입확인불가</v>
      </c>
      <c r="G262" s="7" t="str">
        <f ca="1">IFERROR(__xludf.DUMMYFUNCTION("""COMPUTED_VALUE"""),"https://www.newstart-law.com/")</f>
        <v>https://www.newstart-law.com/</v>
      </c>
      <c r="H262" s="6" t="str">
        <f ca="1">IFERROR(__xludf.DUMMYFUNCTION("""COMPUTED_VALUE"""),"")</f>
        <v/>
      </c>
      <c r="I262" s="6" t="str">
        <f ca="1">IFERROR(__xludf.DUMMYFUNCTION("""COMPUTED_VALUE"""),"")</f>
        <v/>
      </c>
      <c r="J262" s="6" t="str">
        <f ca="1">IFERROR(__xludf.DUMMYFUNCTION("""COMPUTED_VALUE"""),"네이버 톡톡")</f>
        <v>네이버 톡톡</v>
      </c>
    </row>
    <row r="263" spans="1:10" x14ac:dyDescent="0.2">
      <c r="A263" s="6">
        <f ca="1">IFERROR(__xludf.DUMMYFUNCTION("""COMPUTED_VALUE"""),262)</f>
        <v>262</v>
      </c>
      <c r="B263" s="6">
        <f ca="1">IFERROR(__xludf.DUMMYFUNCTION("""COMPUTED_VALUE"""),46198.7322453703)</f>
        <v>46198.732245370302</v>
      </c>
      <c r="C263" s="6" t="str">
        <f ca="1">IFERROR(__xludf.DUMMYFUNCTION("""COMPUTED_VALUE"""),"220.77.115.20")</f>
        <v>220.77.115.20</v>
      </c>
      <c r="D263" s="6" t="str">
        <f ca="1">IFERROR(__xludf.DUMMYFUNCTION("""COMPUTED_VALUE"""),"네이버톡톡")</f>
        <v>네이버톡톡</v>
      </c>
      <c r="E263" s="6" t="str">
        <f ca="1">IFERROR(__xludf.DUMMYFUNCTION("""COMPUTED_VALUE"""),"네이버톡톡")</f>
        <v>네이버톡톡</v>
      </c>
      <c r="F263" s="6" t="str">
        <f ca="1">IFERROR(__xludf.DUMMYFUNCTION("""COMPUTED_VALUE"""),"배너")</f>
        <v>배너</v>
      </c>
      <c r="G263" s="7" t="str">
        <f ca="1">IFERROR(__xludf.DUMMYFUNCTION("""COMPUTED_VALUE"""),"http://newstart-law.com/?inType=nim003&amp;NaPm=ci=6pvVx-3XAWTU2_xnxd2DkU_A|tr=gfa|ct=mqt8x9wc|hk=ade59e697ebe6649aed0bc3ad223e569fc9d3781|nacn=rbUIB0QJUKlY")</f>
        <v>http://newstart-law.com/?inType=nim003&amp;NaPm=ci=6pvVx-3XAWTU2_xnxd2DkU_A|tr=gfa|ct=mqt8x9wc|hk=ade59e697ebe6649aed0bc3ad223e569fc9d3781|nacn=rbUIB0QJUKlY</v>
      </c>
      <c r="H263" s="6" t="str">
        <f ca="1">IFERROR(__xludf.DUMMYFUNCTION("""COMPUTED_VALUE"""),"nim003")</f>
        <v>nim003</v>
      </c>
      <c r="I263" s="6" t="str">
        <f ca="1">IFERROR(__xludf.DUMMYFUNCTION("""COMPUTED_VALUE"""),"")</f>
        <v/>
      </c>
      <c r="J263" s="6" t="str">
        <f ca="1">IFERROR(__xludf.DUMMYFUNCTION("""COMPUTED_VALUE"""),"네이버 톡톡")</f>
        <v>네이버 톡톡</v>
      </c>
    </row>
    <row r="264" spans="1:10" x14ac:dyDescent="0.2">
      <c r="A264" s="6">
        <f ca="1">IFERROR(__xludf.DUMMYFUNCTION("""COMPUTED_VALUE"""),263)</f>
        <v>263</v>
      </c>
      <c r="B264" s="6">
        <f ca="1">IFERROR(__xludf.DUMMYFUNCTION("""COMPUTED_VALUE"""),46198.7966435185)</f>
        <v>46198.796643518501</v>
      </c>
      <c r="C264" s="6" t="str">
        <f ca="1">IFERROR(__xludf.DUMMYFUNCTION("""COMPUTED_VALUE"""),"박정희")</f>
        <v>박정희</v>
      </c>
      <c r="D264" s="6">
        <f ca="1">IFERROR(__xludf.DUMMYFUNCTION("""COMPUTED_VALUE"""),1099316925)</f>
        <v>1099316925</v>
      </c>
      <c r="E264" s="6" t="str">
        <f ca="1">IFERROR(__xludf.DUMMYFUNCTION("""COMPUTED_VALUE"""),"상담신청")</f>
        <v>상담신청</v>
      </c>
      <c r="F264" s="6" t="str">
        <f ca="1">IFERROR(__xludf.DUMMYFUNCTION("""COMPUTED_VALUE"""),"검색")</f>
        <v>검색</v>
      </c>
      <c r="G264" s="7" t="str">
        <f ca="1">IFERROR(__xludf.DUMMYFUNCTION("""COMPUTED_VALUE"""),"https://www.newstart-law.com/?inType=NK&amp;n_media=8753&amp;n_query=개인파산신청&amp;n_rank=1&amp;n_ad_group=grp-a001-01-000000063065674&amp;n_ad=nad-a001-01-000000495460351&amp;n_keyword_id=nkw-a001-01-000007951811270&amp;n_keyword=개인파산신청&amp;n_campaign_type=1&amp;n_ad_group_type=1&amp;n_match=1&amp;Na"&amp;"Pm=ct=mqtc6t23|ci=ER6d2266de-707d-11f1-9db2-42552c13862c|tr=sa|hk=bb2f5a7481b7f652b13769a2eb60d49b24c8fca2|nacn=2L0YBcwv1sT")</f>
        <v>https://www.newstart-law.com/?inType=NK&amp;n_media=8753&amp;n_query=개인파산신청&amp;n_rank=1&amp;n_ad_group=grp-a001-01-000000063065674&amp;n_ad=nad-a001-01-000000495460351&amp;n_keyword_id=nkw-a001-01-000007951811270&amp;n_keyword=개인파산신청&amp;n_campaign_type=1&amp;n_ad_group_type=1&amp;n_match=1&amp;NaPm=ct=mqtc6t23|ci=ER6d2266de-707d-11f1-9db2-42552c13862c|tr=sa|hk=bb2f5a7481b7f652b13769a2eb60d49b24c8fca2|nacn=2L0YBcwv1sT</v>
      </c>
      <c r="H264" s="6" t="str">
        <f ca="1">IFERROR(__xludf.DUMMYFUNCTION("""COMPUTED_VALUE"""),"NK")</f>
        <v>NK</v>
      </c>
      <c r="I264" s="6" t="str">
        <f ca="1">IFERROR(__xludf.DUMMYFUNCTION("""COMPUTED_VALUE"""),"개인파산신청")</f>
        <v>개인파산신청</v>
      </c>
      <c r="J264" s="6" t="str">
        <f ca="1">IFERROR(__xludf.DUMMYFUNCTION("""COMPUTED_VALUE"""),"AI 진단")</f>
        <v>AI 진단</v>
      </c>
    </row>
    <row r="265" spans="1:10" x14ac:dyDescent="0.2">
      <c r="A265" s="6">
        <f ca="1">IFERROR(__xludf.DUMMYFUNCTION("""COMPUTED_VALUE"""),264)</f>
        <v>264</v>
      </c>
      <c r="B265" s="6">
        <f ca="1">IFERROR(__xludf.DUMMYFUNCTION("""COMPUTED_VALUE"""),46198.8263425925)</f>
        <v>46198.826342592503</v>
      </c>
      <c r="C265" s="6" t="str">
        <f ca="1">IFERROR(__xludf.DUMMYFUNCTION("""COMPUTED_VALUE"""),"39.116.151.202")</f>
        <v>39.116.151.202</v>
      </c>
      <c r="D265" s="6" t="str">
        <f ca="1">IFERROR(__xludf.DUMMYFUNCTION("""COMPUTED_VALUE"""),"카카오")</f>
        <v>카카오</v>
      </c>
      <c r="E265" s="6" t="str">
        <f ca="1">IFERROR(__xludf.DUMMYFUNCTION("""COMPUTED_VALUE"""),"카카오톡")</f>
        <v>카카오톡</v>
      </c>
      <c r="F265" s="6" t="str">
        <f ca="1">IFERROR(__xludf.DUMMYFUNCTION("""COMPUTED_VALUE"""),"검색")</f>
        <v>검색</v>
      </c>
      <c r="G265" s="7" t="str">
        <f ca="1">IFERROR(__xludf.DUMMYFUNCTION("""COMPUTED_VALUE"""),"https://www.newstart-law.com/?inType=NK&amp;n_media=8753&amp;n_query=개인회생&amp;n_rank=7&amp;n_ad_group=grp-a001-01-000000063063767&amp;n_ad=nad-a001-01-000000495340403&amp;n_keyword_id=nkw-a001-01-000007934680459&amp;n_keyword=개인회생&amp;n_campaign_type=1&amp;n_ad_group_type=1&amp;n_match=1&amp;NaPm=c"&amp;"t=mqtdq5ir|ci=ER7043bc74-7083-11f1-8708-d6e4c9222c93|tr=sa|hk=69ffbefeb6357185c304cf28367a21e59f5ea94a|nacn=0fMICACmverjD")</f>
        <v>https://www.newstart-law.com/?inType=NK&amp;n_media=8753&amp;n_query=개인회생&amp;n_rank=7&amp;n_ad_group=grp-a001-01-000000063063767&amp;n_ad=nad-a001-01-000000495340403&amp;n_keyword_id=nkw-a001-01-000007934680459&amp;n_keyword=개인회생&amp;n_campaign_type=1&amp;n_ad_group_type=1&amp;n_match=1&amp;NaPm=ct=mqtdq5ir|ci=ER7043bc74-7083-11f1-8708-d6e4c9222c93|tr=sa|hk=69ffbefeb6357185c304cf28367a21e59f5ea94a|nacn=0fMICACmverjD</v>
      </c>
      <c r="H265" s="6" t="str">
        <f ca="1">IFERROR(__xludf.DUMMYFUNCTION("""COMPUTED_VALUE"""),"NK")</f>
        <v>NK</v>
      </c>
      <c r="I265" s="6" t="str">
        <f ca="1">IFERROR(__xludf.DUMMYFUNCTION("""COMPUTED_VALUE"""),"개인회생")</f>
        <v>개인회생</v>
      </c>
      <c r="J265" s="6" t="str">
        <f ca="1">IFERROR(__xludf.DUMMYFUNCTION("""COMPUTED_VALUE"""),"카카오톡")</f>
        <v>카카오톡</v>
      </c>
    </row>
    <row r="266" spans="1:10" x14ac:dyDescent="0.2">
      <c r="A266" s="6">
        <f ca="1">IFERROR(__xludf.DUMMYFUNCTION("""COMPUTED_VALUE"""),265)</f>
        <v>265</v>
      </c>
      <c r="B266" s="6">
        <f ca="1">IFERROR(__xludf.DUMMYFUNCTION("""COMPUTED_VALUE"""),46199.3406481481)</f>
        <v>46199.3406481481</v>
      </c>
      <c r="C266" s="6" t="str">
        <f ca="1">IFERROR(__xludf.DUMMYFUNCTION("""COMPUTED_VALUE"""),"김성희")</f>
        <v>김성희</v>
      </c>
      <c r="D266" s="6">
        <f ca="1">IFERROR(__xludf.DUMMYFUNCTION("""COMPUTED_VALUE"""),1087126824)</f>
        <v>1087126824</v>
      </c>
      <c r="E266" s="6" t="str">
        <f ca="1">IFERROR(__xludf.DUMMYFUNCTION("""COMPUTED_VALUE"""),"상담신청")</f>
        <v>상담신청</v>
      </c>
      <c r="F266" s="6" t="str">
        <f ca="1">IFERROR(__xludf.DUMMYFUNCTION("""COMPUTED_VALUE"""),"배너")</f>
        <v>배너</v>
      </c>
      <c r="G266" s="7" t="str">
        <f ca="1">IFERROR(__xludf.DUMMYFUNCTION("""COMPUTED_VALUE"""),"https://newstart-law.com/?inType=NIP002&amp;NaPm=ci=6qTtCOSTB6RaWllj1F82cYsg|tr=gfa|ct=mqu42462|hk=f7cffb880858e5393db79b1040282046be34174e|nacn=XCnOB0Qp0M86")</f>
        <v>https://newstart-law.com/?inType=NIP002&amp;NaPm=ci=6qTtCOSTB6RaWllj1F82cYsg|tr=gfa|ct=mqu42462|hk=f7cffb880858e5393db79b1040282046be34174e|nacn=XCnOB0Qp0M86</v>
      </c>
      <c r="H266" s="6" t="str">
        <f ca="1">IFERROR(__xludf.DUMMYFUNCTION("""COMPUTED_VALUE"""),"NIP002")</f>
        <v>NIP002</v>
      </c>
      <c r="I266" s="6" t="str">
        <f ca="1">IFERROR(__xludf.DUMMYFUNCTION("""COMPUTED_VALUE"""),"")</f>
        <v/>
      </c>
      <c r="J266" s="6" t="str">
        <f ca="1">IFERROR(__xludf.DUMMYFUNCTION("""COMPUTED_VALUE"""),"AI 진단")</f>
        <v>AI 진단</v>
      </c>
    </row>
    <row r="267" spans="1:10" x14ac:dyDescent="0.2">
      <c r="A267" s="6">
        <f ca="1">IFERROR(__xludf.DUMMYFUNCTION("""COMPUTED_VALUE"""),266)</f>
        <v>266</v>
      </c>
      <c r="B267" s="6">
        <f ca="1">IFERROR(__xludf.DUMMYFUNCTION("""COMPUTED_VALUE"""),46199.4111689814)</f>
        <v>46199.411168981402</v>
      </c>
      <c r="C267" s="6" t="str">
        <f ca="1">IFERROR(__xludf.DUMMYFUNCTION("""COMPUTED_VALUE"""),"118.235.11.241")</f>
        <v>118.235.11.241</v>
      </c>
      <c r="D267" s="6" t="str">
        <f ca="1">IFERROR(__xludf.DUMMYFUNCTION("""COMPUTED_VALUE"""),"카카오")</f>
        <v>카카오</v>
      </c>
      <c r="E267" s="6" t="str">
        <f ca="1">IFERROR(__xludf.DUMMYFUNCTION("""COMPUTED_VALUE"""),"카카오톡")</f>
        <v>카카오톡</v>
      </c>
      <c r="F267" s="6" t="str">
        <f ca="1">IFERROR(__xludf.DUMMYFUNCTION("""COMPUTED_VALUE"""),"배너")</f>
        <v>배너</v>
      </c>
      <c r="G267" s="7" t="str">
        <f ca="1">IFERROR(__xludf.DUMMYFUNCTION("""COMPUTED_VALUE"""),"http://newstart-law.com/?inType=NIM001&amp;NaPm=ci=6qGTHTsm0hRlSjiEh6zedVAw|tr=gfa|ct=mqu7thkk|hk=4d1024aabe9ff11fdeae645038f5d465598088bd|nacn=xJUQB4Qe1ye9B")</f>
        <v>http://newstart-law.com/?inType=NIM001&amp;NaPm=ci=6qGTHTsm0hRlSjiEh6zedVAw|tr=gfa|ct=mqu7thkk|hk=4d1024aabe9ff11fdeae645038f5d465598088bd|nacn=xJUQB4Qe1ye9B</v>
      </c>
      <c r="H267" s="6" t="str">
        <f ca="1">IFERROR(__xludf.DUMMYFUNCTION("""COMPUTED_VALUE"""),"NIM001")</f>
        <v>NIM001</v>
      </c>
      <c r="I267" s="6" t="str">
        <f ca="1">IFERROR(__xludf.DUMMYFUNCTION("""COMPUTED_VALUE"""),"")</f>
        <v/>
      </c>
      <c r="J267" s="6" t="str">
        <f ca="1">IFERROR(__xludf.DUMMYFUNCTION("""COMPUTED_VALUE"""),"카카오톡")</f>
        <v>카카오톡</v>
      </c>
    </row>
    <row r="268" spans="1:10" x14ac:dyDescent="0.2">
      <c r="A268" s="6">
        <f ca="1">IFERROR(__xludf.DUMMYFUNCTION("""COMPUTED_VALUE"""),267)</f>
        <v>267</v>
      </c>
      <c r="B268" s="6">
        <f ca="1">IFERROR(__xludf.DUMMYFUNCTION("""COMPUTED_VALUE"""),46199.4172569444)</f>
        <v>46199.417256944398</v>
      </c>
      <c r="C268" s="6" t="str">
        <f ca="1">IFERROR(__xludf.DUMMYFUNCTION("""COMPUTED_VALUE"""),"118.235.88.186")</f>
        <v>118.235.88.186</v>
      </c>
      <c r="D268" s="6" t="str">
        <f ca="1">IFERROR(__xludf.DUMMYFUNCTION("""COMPUTED_VALUE"""),"네이버톡톡")</f>
        <v>네이버톡톡</v>
      </c>
      <c r="E268" s="6" t="str">
        <f ca="1">IFERROR(__xludf.DUMMYFUNCTION("""COMPUTED_VALUE"""),"네이버톡톡")</f>
        <v>네이버톡톡</v>
      </c>
      <c r="F268" s="6" t="str">
        <f ca="1">IFERROR(__xludf.DUMMYFUNCTION("""COMPUTED_VALUE"""),"배너")</f>
        <v>배너</v>
      </c>
      <c r="G268" s="7" t="str">
        <f ca="1">IFERROR(__xludf.DUMMYFUNCTION("""COMPUTED_VALUE"""),"http://newstart-law.com/?inType=nim003&amp;NaPm=ci=6qhiRhgjTWRSeZnhGBf_7J9w|tr=gfa|ct=mqu843fp|hk=19fdcb584aec16faa94c36df822ed18fb750b567|nacn=Y1BjB8QCsrjB")</f>
        <v>http://newstart-law.com/?inType=nim003&amp;NaPm=ci=6qhiRhgjTWRSeZnhGBf_7J9w|tr=gfa|ct=mqu843fp|hk=19fdcb584aec16faa94c36df822ed18fb750b567|nacn=Y1BjB8QCsrjB</v>
      </c>
      <c r="H268" s="6" t="str">
        <f ca="1">IFERROR(__xludf.DUMMYFUNCTION("""COMPUTED_VALUE"""),"nim003")</f>
        <v>nim003</v>
      </c>
      <c r="I268" s="6" t="str">
        <f ca="1">IFERROR(__xludf.DUMMYFUNCTION("""COMPUTED_VALUE"""),"")</f>
        <v/>
      </c>
      <c r="J268" s="6" t="str">
        <f ca="1">IFERROR(__xludf.DUMMYFUNCTION("""COMPUTED_VALUE"""),"네이버 톡톡")</f>
        <v>네이버 톡톡</v>
      </c>
    </row>
    <row r="269" spans="1:10" x14ac:dyDescent="0.2">
      <c r="A269" s="6">
        <f ca="1">IFERROR(__xludf.DUMMYFUNCTION("""COMPUTED_VALUE"""),268)</f>
        <v>268</v>
      </c>
      <c r="B269" s="6">
        <f ca="1">IFERROR(__xludf.DUMMYFUNCTION("""COMPUTED_VALUE"""),46199.4506481481)</f>
        <v>46199.4506481481</v>
      </c>
      <c r="C269" s="6" t="str">
        <f ca="1">IFERROR(__xludf.DUMMYFUNCTION("""COMPUTED_VALUE"""),"118.235.15.205")</f>
        <v>118.235.15.205</v>
      </c>
      <c r="D269" s="6" t="str">
        <f ca="1">IFERROR(__xludf.DUMMYFUNCTION("""COMPUTED_VALUE"""),"네이버톡톡")</f>
        <v>네이버톡톡</v>
      </c>
      <c r="E269" s="6" t="str">
        <f ca="1">IFERROR(__xludf.DUMMYFUNCTION("""COMPUTED_VALUE"""),"네이버톡톡")</f>
        <v>네이버톡톡</v>
      </c>
      <c r="F269" s="6" t="str">
        <f ca="1">IFERROR(__xludf.DUMMYFUNCTION("""COMPUTED_VALUE"""),"배너")</f>
        <v>배너</v>
      </c>
      <c r="G269" s="7" t="str">
        <f ca="1">IFERROR(__xludf.DUMMYFUNCTION("""COMPUTED_VALUE"""),"http://newstart-law.com/?inType=nim003&amp;NaPm=ci=6qCSXEb9iMQvKaG9N13zERWA|tr=gfa|ct=mqu9rjqq|hk=7c428b72b88edf27f04cf984068d26da95f809e0|nacn=JB8CBsQ1lWwp")</f>
        <v>http://newstart-law.com/?inType=nim003&amp;NaPm=ci=6qCSXEb9iMQvKaG9N13zERWA|tr=gfa|ct=mqu9rjqq|hk=7c428b72b88edf27f04cf984068d26da95f809e0|nacn=JB8CBsQ1lWwp</v>
      </c>
      <c r="H269" s="6" t="str">
        <f ca="1">IFERROR(__xludf.DUMMYFUNCTION("""COMPUTED_VALUE"""),"nim003")</f>
        <v>nim003</v>
      </c>
      <c r="I269" s="6" t="str">
        <f ca="1">IFERROR(__xludf.DUMMYFUNCTION("""COMPUTED_VALUE"""),"")</f>
        <v/>
      </c>
      <c r="J269" s="6" t="str">
        <f ca="1">IFERROR(__xludf.DUMMYFUNCTION("""COMPUTED_VALUE"""),"네이버 톡톡")</f>
        <v>네이버 톡톡</v>
      </c>
    </row>
    <row r="270" spans="1:10" x14ac:dyDescent="0.2">
      <c r="A270" s="6">
        <f ca="1">IFERROR(__xludf.DUMMYFUNCTION("""COMPUTED_VALUE"""),269)</f>
        <v>269</v>
      </c>
      <c r="B270" s="6">
        <f ca="1">IFERROR(__xludf.DUMMYFUNCTION("""COMPUTED_VALUE"""),46199.4678472222)</f>
        <v>46199.4678472222</v>
      </c>
      <c r="C270" s="6" t="str">
        <f ca="1">IFERROR(__xludf.DUMMYFUNCTION("""COMPUTED_VALUE"""),"118.235.7.210")</f>
        <v>118.235.7.210</v>
      </c>
      <c r="D270" s="6" t="str">
        <f ca="1">IFERROR(__xludf.DUMMYFUNCTION("""COMPUTED_VALUE"""),"카카오")</f>
        <v>카카오</v>
      </c>
      <c r="E270" s="6" t="str">
        <f ca="1">IFERROR(__xludf.DUMMYFUNCTION("""COMPUTED_VALUE"""),"카카오톡")</f>
        <v>카카오톡</v>
      </c>
      <c r="F270" s="6" t="str">
        <f ca="1">IFERROR(__xludf.DUMMYFUNCTION("""COMPUTED_VALUE"""),"배너")</f>
        <v>배너</v>
      </c>
      <c r="G270" s="7" t="str">
        <f ca="1">IFERROR(__xludf.DUMMYFUNCTION("""COMPUTED_VALUE"""),"http://newstart-law.com/?inType=nim003&amp;NaPm=ci=6qEnRuQpjbTaWadaDr0HrWQQ|tr=gfa|ct=mquariue|hk=4e1dd8d5610581989b338dd4d398ca5db5be8444|nacn=ULveD4Ah3APnB")</f>
        <v>http://newstart-law.com/?inType=nim003&amp;NaPm=ci=6qEnRuQpjbTaWadaDr0HrWQQ|tr=gfa|ct=mquariue|hk=4e1dd8d5610581989b338dd4d398ca5db5be8444|nacn=ULveD4Ah3APnB</v>
      </c>
      <c r="H270" s="6" t="str">
        <f ca="1">IFERROR(__xludf.DUMMYFUNCTION("""COMPUTED_VALUE"""),"nim003")</f>
        <v>nim003</v>
      </c>
      <c r="I270" s="6" t="str">
        <f ca="1">IFERROR(__xludf.DUMMYFUNCTION("""COMPUTED_VALUE"""),"")</f>
        <v/>
      </c>
      <c r="J270" s="6" t="str">
        <f ca="1">IFERROR(__xludf.DUMMYFUNCTION("""COMPUTED_VALUE"""),"카카오톡")</f>
        <v>카카오톡</v>
      </c>
    </row>
    <row r="271" spans="1:10" x14ac:dyDescent="0.2">
      <c r="A271" s="6">
        <f ca="1">IFERROR(__xludf.DUMMYFUNCTION("""COMPUTED_VALUE"""),270)</f>
        <v>270</v>
      </c>
      <c r="B271" s="6">
        <f ca="1">IFERROR(__xludf.DUMMYFUNCTION("""COMPUTED_VALUE"""),46199.5036689814)</f>
        <v>46199.503668981401</v>
      </c>
      <c r="C271" s="6" t="str">
        <f ca="1">IFERROR(__xludf.DUMMYFUNCTION("""COMPUTED_VALUE"""),"106.101.209.163")</f>
        <v>106.101.209.163</v>
      </c>
      <c r="D271" s="6" t="str">
        <f ca="1">IFERROR(__xludf.DUMMYFUNCTION("""COMPUTED_VALUE"""),"네이버예약")</f>
        <v>네이버예약</v>
      </c>
      <c r="E271" s="6" t="str">
        <f ca="1">IFERROR(__xludf.DUMMYFUNCTION("""COMPUTED_VALUE"""),"네이버예약")</f>
        <v>네이버예약</v>
      </c>
      <c r="F271" s="6" t="str">
        <f ca="1">IFERROR(__xludf.DUMMYFUNCTION("""COMPUTED_VALUE"""),"배너")</f>
        <v>배너</v>
      </c>
      <c r="G271" s="7" t="str">
        <f ca="1">IFERROR(__xludf.DUMMYFUNCTION("""COMPUTED_VALUE"""),"http://newstart-law.com/?inType=nim003&amp;NaPm=ci=6qX7guxZLySo2BafqyWQ9ofw|tr=gfa|ct=mquclekc|hk=1d417d185c8e621ec5cab88b1ad4dbccf1635cc1|nacn=B8A2BExvDgLT")</f>
        <v>http://newstart-law.com/?inType=nim003&amp;NaPm=ci=6qX7guxZLySo2BafqyWQ9ofw|tr=gfa|ct=mquclekc|hk=1d417d185c8e621ec5cab88b1ad4dbccf1635cc1|nacn=B8A2BExvDgLT</v>
      </c>
      <c r="H271" s="6" t="str">
        <f ca="1">IFERROR(__xludf.DUMMYFUNCTION("""COMPUTED_VALUE"""),"nim003")</f>
        <v>nim003</v>
      </c>
      <c r="I271" s="6" t="str">
        <f ca="1">IFERROR(__xludf.DUMMYFUNCTION("""COMPUTED_VALUE"""),"")</f>
        <v/>
      </c>
      <c r="J271" s="6" t="str">
        <f ca="1">IFERROR(__xludf.DUMMYFUNCTION("""COMPUTED_VALUE"""),"네이버 예약")</f>
        <v>네이버 예약</v>
      </c>
    </row>
    <row r="272" spans="1:10" x14ac:dyDescent="0.2">
      <c r="A272" s="6">
        <f ca="1">IFERROR(__xludf.DUMMYFUNCTION("""COMPUTED_VALUE"""),271)</f>
        <v>271</v>
      </c>
      <c r="B272" s="6">
        <f ca="1">IFERROR(__xludf.DUMMYFUNCTION("""COMPUTED_VALUE"""),46199.5051967592)</f>
        <v>46199.505196759201</v>
      </c>
      <c r="C272" s="6" t="str">
        <f ca="1">IFERROR(__xludf.DUMMYFUNCTION("""COMPUTED_VALUE"""),"221.162.152.126")</f>
        <v>221.162.152.126</v>
      </c>
      <c r="D272" s="6" t="str">
        <f ca="1">IFERROR(__xludf.DUMMYFUNCTION("""COMPUTED_VALUE"""),"네이버예약")</f>
        <v>네이버예약</v>
      </c>
      <c r="E272" s="6" t="str">
        <f ca="1">IFERROR(__xludf.DUMMYFUNCTION("""COMPUTED_VALUE"""),"네이버예약")</f>
        <v>네이버예약</v>
      </c>
      <c r="F272" s="6" t="str">
        <f ca="1">IFERROR(__xludf.DUMMYFUNCTION("""COMPUTED_VALUE"""),"배너")</f>
        <v>배너</v>
      </c>
      <c r="G272" s="7" t="str">
        <f ca="1">IFERROR(__xludf.DUMMYFUNCTION("""COMPUTED_VALUE"""),"http://newstart-law.com/?inType=NIM001&amp;NaPm=ci=6q3MkZKPt_RrKMl4i_YexrOw|tr=gfa|ct=mqucnkia|hk=f65c18fb0a3a48bd03cbc9e68c85a367013173b4|nacn=Bek6Doh7GT7yB")</f>
        <v>http://newstart-law.com/?inType=NIM001&amp;NaPm=ci=6q3MkZKPt_RrKMl4i_YexrOw|tr=gfa|ct=mqucnkia|hk=f65c18fb0a3a48bd03cbc9e68c85a367013173b4|nacn=Bek6Doh7GT7yB</v>
      </c>
      <c r="H272" s="6" t="str">
        <f ca="1">IFERROR(__xludf.DUMMYFUNCTION("""COMPUTED_VALUE"""),"NIM001")</f>
        <v>NIM001</v>
      </c>
      <c r="I272" s="6" t="str">
        <f ca="1">IFERROR(__xludf.DUMMYFUNCTION("""COMPUTED_VALUE"""),"")</f>
        <v/>
      </c>
      <c r="J272" s="6" t="str">
        <f ca="1">IFERROR(__xludf.DUMMYFUNCTION("""COMPUTED_VALUE"""),"네이버 예약")</f>
        <v>네이버 예약</v>
      </c>
    </row>
    <row r="273" spans="1:10" x14ac:dyDescent="0.2">
      <c r="A273" s="6">
        <f ca="1">IFERROR(__xludf.DUMMYFUNCTION("""COMPUTED_VALUE"""),272)</f>
        <v>272</v>
      </c>
      <c r="B273" s="6">
        <f ca="1">IFERROR(__xludf.DUMMYFUNCTION("""COMPUTED_VALUE"""),46199.5054513888)</f>
        <v>46199.505451388803</v>
      </c>
      <c r="C273" s="6" t="str">
        <f ca="1">IFERROR(__xludf.DUMMYFUNCTION("""COMPUTED_VALUE"""),"221.162.152.126")</f>
        <v>221.162.152.126</v>
      </c>
      <c r="D273" s="6" t="str">
        <f ca="1">IFERROR(__xludf.DUMMYFUNCTION("""COMPUTED_VALUE"""),"네이버톡톡")</f>
        <v>네이버톡톡</v>
      </c>
      <c r="E273" s="6" t="str">
        <f ca="1">IFERROR(__xludf.DUMMYFUNCTION("""COMPUTED_VALUE"""),"네이버톡톡")</f>
        <v>네이버톡톡</v>
      </c>
      <c r="F273" s="6" t="str">
        <f ca="1">IFERROR(__xludf.DUMMYFUNCTION("""COMPUTED_VALUE"""),"배너")</f>
        <v>배너</v>
      </c>
      <c r="G273" s="7" t="str">
        <f ca="1">IFERROR(__xludf.DUMMYFUNCTION("""COMPUTED_VALUE"""),"http://newstart-law.com/?inType=NIM001&amp;NaPm=ci=6q3MkZKPt_RrKMl4i_YexrOw|tr=gfa|ct=mqucnkia|hk=f65c18fb0a3a48bd03cbc9e68c85a367013173b4|nacn=Bek6Doh7GT7yB")</f>
        <v>http://newstart-law.com/?inType=NIM001&amp;NaPm=ci=6q3MkZKPt_RrKMl4i_YexrOw|tr=gfa|ct=mqucnkia|hk=f65c18fb0a3a48bd03cbc9e68c85a367013173b4|nacn=Bek6Doh7GT7yB</v>
      </c>
      <c r="H273" s="6" t="str">
        <f ca="1">IFERROR(__xludf.DUMMYFUNCTION("""COMPUTED_VALUE"""),"NIM001")</f>
        <v>NIM001</v>
      </c>
      <c r="I273" s="6" t="str">
        <f ca="1">IFERROR(__xludf.DUMMYFUNCTION("""COMPUTED_VALUE"""),"")</f>
        <v/>
      </c>
      <c r="J273" s="6" t="str">
        <f ca="1">IFERROR(__xludf.DUMMYFUNCTION("""COMPUTED_VALUE"""),"네이버 톡톡")</f>
        <v>네이버 톡톡</v>
      </c>
    </row>
    <row r="274" spans="1:10" x14ac:dyDescent="0.2">
      <c r="A274" s="6">
        <f ca="1">IFERROR(__xludf.DUMMYFUNCTION("""COMPUTED_VALUE"""),273)</f>
        <v>273</v>
      </c>
      <c r="B274" s="6">
        <f ca="1">IFERROR(__xludf.DUMMYFUNCTION("""COMPUTED_VALUE"""),46199.5058680555)</f>
        <v>46199.505868055501</v>
      </c>
      <c r="C274" s="6" t="str">
        <f ca="1">IFERROR(__xludf.DUMMYFUNCTION("""COMPUTED_VALUE"""),"106.101.209.163")</f>
        <v>106.101.209.163</v>
      </c>
      <c r="D274" s="6" t="str">
        <f ca="1">IFERROR(__xludf.DUMMYFUNCTION("""COMPUTED_VALUE"""),"네이버예약")</f>
        <v>네이버예약</v>
      </c>
      <c r="E274" s="6" t="str">
        <f ca="1">IFERROR(__xludf.DUMMYFUNCTION("""COMPUTED_VALUE"""),"네이버예약")</f>
        <v>네이버예약</v>
      </c>
      <c r="F274" s="6" t="str">
        <f ca="1">IFERROR(__xludf.DUMMYFUNCTION("""COMPUTED_VALUE"""),"배너")</f>
        <v>배너</v>
      </c>
      <c r="G274" s="7" t="str">
        <f ca="1">IFERROR(__xludf.DUMMYFUNCTION("""COMPUTED_VALUE"""),"http://newstart-law.com/?inType=nim003&amp;NaPm=ci=6qX7guxZLySo2BafqyWQ9ofw|tr=gfa|ct=mquclekc|hk=1d417d185c8e621ec5cab88b1ad4dbccf1635cc1|nacn=B8A2BExvDgLT")</f>
        <v>http://newstart-law.com/?inType=nim003&amp;NaPm=ci=6qX7guxZLySo2BafqyWQ9ofw|tr=gfa|ct=mquclekc|hk=1d417d185c8e621ec5cab88b1ad4dbccf1635cc1|nacn=B8A2BExvDgLT</v>
      </c>
      <c r="H274" s="6" t="str">
        <f ca="1">IFERROR(__xludf.DUMMYFUNCTION("""COMPUTED_VALUE"""),"nim003")</f>
        <v>nim003</v>
      </c>
      <c r="I274" s="6" t="str">
        <f ca="1">IFERROR(__xludf.DUMMYFUNCTION("""COMPUTED_VALUE"""),"")</f>
        <v/>
      </c>
      <c r="J274" s="6" t="str">
        <f ca="1">IFERROR(__xludf.DUMMYFUNCTION("""COMPUTED_VALUE"""),"네이버 예약")</f>
        <v>네이버 예약</v>
      </c>
    </row>
    <row r="275" spans="1:10" x14ac:dyDescent="0.2">
      <c r="A275" s="6">
        <f ca="1">IFERROR(__xludf.DUMMYFUNCTION("""COMPUTED_VALUE"""),274)</f>
        <v>274</v>
      </c>
      <c r="B275" s="6">
        <f ca="1">IFERROR(__xludf.DUMMYFUNCTION("""COMPUTED_VALUE"""),46199.5341087962)</f>
        <v>46199.534108796201</v>
      </c>
      <c r="C275" s="6" t="str">
        <f ca="1">IFERROR(__xludf.DUMMYFUNCTION("""COMPUTED_VALUE"""),"223.38.226.176")</f>
        <v>223.38.226.176</v>
      </c>
      <c r="D275" s="6" t="str">
        <f ca="1">IFERROR(__xludf.DUMMYFUNCTION("""COMPUTED_VALUE"""),"전화")</f>
        <v>전화</v>
      </c>
      <c r="E275" s="6" t="str">
        <f ca="1">IFERROR(__xludf.DUMMYFUNCTION("""COMPUTED_VALUE"""),"전화")</f>
        <v>전화</v>
      </c>
      <c r="F275" s="6" t="str">
        <f ca="1">IFERROR(__xludf.DUMMYFUNCTION("""COMPUTED_VALUE"""),"배너")</f>
        <v>배너</v>
      </c>
      <c r="G275" s="7" t="str">
        <f ca="1">IFERROR(__xludf.DUMMYFUNCTION("""COMPUTED_VALUE"""),"http://newstart-law.com/?inType=nim003&amp;NaPm=ci=6qBR1UwRtfSZSZbtX3pL3stg|tr=gfa|ct=mque63ih|hk=aaab889d3191f7f333f9f49d5b896d120e2cf427|nacn=gUHiBgQhPUlv")</f>
        <v>http://newstart-law.com/?inType=nim003&amp;NaPm=ci=6qBR1UwRtfSZSZbtX3pL3stg|tr=gfa|ct=mque63ih|hk=aaab889d3191f7f333f9f49d5b896d120e2cf427|nacn=gUHiBgQhPUlv</v>
      </c>
      <c r="H275" s="6" t="str">
        <f ca="1">IFERROR(__xludf.DUMMYFUNCTION("""COMPUTED_VALUE"""),"nim003")</f>
        <v>nim003</v>
      </c>
      <c r="I275" s="6" t="str">
        <f ca="1">IFERROR(__xludf.DUMMYFUNCTION("""COMPUTED_VALUE"""),"")</f>
        <v/>
      </c>
      <c r="J275" s="6" t="str">
        <f ca="1">IFERROR(__xludf.DUMMYFUNCTION("""COMPUTED_VALUE"""),"전화 문의")</f>
        <v>전화 문의</v>
      </c>
    </row>
    <row r="276" spans="1:10" x14ac:dyDescent="0.2">
      <c r="A276" s="6">
        <f ca="1">IFERROR(__xludf.DUMMYFUNCTION("""COMPUTED_VALUE"""),275)</f>
        <v>275</v>
      </c>
      <c r="B276" s="6">
        <f ca="1">IFERROR(__xludf.DUMMYFUNCTION("""COMPUTED_VALUE"""),46199.5398263888)</f>
        <v>46199.539826388798</v>
      </c>
      <c r="C276" s="6" t="str">
        <f ca="1">IFERROR(__xludf.DUMMYFUNCTION("""COMPUTED_VALUE"""),"김종열")</f>
        <v>김종열</v>
      </c>
      <c r="D276" s="6">
        <f ca="1">IFERROR(__xludf.DUMMYFUNCTION("""COMPUTED_VALUE"""),1052574951)</f>
        <v>1052574951</v>
      </c>
      <c r="E276" s="6" t="str">
        <f ca="1">IFERROR(__xludf.DUMMYFUNCTION("""COMPUTED_VALUE"""),"상담신청")</f>
        <v>상담신청</v>
      </c>
      <c r="F276" s="6" t="str">
        <f ca="1">IFERROR(__xludf.DUMMYFUNCTION("""COMPUTED_VALUE"""),"검색")</f>
        <v>검색</v>
      </c>
      <c r="G276" s="7" t="str">
        <f ca="1">IFERROR(__xludf.DUMMYFUNCTION("""COMPUTED_VALUE"""),"https://www.newstart-law.com/?inType=NK&amp;n_media=27758&amp;n_query=개인회생신청자격&amp;n_rank=5&amp;n_ad_group=grp-a001-01-000000063065651&amp;n_ad=nad-a001-01-000000495459437&amp;n_keyword_id=nkw-a001-01-000007951807343&amp;n_keyword=개인회생신청자격&amp;n_campaign_type=1&amp;n_ad_group_type=1&amp;n_match"&amp;"=1&amp;NaPm=ct=mquegana|ci=ER0fe94867-7113-11f1-a9b8-6e3ae24fc82e|tr=sa|hk=6b7d9a452a31d415f1ed70f6")</f>
        <v>https://www.newstart-law.com/?inType=NK&amp;n_media=27758&amp;n_query=개인회생신청자격&amp;n_rank=5&amp;n_ad_group=grp-a001-01-000000063065651&amp;n_ad=nad-a001-01-000000495459437&amp;n_keyword_id=nkw-a001-01-000007951807343&amp;n_keyword=개인회생신청자격&amp;n_campaign_type=1&amp;n_ad_group_type=1&amp;n_match=1&amp;NaPm=ct=mquegana|ci=ER0fe94867-7113-11f1-a9b8-6e3ae24fc82e|tr=sa|hk=6b7d9a452a31d415f1ed70f6</v>
      </c>
      <c r="H276" s="6" t="str">
        <f ca="1">IFERROR(__xludf.DUMMYFUNCTION("""COMPUTED_VALUE"""),"NK")</f>
        <v>NK</v>
      </c>
      <c r="I276" s="6" t="str">
        <f ca="1">IFERROR(__xludf.DUMMYFUNCTION("""COMPUTED_VALUE"""),"개인회생신청자격")</f>
        <v>개인회생신청자격</v>
      </c>
      <c r="J276" s="6" t="str">
        <f ca="1">IFERROR(__xludf.DUMMYFUNCTION("""COMPUTED_VALUE"""),"메인 상단 상담폼")</f>
        <v>메인 상단 상담폼</v>
      </c>
    </row>
    <row r="277" spans="1:10" x14ac:dyDescent="0.2">
      <c r="A277" s="6">
        <f ca="1">IFERROR(__xludf.DUMMYFUNCTION("""COMPUTED_VALUE"""),276)</f>
        <v>276</v>
      </c>
      <c r="B277" s="6">
        <f ca="1">IFERROR(__xludf.DUMMYFUNCTION("""COMPUTED_VALUE"""),46199.5420254629)</f>
        <v>46199.542025462899</v>
      </c>
      <c r="C277" s="6" t="str">
        <f ca="1">IFERROR(__xludf.DUMMYFUNCTION("""COMPUTED_VALUE"""),"1.210.197.230")</f>
        <v>1.210.197.230</v>
      </c>
      <c r="D277" s="6" t="str">
        <f ca="1">IFERROR(__xludf.DUMMYFUNCTION("""COMPUTED_VALUE"""),"전화")</f>
        <v>전화</v>
      </c>
      <c r="E277" s="6" t="str">
        <f ca="1">IFERROR(__xludf.DUMMYFUNCTION("""COMPUTED_VALUE"""),"전화")</f>
        <v>전화</v>
      </c>
      <c r="F277" s="6" t="str">
        <f ca="1">IFERROR(__xludf.DUMMYFUNCTION("""COMPUTED_VALUE"""),"배너")</f>
        <v>배너</v>
      </c>
      <c r="G277" s="7" t="str">
        <f ca="1">IFERROR(__xludf.DUMMYFUNCTION("""COMPUTED_VALUE"""),"http://newstart-law.com/?inType=nim003&amp;NaPm=ci=6qCA87ZvFCTmCkK-UomOzeEQ|tr=gfa|ct=mquek9m4|hk=44b0f7445a0c8beb746085ea0d70a21db12ecaeb|nacn=tm3qBABAe7ALA")</f>
        <v>http://newstart-law.com/?inType=nim003&amp;NaPm=ci=6qCA87ZvFCTmCkK-UomOzeEQ|tr=gfa|ct=mquek9m4|hk=44b0f7445a0c8beb746085ea0d70a21db12ecaeb|nacn=tm3qBABAe7ALA</v>
      </c>
      <c r="H277" s="6" t="str">
        <f ca="1">IFERROR(__xludf.DUMMYFUNCTION("""COMPUTED_VALUE"""),"nim003")</f>
        <v>nim003</v>
      </c>
      <c r="I277" s="6" t="str">
        <f ca="1">IFERROR(__xludf.DUMMYFUNCTION("""COMPUTED_VALUE"""),"")</f>
        <v/>
      </c>
      <c r="J277" s="6" t="str">
        <f ca="1">IFERROR(__xludf.DUMMYFUNCTION("""COMPUTED_VALUE"""),"전화 문의")</f>
        <v>전화 문의</v>
      </c>
    </row>
    <row r="278" spans="1:10" x14ac:dyDescent="0.2">
      <c r="A278" s="6">
        <f ca="1">IFERROR(__xludf.DUMMYFUNCTION("""COMPUTED_VALUE"""),277)</f>
        <v>277</v>
      </c>
      <c r="B278" s="6">
        <f ca="1">IFERROR(__xludf.DUMMYFUNCTION("""COMPUTED_VALUE"""),46199.5519444444)</f>
        <v>46199.5519444444</v>
      </c>
      <c r="C278" s="6" t="str">
        <f ca="1">IFERROR(__xludf.DUMMYFUNCTION("""COMPUTED_VALUE"""),"118.235.26.245")</f>
        <v>118.235.26.245</v>
      </c>
      <c r="D278" s="6" t="str">
        <f ca="1">IFERROR(__xludf.DUMMYFUNCTION("""COMPUTED_VALUE"""),"카카오")</f>
        <v>카카오</v>
      </c>
      <c r="E278" s="6" t="str">
        <f ca="1">IFERROR(__xludf.DUMMYFUNCTION("""COMPUTED_VALUE"""),"카카오톡")</f>
        <v>카카오톡</v>
      </c>
      <c r="F278" s="6" t="str">
        <f ca="1">IFERROR(__xludf.DUMMYFUNCTION("""COMPUTED_VALUE"""),"배너")</f>
        <v>배너</v>
      </c>
      <c r="G278" s="7" t="str">
        <f ca="1">IFERROR(__xludf.DUMMYFUNCTION("""COMPUTED_VALUE"""),"http://newstart-law.com/?inType=NIM001&amp;NaPm=ci=6q7TRZOICRT5aISIVkkQPycg|tr=gfa|ct=mquf2lxm|hk=1280dc7737e660db144535d11c4b0e042b7770c7|nacn=1BMHBwAkMKqV")</f>
        <v>http://newstart-law.com/?inType=NIM001&amp;NaPm=ci=6q7TRZOICRT5aISIVkkQPycg|tr=gfa|ct=mquf2lxm|hk=1280dc7737e660db144535d11c4b0e042b7770c7|nacn=1BMHBwAkMKqV</v>
      </c>
      <c r="H278" s="6" t="str">
        <f ca="1">IFERROR(__xludf.DUMMYFUNCTION("""COMPUTED_VALUE"""),"NIM001")</f>
        <v>NIM001</v>
      </c>
      <c r="I278" s="6" t="str">
        <f ca="1">IFERROR(__xludf.DUMMYFUNCTION("""COMPUTED_VALUE"""),"")</f>
        <v/>
      </c>
      <c r="J278" s="6" t="str">
        <f ca="1">IFERROR(__xludf.DUMMYFUNCTION("""COMPUTED_VALUE"""),"카카오톡")</f>
        <v>카카오톡</v>
      </c>
    </row>
    <row r="279" spans="1:10" x14ac:dyDescent="0.2">
      <c r="A279" s="6">
        <f ca="1">IFERROR(__xludf.DUMMYFUNCTION("""COMPUTED_VALUE"""),278)</f>
        <v>278</v>
      </c>
      <c r="B279" s="6">
        <f ca="1">IFERROR(__xludf.DUMMYFUNCTION("""COMPUTED_VALUE"""),46199.5677083333)</f>
        <v>46199.567708333299</v>
      </c>
      <c r="C279" s="6" t="str">
        <f ca="1">IFERROR(__xludf.DUMMYFUNCTION("""COMPUTED_VALUE"""),"106.101.78.157")</f>
        <v>106.101.78.157</v>
      </c>
      <c r="D279" s="6" t="str">
        <f ca="1">IFERROR(__xludf.DUMMYFUNCTION("""COMPUTED_VALUE"""),"전화")</f>
        <v>전화</v>
      </c>
      <c r="E279" s="6" t="str">
        <f ca="1">IFERROR(__xludf.DUMMYFUNCTION("""COMPUTED_VALUE"""),"전화")</f>
        <v>전화</v>
      </c>
      <c r="F279" s="6" t="str">
        <f ca="1">IFERROR(__xludf.DUMMYFUNCTION("""COMPUTED_VALUE"""),"배너")</f>
        <v>배너</v>
      </c>
      <c r="G279" s="7" t="str">
        <f ca="1">IFERROR(__xludf.DUMMYFUNCTION("""COMPUTED_VALUE"""),"http://newstart-law.com/?inType=nim003&amp;NaPm=ci=6q4isYg6M6SJuL0t8lytEjOQ|tr=gfa|ct=mqufwdbl|hk=0d7f7afa5aedfbc94aa2ed00cef0ab21acc4ae32|nacn=tm3qBABAe7ALA")</f>
        <v>http://newstart-law.com/?inType=nim003&amp;NaPm=ci=6q4isYg6M6SJuL0t8lytEjOQ|tr=gfa|ct=mqufwdbl|hk=0d7f7afa5aedfbc94aa2ed00cef0ab21acc4ae32|nacn=tm3qBABAe7ALA</v>
      </c>
      <c r="H279" s="6" t="str">
        <f ca="1">IFERROR(__xludf.DUMMYFUNCTION("""COMPUTED_VALUE"""),"nim003")</f>
        <v>nim003</v>
      </c>
      <c r="I279" s="6" t="str">
        <f ca="1">IFERROR(__xludf.DUMMYFUNCTION("""COMPUTED_VALUE"""),"")</f>
        <v/>
      </c>
      <c r="J279" s="6" t="str">
        <f ca="1">IFERROR(__xludf.DUMMYFUNCTION("""COMPUTED_VALUE"""),"전화 문의")</f>
        <v>전화 문의</v>
      </c>
    </row>
    <row r="280" spans="1:10" x14ac:dyDescent="0.2">
      <c r="A280" s="6">
        <f ca="1">IFERROR(__xludf.DUMMYFUNCTION("""COMPUTED_VALUE"""),279)</f>
        <v>279</v>
      </c>
      <c r="B280" s="6">
        <f ca="1">IFERROR(__xludf.DUMMYFUNCTION("""COMPUTED_VALUE"""),46199.5828819444)</f>
        <v>46199.5828819444</v>
      </c>
      <c r="C280" s="6" t="str">
        <f ca="1">IFERROR(__xludf.DUMMYFUNCTION("""COMPUTED_VALUE"""),"118.235.10.68")</f>
        <v>118.235.10.68</v>
      </c>
      <c r="D280" s="6" t="str">
        <f ca="1">IFERROR(__xludf.DUMMYFUNCTION("""COMPUTED_VALUE"""),"네이버예약")</f>
        <v>네이버예약</v>
      </c>
      <c r="E280" s="6" t="str">
        <f ca="1">IFERROR(__xludf.DUMMYFUNCTION("""COMPUTED_VALUE"""),"네이버예약")</f>
        <v>네이버예약</v>
      </c>
      <c r="F280" s="6" t="str">
        <f ca="1">IFERROR(__xludf.DUMMYFUNCTION("""COMPUTED_VALUE"""),"배너")</f>
        <v>배너</v>
      </c>
      <c r="G280" s="7" t="str">
        <f ca="1">IFERROR(__xludf.DUMMYFUNCTION("""COMPUTED_VALUE"""),"http://newstart-law.com/?inType=nim003&amp;NaPm=ci=6qInOS-JwOQKadCqYCf9arGw|tr=gfa|ct=mqugo37c|hk=58698a8b4830a26644b9f80d754ec377d23687e2|nacn=pbwaB0AaigoV")</f>
        <v>http://newstart-law.com/?inType=nim003&amp;NaPm=ci=6qInOS-JwOQKadCqYCf9arGw|tr=gfa|ct=mqugo37c|hk=58698a8b4830a26644b9f80d754ec377d23687e2|nacn=pbwaB0AaigoV</v>
      </c>
      <c r="H280" s="6" t="str">
        <f ca="1">IFERROR(__xludf.DUMMYFUNCTION("""COMPUTED_VALUE"""),"nim003")</f>
        <v>nim003</v>
      </c>
      <c r="I280" s="6" t="str">
        <f ca="1">IFERROR(__xludf.DUMMYFUNCTION("""COMPUTED_VALUE"""),"")</f>
        <v/>
      </c>
      <c r="J280" s="6" t="str">
        <f ca="1">IFERROR(__xludf.DUMMYFUNCTION("""COMPUTED_VALUE"""),"네이버 예약")</f>
        <v>네이버 예약</v>
      </c>
    </row>
    <row r="281" spans="1:10" x14ac:dyDescent="0.2">
      <c r="A281" s="6">
        <f ca="1">IFERROR(__xludf.DUMMYFUNCTION("""COMPUTED_VALUE"""),280)</f>
        <v>280</v>
      </c>
      <c r="B281" s="6">
        <f ca="1">IFERROR(__xludf.DUMMYFUNCTION("""COMPUTED_VALUE"""),46199.6462384259)</f>
        <v>46199.646238425899</v>
      </c>
      <c r="C281" s="6" t="str">
        <f ca="1">IFERROR(__xludf.DUMMYFUNCTION("""COMPUTED_VALUE"""),"211.234.206.60")</f>
        <v>211.234.206.60</v>
      </c>
      <c r="D281" s="6" t="str">
        <f ca="1">IFERROR(__xludf.DUMMYFUNCTION("""COMPUTED_VALUE"""),"전화")</f>
        <v>전화</v>
      </c>
      <c r="E281" s="6" t="str">
        <f ca="1">IFERROR(__xludf.DUMMYFUNCTION("""COMPUTED_VALUE"""),"전화")</f>
        <v>전화</v>
      </c>
      <c r="F281" s="6" t="str">
        <f ca="1">IFERROR(__xludf.DUMMYFUNCTION("""COMPUTED_VALUE"""),"배너")</f>
        <v>배너</v>
      </c>
      <c r="G281" s="7" t="str">
        <f ca="1">IFERROR(__xludf.DUMMYFUNCTION("""COMPUTED_VALUE"""),"http://newstart-law.com/?inType=nim003&amp;NaPm=ci=6qiTBHvsTgRqKkO8kLF_nlNQ|tr=gfa|ct=mqujxaak|hk=a786a1a43abce4b4164cd146814598ad3aea137d|nacn=pPxyBcQ2wllH")</f>
        <v>http://newstart-law.com/?inType=nim003&amp;NaPm=ci=6qiTBHvsTgRqKkO8kLF_nlNQ|tr=gfa|ct=mqujxaak|hk=a786a1a43abce4b4164cd146814598ad3aea137d|nacn=pPxyBcQ2wllH</v>
      </c>
      <c r="H281" s="6" t="str">
        <f ca="1">IFERROR(__xludf.DUMMYFUNCTION("""COMPUTED_VALUE"""),"nim003")</f>
        <v>nim003</v>
      </c>
      <c r="I281" s="6" t="str">
        <f ca="1">IFERROR(__xludf.DUMMYFUNCTION("""COMPUTED_VALUE"""),"")</f>
        <v/>
      </c>
      <c r="J281" s="6" t="str">
        <f ca="1">IFERROR(__xludf.DUMMYFUNCTION("""COMPUTED_VALUE"""),"전화 문의")</f>
        <v>전화 문의</v>
      </c>
    </row>
    <row r="282" spans="1:10" x14ac:dyDescent="0.2">
      <c r="A282" s="6">
        <f ca="1">IFERROR(__xludf.DUMMYFUNCTION("""COMPUTED_VALUE"""),281)</f>
        <v>281</v>
      </c>
      <c r="B282" s="6">
        <f ca="1">IFERROR(__xludf.DUMMYFUNCTION("""COMPUTED_VALUE"""),46199.6602314814)</f>
        <v>46199.660231481401</v>
      </c>
      <c r="C282" s="6" t="str">
        <f ca="1">IFERROR(__xludf.DUMMYFUNCTION("""COMPUTED_VALUE"""),"39.113.234.86")</f>
        <v>39.113.234.86</v>
      </c>
      <c r="D282" s="6" t="str">
        <f ca="1">IFERROR(__xludf.DUMMYFUNCTION("""COMPUTED_VALUE"""),"카카오")</f>
        <v>카카오</v>
      </c>
      <c r="E282" s="6" t="str">
        <f ca="1">IFERROR(__xludf.DUMMYFUNCTION("""COMPUTED_VALUE"""),"카카오톡")</f>
        <v>카카오톡</v>
      </c>
      <c r="F282" s="6" t="str">
        <f ca="1">IFERROR(__xludf.DUMMYFUNCTION("""COMPUTED_VALUE"""),"배너")</f>
        <v>배너</v>
      </c>
      <c r="G282" s="7" t="str">
        <f ca="1">IFERROR(__xludf.DUMMYFUNCTION("""COMPUTED_VALUE"""),"http://newstart-law.com/?inType=nim003&amp;NaPm=ci=6q0l9UGHIMSbCpOM_9jKrHTg|tr=gfa|ct=mquknlqh|hk=4587c6196bbdec27b51accfb309d9cb1e97b9d06|nacn=WntLBkwUvF6G")</f>
        <v>http://newstart-law.com/?inType=nim003&amp;NaPm=ci=6q0l9UGHIMSbCpOM_9jKrHTg|tr=gfa|ct=mquknlqh|hk=4587c6196bbdec27b51accfb309d9cb1e97b9d06|nacn=WntLBkwUvF6G</v>
      </c>
      <c r="H282" s="6" t="str">
        <f ca="1">IFERROR(__xludf.DUMMYFUNCTION("""COMPUTED_VALUE"""),"nim003")</f>
        <v>nim003</v>
      </c>
      <c r="I282" s="6" t="str">
        <f ca="1">IFERROR(__xludf.DUMMYFUNCTION("""COMPUTED_VALUE"""),"")</f>
        <v/>
      </c>
      <c r="J282" s="6" t="str">
        <f ca="1">IFERROR(__xludf.DUMMYFUNCTION("""COMPUTED_VALUE"""),"카카오톡")</f>
        <v>카카오톡</v>
      </c>
    </row>
    <row r="283" spans="1:10" x14ac:dyDescent="0.2">
      <c r="A283" s="6">
        <f ca="1">IFERROR(__xludf.DUMMYFUNCTION("""COMPUTED_VALUE"""),282)</f>
        <v>282</v>
      </c>
      <c r="B283" s="6">
        <f ca="1">IFERROR(__xludf.DUMMYFUNCTION("""COMPUTED_VALUE"""),46199.668287037)</f>
        <v>46199.668287036999</v>
      </c>
      <c r="C283" s="6" t="str">
        <f ca="1">IFERROR(__xludf.DUMMYFUNCTION("""COMPUTED_VALUE"""),"106.101.198.128")</f>
        <v>106.101.198.128</v>
      </c>
      <c r="D283" s="6" t="str">
        <f ca="1">IFERROR(__xludf.DUMMYFUNCTION("""COMPUTED_VALUE"""),"네이버예약")</f>
        <v>네이버예약</v>
      </c>
      <c r="E283" s="6" t="str">
        <f ca="1">IFERROR(__xludf.DUMMYFUNCTION("""COMPUTED_VALUE"""),"네이버예약")</f>
        <v>네이버예약</v>
      </c>
      <c r="F283" s="6" t="str">
        <f ca="1">IFERROR(__xludf.DUMMYFUNCTION("""COMPUTED_VALUE"""),"배너")</f>
        <v>배너</v>
      </c>
      <c r="G283" s="7" t="str">
        <f ca="1">IFERROR(__xludf.DUMMYFUNCTION("""COMPUTED_VALUE"""),"http://newstart-law.com/?inType=nim003&amp;NaPm=ci=6qR60UI7XgT4ucujLUBpvhbw|tr=gfa|ct=mqul204l|hk=43a2eea11e9a6598bb5f0863a6617b1c674a4010|nacn=i9znB8wf8Dq9B")</f>
        <v>http://newstart-law.com/?inType=nim003&amp;NaPm=ci=6qR60UI7XgT4ucujLUBpvhbw|tr=gfa|ct=mqul204l|hk=43a2eea11e9a6598bb5f0863a6617b1c674a4010|nacn=i9znB8wf8Dq9B</v>
      </c>
      <c r="H283" s="6" t="str">
        <f ca="1">IFERROR(__xludf.DUMMYFUNCTION("""COMPUTED_VALUE"""),"nim003")</f>
        <v>nim003</v>
      </c>
      <c r="I283" s="6" t="str">
        <f ca="1">IFERROR(__xludf.DUMMYFUNCTION("""COMPUTED_VALUE"""),"")</f>
        <v/>
      </c>
      <c r="J283" s="6" t="str">
        <f ca="1">IFERROR(__xludf.DUMMYFUNCTION("""COMPUTED_VALUE"""),"네이버 예약")</f>
        <v>네이버 예약</v>
      </c>
    </row>
    <row r="284" spans="1:10" x14ac:dyDescent="0.2">
      <c r="A284" s="6">
        <f ca="1">IFERROR(__xludf.DUMMYFUNCTION("""COMPUTED_VALUE"""),283)</f>
        <v>283</v>
      </c>
      <c r="B284" s="6">
        <f ca="1">IFERROR(__xludf.DUMMYFUNCTION("""COMPUTED_VALUE"""),46199.6687731481)</f>
        <v>46199.6687731481</v>
      </c>
      <c r="C284" s="6" t="str">
        <f ca="1">IFERROR(__xludf.DUMMYFUNCTION("""COMPUTED_VALUE"""),"211.234.199.94")</f>
        <v>211.234.199.94</v>
      </c>
      <c r="D284" s="6" t="str">
        <f ca="1">IFERROR(__xludf.DUMMYFUNCTION("""COMPUTED_VALUE"""),"네이버예약")</f>
        <v>네이버예약</v>
      </c>
      <c r="E284" s="6" t="str">
        <f ca="1">IFERROR(__xludf.DUMMYFUNCTION("""COMPUTED_VALUE"""),"네이버예약")</f>
        <v>네이버예약</v>
      </c>
      <c r="F284" s="6" t="str">
        <f ca="1">IFERROR(__xludf.DUMMYFUNCTION("""COMPUTED_VALUE"""),"배너")</f>
        <v>배너</v>
      </c>
      <c r="G284" s="7" t="str">
        <f ca="1">IFERROR(__xludf.DUMMYFUNCTION("""COMPUTED_VALUE"""),"http://newstart-law.com/?inType=nim003&amp;NaPm=ci=6qTx1AjdTMR5qgc6YEfrRcXA|tr=gfa|ct=mqul309z|hk=d9743dad839a443866ed143fab3c710659506160|nacn=W5zkBww1dQH1")</f>
        <v>http://newstart-law.com/?inType=nim003&amp;NaPm=ci=6qTx1AjdTMR5qgc6YEfrRcXA|tr=gfa|ct=mqul309z|hk=d9743dad839a443866ed143fab3c710659506160|nacn=W5zkBww1dQH1</v>
      </c>
      <c r="H284" s="6" t="str">
        <f ca="1">IFERROR(__xludf.DUMMYFUNCTION("""COMPUTED_VALUE"""),"nim003")</f>
        <v>nim003</v>
      </c>
      <c r="I284" s="6" t="str">
        <f ca="1">IFERROR(__xludf.DUMMYFUNCTION("""COMPUTED_VALUE"""),"")</f>
        <v/>
      </c>
      <c r="J284" s="6" t="str">
        <f ca="1">IFERROR(__xludf.DUMMYFUNCTION("""COMPUTED_VALUE"""),"네이버 예약")</f>
        <v>네이버 예약</v>
      </c>
    </row>
    <row r="285" spans="1:10" x14ac:dyDescent="0.2">
      <c r="A285" s="6">
        <f ca="1">IFERROR(__xludf.DUMMYFUNCTION("""COMPUTED_VALUE"""),284)</f>
        <v>284</v>
      </c>
      <c r="B285" s="6">
        <f ca="1">IFERROR(__xludf.DUMMYFUNCTION("""COMPUTED_VALUE"""),46199.6708101851)</f>
        <v>46199.670810185104</v>
      </c>
      <c r="C285" s="6" t="str">
        <f ca="1">IFERROR(__xludf.DUMMYFUNCTION("""COMPUTED_VALUE"""),"118.235.15.76")</f>
        <v>118.235.15.76</v>
      </c>
      <c r="D285" s="6" t="str">
        <f ca="1">IFERROR(__xludf.DUMMYFUNCTION("""COMPUTED_VALUE"""),"카카오")</f>
        <v>카카오</v>
      </c>
      <c r="E285" s="6" t="str">
        <f ca="1">IFERROR(__xludf.DUMMYFUNCTION("""COMPUTED_VALUE"""),"카카오톡")</f>
        <v>카카오톡</v>
      </c>
      <c r="F285" s="6" t="str">
        <f ca="1">IFERROR(__xludf.DUMMYFUNCTION("""COMPUTED_VALUE"""),"배너")</f>
        <v>배너</v>
      </c>
      <c r="G285" s="7" t="str">
        <f ca="1">IFERROR(__xludf.DUMMYFUNCTION("""COMPUTED_VALUE"""),"http://newstart-law.com/?inType=nim003&amp;NaPm=ci=6q3U5x2HBESgeV9vX9F2jN9w|tr=gfa|ct=mqul6t9e|hk=c42fb1ea6c253868d3cbc99bcf95bfa69be1a896|nacn=skZ1BQQpVMIU")</f>
        <v>http://newstart-law.com/?inType=nim003&amp;NaPm=ci=6q3U5x2HBESgeV9vX9F2jN9w|tr=gfa|ct=mqul6t9e|hk=c42fb1ea6c253868d3cbc99bcf95bfa69be1a896|nacn=skZ1BQQpVMIU</v>
      </c>
      <c r="H285" s="6" t="str">
        <f ca="1">IFERROR(__xludf.DUMMYFUNCTION("""COMPUTED_VALUE"""),"nim003")</f>
        <v>nim003</v>
      </c>
      <c r="I285" s="6" t="str">
        <f ca="1">IFERROR(__xludf.DUMMYFUNCTION("""COMPUTED_VALUE"""),"")</f>
        <v/>
      </c>
      <c r="J285" s="6" t="str">
        <f ca="1">IFERROR(__xludf.DUMMYFUNCTION("""COMPUTED_VALUE"""),"카카오톡")</f>
        <v>카카오톡</v>
      </c>
    </row>
    <row r="286" spans="1:10" x14ac:dyDescent="0.2">
      <c r="A286" s="6">
        <f ca="1">IFERROR(__xludf.DUMMYFUNCTION("""COMPUTED_VALUE"""),285)</f>
        <v>285</v>
      </c>
      <c r="B286" s="6">
        <f ca="1">IFERROR(__xludf.DUMMYFUNCTION("""COMPUTED_VALUE"""),46199.6768287037)</f>
        <v>46199.676828703698</v>
      </c>
      <c r="C286" s="6" t="str">
        <f ca="1">IFERROR(__xludf.DUMMYFUNCTION("""COMPUTED_VALUE"""),"106.101.194.202")</f>
        <v>106.101.194.202</v>
      </c>
      <c r="D286" s="6" t="str">
        <f ca="1">IFERROR(__xludf.DUMMYFUNCTION("""COMPUTED_VALUE"""),"전화")</f>
        <v>전화</v>
      </c>
      <c r="E286" s="6" t="str">
        <f ca="1">IFERROR(__xludf.DUMMYFUNCTION("""COMPUTED_VALUE"""),"전화")</f>
        <v>전화</v>
      </c>
      <c r="F286" s="6" t="str">
        <f ca="1">IFERROR(__xludf.DUMMYFUNCTION("""COMPUTED_VALUE"""),"배너")</f>
        <v>배너</v>
      </c>
      <c r="G286" s="7" t="str">
        <f ca="1">IFERROR(__xludf.DUMMYFUNCTION("""COMPUTED_VALUE"""),"http://newstart-law.com/?inType=nim003&amp;NaPm=ci=6q4eMQIj3HRvCPIkqQ_jv0YA|tr=gfa|ct=mqulcw6h|hk=40d2de3017997e8b989022e26b631657dfc50754|nacn=o7YfC4gvnzuzA")</f>
        <v>http://newstart-law.com/?inType=nim003&amp;NaPm=ci=6q4eMQIj3HRvCPIkqQ_jv0YA|tr=gfa|ct=mqulcw6h|hk=40d2de3017997e8b989022e26b631657dfc50754|nacn=o7YfC4gvnzuzA</v>
      </c>
      <c r="H286" s="6" t="str">
        <f ca="1">IFERROR(__xludf.DUMMYFUNCTION("""COMPUTED_VALUE"""),"nim003")</f>
        <v>nim003</v>
      </c>
      <c r="I286" s="6" t="str">
        <f ca="1">IFERROR(__xludf.DUMMYFUNCTION("""COMPUTED_VALUE"""),"")</f>
        <v/>
      </c>
      <c r="J286" s="6" t="str">
        <f ca="1">IFERROR(__xludf.DUMMYFUNCTION("""COMPUTED_VALUE"""),"전화 문의")</f>
        <v>전화 문의</v>
      </c>
    </row>
    <row r="287" spans="1:10" x14ac:dyDescent="0.2">
      <c r="A287" s="6">
        <f ca="1">IFERROR(__xludf.DUMMYFUNCTION("""COMPUTED_VALUE"""),286)</f>
        <v>286</v>
      </c>
      <c r="B287" s="6">
        <f ca="1">IFERROR(__xludf.DUMMYFUNCTION("""COMPUTED_VALUE"""),46199.6813194444)</f>
        <v>46199.681319444397</v>
      </c>
      <c r="C287" s="6" t="str">
        <f ca="1">IFERROR(__xludf.DUMMYFUNCTION("""COMPUTED_VALUE"""),"이운천")</f>
        <v>이운천</v>
      </c>
      <c r="D287" s="6">
        <f ca="1">IFERROR(__xludf.DUMMYFUNCTION("""COMPUTED_VALUE"""),1099122948)</f>
        <v>1099122948</v>
      </c>
      <c r="E287" s="6" t="str">
        <f ca="1">IFERROR(__xludf.DUMMYFUNCTION("""COMPUTED_VALUE"""),"상담신청")</f>
        <v>상담신청</v>
      </c>
      <c r="F287" s="6" t="str">
        <f ca="1">IFERROR(__xludf.DUMMYFUNCTION("""COMPUTED_VALUE"""),"배너")</f>
        <v>배너</v>
      </c>
      <c r="G287" s="7" t="str">
        <f ca="1">IFERROR(__xludf.DUMMYFUNCTION("""COMPUTED_VALUE"""),"https://newstart-law.com/?inType=NIP002&amp;NaPm=ci=6qUDH-LxUqQfO5FQiD7yUrUA|tr=gfa|ct=mqulmypf|hk=791615a29f0b35286c92dfa1fa964d9ca2f7301a|nacn=XThgB4w4jQLN")</f>
        <v>https://newstart-law.com/?inType=NIP002&amp;NaPm=ci=6qUDH-LxUqQfO5FQiD7yUrUA|tr=gfa|ct=mqulmypf|hk=791615a29f0b35286c92dfa1fa964d9ca2f7301a|nacn=XThgB4w4jQLN</v>
      </c>
      <c r="H287" s="6" t="str">
        <f ca="1">IFERROR(__xludf.DUMMYFUNCTION("""COMPUTED_VALUE"""),"NIP002")</f>
        <v>NIP002</v>
      </c>
      <c r="I287" s="6" t="str">
        <f ca="1">IFERROR(__xludf.DUMMYFUNCTION("""COMPUTED_VALUE"""),"")</f>
        <v/>
      </c>
      <c r="J287" s="6" t="str">
        <f ca="1">IFERROR(__xludf.DUMMYFUNCTION("""COMPUTED_VALUE"""),"메인 상단 상담폼")</f>
        <v>메인 상단 상담폼</v>
      </c>
    </row>
    <row r="288" spans="1:10" x14ac:dyDescent="0.2">
      <c r="A288" s="6">
        <f ca="1">IFERROR(__xludf.DUMMYFUNCTION("""COMPUTED_VALUE"""),287)</f>
        <v>287</v>
      </c>
      <c r="B288" s="6">
        <f ca="1">IFERROR(__xludf.DUMMYFUNCTION("""COMPUTED_VALUE"""),46199.6854861111)</f>
        <v>46199.685486111099</v>
      </c>
      <c r="C288" s="6" t="str">
        <f ca="1">IFERROR(__xludf.DUMMYFUNCTION("""COMPUTED_VALUE"""),"윤썩을렬")</f>
        <v>윤썩을렬</v>
      </c>
      <c r="D288" s="6">
        <f ca="1">IFERROR(__xludf.DUMMYFUNCTION("""COMPUTED_VALUE"""),1053443617)</f>
        <v>1053443617</v>
      </c>
      <c r="E288" s="6" t="str">
        <f ca="1">IFERROR(__xludf.DUMMYFUNCTION("""COMPUTED_VALUE"""),"상담신청")</f>
        <v>상담신청</v>
      </c>
      <c r="F288" s="6" t="str">
        <f ca="1">IFERROR(__xludf.DUMMYFUNCTION("""COMPUTED_VALUE"""),"배너")</f>
        <v>배너</v>
      </c>
      <c r="G288" s="7" t="str">
        <f ca="1">IFERROR(__xludf.DUMMYFUNCTION("""COMPUTED_VALUE"""),"https://newstart-law.com/?inType=NIM001&amp;NaPm=ci=6qqnnhbbn_S1GUWdm-RJ9ogA|tr=gfa|ct=mquly1eg|hk=4d831fac9f8c5052337f425c63d5e390be7ebb36|nacn=A5p9B0QzHq56")</f>
        <v>https://newstart-law.com/?inType=NIM001&amp;NaPm=ci=6qqnnhbbn_S1GUWdm-RJ9ogA|tr=gfa|ct=mquly1eg|hk=4d831fac9f8c5052337f425c63d5e390be7ebb36|nacn=A5p9B0QzHq56</v>
      </c>
      <c r="H288" s="6" t="str">
        <f ca="1">IFERROR(__xludf.DUMMYFUNCTION("""COMPUTED_VALUE"""),"NIM001")</f>
        <v>NIM001</v>
      </c>
      <c r="I288" s="6" t="str">
        <f ca="1">IFERROR(__xludf.DUMMYFUNCTION("""COMPUTED_VALUE"""),"")</f>
        <v/>
      </c>
      <c r="J288" s="6" t="str">
        <f ca="1">IFERROR(__xludf.DUMMYFUNCTION("""COMPUTED_VALUE"""),"모바일 하단 상담폼")</f>
        <v>모바일 하단 상담폼</v>
      </c>
    </row>
    <row r="289" spans="1:10" x14ac:dyDescent="0.2">
      <c r="A289" s="6">
        <f ca="1">IFERROR(__xludf.DUMMYFUNCTION("""COMPUTED_VALUE"""),288)</f>
        <v>288</v>
      </c>
      <c r="B289" s="6">
        <f ca="1">IFERROR(__xludf.DUMMYFUNCTION("""COMPUTED_VALUE"""),46199.6857175925)</f>
        <v>46199.685717592503</v>
      </c>
      <c r="C289" s="6" t="str">
        <f ca="1">IFERROR(__xludf.DUMMYFUNCTION("""COMPUTED_VALUE"""),"김쥴리")</f>
        <v>김쥴리</v>
      </c>
      <c r="D289" s="6">
        <f ca="1">IFERROR(__xludf.DUMMYFUNCTION("""COMPUTED_VALUE"""),1037904545)</f>
        <v>1037904545</v>
      </c>
      <c r="E289" s="6" t="str">
        <f ca="1">IFERROR(__xludf.DUMMYFUNCTION("""COMPUTED_VALUE"""),"상담신청")</f>
        <v>상담신청</v>
      </c>
      <c r="F289" s="6" t="str">
        <f ca="1">IFERROR(__xludf.DUMMYFUNCTION("""COMPUTED_VALUE"""),"배너")</f>
        <v>배너</v>
      </c>
      <c r="G289" s="7" t="str">
        <f ca="1">IFERROR(__xludf.DUMMYFUNCTION("""COMPUTED_VALUE"""),"https://newstart-law.com/?inType=NIM001&amp;NaPm=ci=6qqnnhbbn_S1GUWdm-RJ9ogA|tr=gfa|ct=mquly1eg|hk=4d831fac9f8c5052337f425c63d5e390be7ebb36|nacn=A5p9B0QzHq56")</f>
        <v>https://newstart-law.com/?inType=NIM001&amp;NaPm=ci=6qqnnhbbn_S1GUWdm-RJ9ogA|tr=gfa|ct=mquly1eg|hk=4d831fac9f8c5052337f425c63d5e390be7ebb36|nacn=A5p9B0QzHq56</v>
      </c>
      <c r="H289" s="6" t="str">
        <f ca="1">IFERROR(__xludf.DUMMYFUNCTION("""COMPUTED_VALUE"""),"NIM001")</f>
        <v>NIM001</v>
      </c>
      <c r="I289" s="6" t="str">
        <f ca="1">IFERROR(__xludf.DUMMYFUNCTION("""COMPUTED_VALUE"""),"")</f>
        <v/>
      </c>
      <c r="J289" s="6" t="str">
        <f ca="1">IFERROR(__xludf.DUMMYFUNCTION("""COMPUTED_VALUE"""),"모바일 하단 상담폼")</f>
        <v>모바일 하단 상담폼</v>
      </c>
    </row>
    <row r="290" spans="1:10" x14ac:dyDescent="0.2">
      <c r="A290" s="6">
        <f ca="1">IFERROR(__xludf.DUMMYFUNCTION("""COMPUTED_VALUE"""),289)</f>
        <v>289</v>
      </c>
      <c r="B290" s="6">
        <f ca="1">IFERROR(__xludf.DUMMYFUNCTION("""COMPUTED_VALUE"""),46199.6858564814)</f>
        <v>46199.685856481403</v>
      </c>
      <c r="C290" s="6" t="str">
        <f ca="1">IFERROR(__xludf.DUMMYFUNCTION("""COMPUTED_VALUE"""),"223.38.226.25")</f>
        <v>223.38.226.25</v>
      </c>
      <c r="D290" s="6" t="str">
        <f ca="1">IFERROR(__xludf.DUMMYFUNCTION("""COMPUTED_VALUE"""),"카카오")</f>
        <v>카카오</v>
      </c>
      <c r="E290" s="6" t="str">
        <f ca="1">IFERROR(__xludf.DUMMYFUNCTION("""COMPUTED_VALUE"""),"카카오톡")</f>
        <v>카카오톡</v>
      </c>
      <c r="F290" s="6" t="str">
        <f ca="1">IFERROR(__xludf.DUMMYFUNCTION("""COMPUTED_VALUE"""),"배너")</f>
        <v>배너</v>
      </c>
      <c r="G290" s="7" t="str">
        <f ca="1">IFERROR(__xludf.DUMMYFUNCTION("""COMPUTED_VALUE"""),"http://newstart-law.com/?inType=nim003&amp;NaPm=ci=6qKcAA9Im6RiShqiJGEqex-Q|tr=gfa|ct=mqulxmr3|hk=58c7656c9a9b79085ea7d9d3b0ff10e3de2b4aca|nacn=33gHBkAO0pSl")</f>
        <v>http://newstart-law.com/?inType=nim003&amp;NaPm=ci=6qKcAA9Im6RiShqiJGEqex-Q|tr=gfa|ct=mqulxmr3|hk=58c7656c9a9b79085ea7d9d3b0ff10e3de2b4aca|nacn=33gHBkAO0pSl</v>
      </c>
      <c r="H290" s="6" t="str">
        <f ca="1">IFERROR(__xludf.DUMMYFUNCTION("""COMPUTED_VALUE"""),"nim003")</f>
        <v>nim003</v>
      </c>
      <c r="I290" s="6" t="str">
        <f ca="1">IFERROR(__xludf.DUMMYFUNCTION("""COMPUTED_VALUE"""),"")</f>
        <v/>
      </c>
      <c r="J290" s="6" t="str">
        <f ca="1">IFERROR(__xludf.DUMMYFUNCTION("""COMPUTED_VALUE"""),"카카오톡")</f>
        <v>카카오톡</v>
      </c>
    </row>
    <row r="291" spans="1:10" x14ac:dyDescent="0.2">
      <c r="A291" s="6">
        <f ca="1">IFERROR(__xludf.DUMMYFUNCTION("""COMPUTED_VALUE"""),290)</f>
        <v>290</v>
      </c>
      <c r="B291" s="6">
        <f ca="1">IFERROR(__xludf.DUMMYFUNCTION("""COMPUTED_VALUE"""),46199.7075462963)</f>
        <v>46199.707546296297</v>
      </c>
      <c r="C291" s="6" t="str">
        <f ca="1">IFERROR(__xludf.DUMMYFUNCTION("""COMPUTED_VALUE"""),"121.182.233.157")</f>
        <v>121.182.233.157</v>
      </c>
      <c r="D291" s="6" t="str">
        <f ca="1">IFERROR(__xludf.DUMMYFUNCTION("""COMPUTED_VALUE"""),"네이버예약")</f>
        <v>네이버예약</v>
      </c>
      <c r="E291" s="6" t="str">
        <f ca="1">IFERROR(__xludf.DUMMYFUNCTION("""COMPUTED_VALUE"""),"네이버예약")</f>
        <v>네이버예약</v>
      </c>
      <c r="F291" s="6" t="str">
        <f ca="1">IFERROR(__xludf.DUMMYFUNCTION("""COMPUTED_VALUE"""),"배너")</f>
        <v>배너</v>
      </c>
      <c r="G291" s="7" t="str">
        <f ca="1">IFERROR(__xludf.DUMMYFUNCTION("""COMPUTED_VALUE"""),"http://newstart-law.com/?inType=nim003&amp;NaPm=ci=6qj7pOW8axS2e9V7bTsuBPlg|tr=gfa|ct=mqun290z|hk=d66b3a487b370f06e48c9d8b4f7bc130c1629123|nacn=J4ecDICF6ElEA")</f>
        <v>http://newstart-law.com/?inType=nim003&amp;NaPm=ci=6qj7pOW8axS2e9V7bTsuBPlg|tr=gfa|ct=mqun290z|hk=d66b3a487b370f06e48c9d8b4f7bc130c1629123|nacn=J4ecDICF6ElEA</v>
      </c>
      <c r="H291" s="6" t="str">
        <f ca="1">IFERROR(__xludf.DUMMYFUNCTION("""COMPUTED_VALUE"""),"nim003")</f>
        <v>nim003</v>
      </c>
      <c r="I291" s="6" t="str">
        <f ca="1">IFERROR(__xludf.DUMMYFUNCTION("""COMPUTED_VALUE"""),"")</f>
        <v/>
      </c>
      <c r="J291" s="6" t="str">
        <f ca="1">IFERROR(__xludf.DUMMYFUNCTION("""COMPUTED_VALUE"""),"네이버 예약")</f>
        <v>네이버 예약</v>
      </c>
    </row>
    <row r="292" spans="1:10" x14ac:dyDescent="0.2">
      <c r="A292" s="6">
        <f ca="1">IFERROR(__xludf.DUMMYFUNCTION("""COMPUTED_VALUE"""),291)</f>
        <v>291</v>
      </c>
      <c r="B292" s="6">
        <f ca="1">IFERROR(__xludf.DUMMYFUNCTION("""COMPUTED_VALUE"""),46199.7615625)</f>
        <v>46199.761562500003</v>
      </c>
      <c r="C292" s="6" t="str">
        <f ca="1">IFERROR(__xludf.DUMMYFUNCTION("""COMPUTED_VALUE"""),"223.38.226.252")</f>
        <v>223.38.226.252</v>
      </c>
      <c r="D292" s="6" t="str">
        <f ca="1">IFERROR(__xludf.DUMMYFUNCTION("""COMPUTED_VALUE"""),"카카오")</f>
        <v>카카오</v>
      </c>
      <c r="E292" s="6" t="str">
        <f ca="1">IFERROR(__xludf.DUMMYFUNCTION("""COMPUTED_VALUE"""),"카카오톡")</f>
        <v>카카오톡</v>
      </c>
      <c r="F292" s="6" t="str">
        <f ca="1">IFERROR(__xludf.DUMMYFUNCTION("""COMPUTED_VALUE"""),"배너")</f>
        <v>배너</v>
      </c>
      <c r="G292" s="7" t="str">
        <f ca="1">IFERROR(__xludf.DUMMYFUNCTION("""COMPUTED_VALUE"""),"http://newstart-law.com/?inType=nim003&amp;NaPm=ci=6q7BqdYkPzRLutVMe1RYikkQ|tr=gfa|ct=mqupulrq|hk=0f1f78dbc60300dda5d533c20d44e74cda6cc3d9|nacn=Klj3BAhVfcgYA")</f>
        <v>http://newstart-law.com/?inType=nim003&amp;NaPm=ci=6q7BqdYkPzRLutVMe1RYikkQ|tr=gfa|ct=mqupulrq|hk=0f1f78dbc60300dda5d533c20d44e74cda6cc3d9|nacn=Klj3BAhVfcgYA</v>
      </c>
      <c r="H292" s="6" t="str">
        <f ca="1">IFERROR(__xludf.DUMMYFUNCTION("""COMPUTED_VALUE"""),"nim003")</f>
        <v>nim003</v>
      </c>
      <c r="I292" s="6" t="str">
        <f ca="1">IFERROR(__xludf.DUMMYFUNCTION("""COMPUTED_VALUE"""),"")</f>
        <v/>
      </c>
      <c r="J292" s="6" t="str">
        <f ca="1">IFERROR(__xludf.DUMMYFUNCTION("""COMPUTED_VALUE"""),"카카오톡")</f>
        <v>카카오톡</v>
      </c>
    </row>
    <row r="293" spans="1:10" x14ac:dyDescent="0.2">
      <c r="A293" s="6">
        <f ca="1">IFERROR(__xludf.DUMMYFUNCTION("""COMPUTED_VALUE"""),292)</f>
        <v>292</v>
      </c>
      <c r="B293" s="6">
        <f ca="1">IFERROR(__xludf.DUMMYFUNCTION("""COMPUTED_VALUE"""),46199.7776967592)</f>
        <v>46199.7776967592</v>
      </c>
      <c r="C293" s="6" t="str">
        <f ca="1">IFERROR(__xludf.DUMMYFUNCTION("""COMPUTED_VALUE"""),"106.101.70.214")</f>
        <v>106.101.70.214</v>
      </c>
      <c r="D293" s="6" t="str">
        <f ca="1">IFERROR(__xludf.DUMMYFUNCTION("""COMPUTED_VALUE"""),"전화")</f>
        <v>전화</v>
      </c>
      <c r="E293" s="6" t="str">
        <f ca="1">IFERROR(__xludf.DUMMYFUNCTION("""COMPUTED_VALUE"""),"전화")</f>
        <v>전화</v>
      </c>
      <c r="F293" s="6" t="str">
        <f ca="1">IFERROR(__xludf.DUMMYFUNCTION("""COMPUTED_VALUE"""),"배너")</f>
        <v>배너</v>
      </c>
      <c r="G293" s="7" t="str">
        <f ca="1">IFERROR(__xludf.DUMMYFUNCTION("""COMPUTED_VALUE"""),"https://newstart-law.com/?inType=NIM001&amp;NaPm=ci=6qBo5q6YyiTPaDsKicD4MV7g|tr=gfa|ct=mquqomfr|hk=5a9f223cd6f8bcf6a5cff78d0e7471557e260a2e|nacn=vt6SBYAeZfYtC")</f>
        <v>https://newstart-law.com/?inType=NIM001&amp;NaPm=ci=6qBo5q6YyiTPaDsKicD4MV7g|tr=gfa|ct=mquqomfr|hk=5a9f223cd6f8bcf6a5cff78d0e7471557e260a2e|nacn=vt6SBYAeZfYtC</v>
      </c>
      <c r="H293" s="6" t="str">
        <f ca="1">IFERROR(__xludf.DUMMYFUNCTION("""COMPUTED_VALUE"""),"NIM001")</f>
        <v>NIM001</v>
      </c>
      <c r="I293" s="6" t="str">
        <f ca="1">IFERROR(__xludf.DUMMYFUNCTION("""COMPUTED_VALUE"""),"")</f>
        <v/>
      </c>
      <c r="J293" s="6" t="str">
        <f ca="1">IFERROR(__xludf.DUMMYFUNCTION("""COMPUTED_VALUE"""),"전화 문의")</f>
        <v>전화 문의</v>
      </c>
    </row>
    <row r="294" spans="1:10" x14ac:dyDescent="0.2">
      <c r="A294" s="6">
        <f ca="1">IFERROR(__xludf.DUMMYFUNCTION("""COMPUTED_VALUE"""),293)</f>
        <v>293</v>
      </c>
      <c r="B294" s="6">
        <f ca="1">IFERROR(__xludf.DUMMYFUNCTION("""COMPUTED_VALUE"""),46199.7778587963)</f>
        <v>46199.777858796297</v>
      </c>
      <c r="C294" s="6" t="str">
        <f ca="1">IFERROR(__xludf.DUMMYFUNCTION("""COMPUTED_VALUE"""),"106.101.70.214")</f>
        <v>106.101.70.214</v>
      </c>
      <c r="D294" s="6" t="str">
        <f ca="1">IFERROR(__xludf.DUMMYFUNCTION("""COMPUTED_VALUE"""),"카카오")</f>
        <v>카카오</v>
      </c>
      <c r="E294" s="6" t="str">
        <f ca="1">IFERROR(__xludf.DUMMYFUNCTION("""COMPUTED_VALUE"""),"카카오톡")</f>
        <v>카카오톡</v>
      </c>
      <c r="F294" s="6" t="str">
        <f ca="1">IFERROR(__xludf.DUMMYFUNCTION("""COMPUTED_VALUE"""),"배너")</f>
        <v>배너</v>
      </c>
      <c r="G294" s="7" t="str">
        <f ca="1">IFERROR(__xludf.DUMMYFUNCTION("""COMPUTED_VALUE"""),"https://newstart-law.com/?inType=NIM001&amp;NaPm=ci=6qBo5q6YyiTPaDsKicD4MV7g|tr=gfa|ct=mquqomfr|hk=5a9f223cd6f8bcf6a5cff78d0e7471557e260a2e|nacn=vt6SBYAeZfYtC")</f>
        <v>https://newstart-law.com/?inType=NIM001&amp;NaPm=ci=6qBo5q6YyiTPaDsKicD4MV7g|tr=gfa|ct=mquqomfr|hk=5a9f223cd6f8bcf6a5cff78d0e7471557e260a2e|nacn=vt6SBYAeZfYtC</v>
      </c>
      <c r="H294" s="6" t="str">
        <f ca="1">IFERROR(__xludf.DUMMYFUNCTION("""COMPUTED_VALUE"""),"NIM001")</f>
        <v>NIM001</v>
      </c>
      <c r="I294" s="6" t="str">
        <f ca="1">IFERROR(__xludf.DUMMYFUNCTION("""COMPUTED_VALUE"""),"")</f>
        <v/>
      </c>
      <c r="J294" s="6" t="str">
        <f ca="1">IFERROR(__xludf.DUMMYFUNCTION("""COMPUTED_VALUE"""),"카카오톡")</f>
        <v>카카오톡</v>
      </c>
    </row>
    <row r="295" spans="1:10" x14ac:dyDescent="0.2">
      <c r="A295" s="6">
        <f ca="1">IFERROR(__xludf.DUMMYFUNCTION("""COMPUTED_VALUE"""),294)</f>
        <v>294</v>
      </c>
      <c r="B295" s="6">
        <f ca="1">IFERROR(__xludf.DUMMYFUNCTION("""COMPUTED_VALUE"""),46199.7805092592)</f>
        <v>46199.780509259203</v>
      </c>
      <c r="C295" s="6" t="str">
        <f ca="1">IFERROR(__xludf.DUMMYFUNCTION("""COMPUTED_VALUE"""),"211.235.65.25")</f>
        <v>211.235.65.25</v>
      </c>
      <c r="D295" s="6" t="str">
        <f ca="1">IFERROR(__xludf.DUMMYFUNCTION("""COMPUTED_VALUE"""),"네이버예약")</f>
        <v>네이버예약</v>
      </c>
      <c r="E295" s="6" t="str">
        <f ca="1">IFERROR(__xludf.DUMMYFUNCTION("""COMPUTED_VALUE"""),"네이버예약")</f>
        <v>네이버예약</v>
      </c>
      <c r="F295" s="6" t="str">
        <f ca="1">IFERROR(__xludf.DUMMYFUNCTION("""COMPUTED_VALUE"""),"배너")</f>
        <v>배너</v>
      </c>
      <c r="G295" s="7" t="str">
        <f ca="1">IFERROR(__xludf.DUMMYFUNCTION("""COMPUTED_VALUE"""),"http://newstart-law.com/?inType=NIM001&amp;NaPm=ci=6qCbE149PLQ0W2Bnh7NBpG5Q|tr=gfa|ct=mquqslob|hk=f9bdb51cddf3bf1d4d22223bdd354d43f4b2d431|nacn=RJZZB4gbDAWQ")</f>
        <v>http://newstart-law.com/?inType=NIM001&amp;NaPm=ci=6qCbE149PLQ0W2Bnh7NBpG5Q|tr=gfa|ct=mquqslob|hk=f9bdb51cddf3bf1d4d22223bdd354d43f4b2d431|nacn=RJZZB4gbDAWQ</v>
      </c>
      <c r="H295" s="6" t="str">
        <f ca="1">IFERROR(__xludf.DUMMYFUNCTION("""COMPUTED_VALUE"""),"NIM001")</f>
        <v>NIM001</v>
      </c>
      <c r="I295" s="6" t="str">
        <f ca="1">IFERROR(__xludf.DUMMYFUNCTION("""COMPUTED_VALUE"""),"")</f>
        <v/>
      </c>
      <c r="J295" s="6" t="str">
        <f ca="1">IFERROR(__xludf.DUMMYFUNCTION("""COMPUTED_VALUE"""),"네이버 예약")</f>
        <v>네이버 예약</v>
      </c>
    </row>
    <row r="296" spans="1:10" x14ac:dyDescent="0.2">
      <c r="A296" s="6">
        <f ca="1">IFERROR(__xludf.DUMMYFUNCTION("""COMPUTED_VALUE"""),295)</f>
        <v>295</v>
      </c>
      <c r="B296" s="6">
        <f ca="1">IFERROR(__xludf.DUMMYFUNCTION("""COMPUTED_VALUE"""),46199.7809722222)</f>
        <v>46199.780972222201</v>
      </c>
      <c r="C296" s="6" t="str">
        <f ca="1">IFERROR(__xludf.DUMMYFUNCTION("""COMPUTED_VALUE"""),"211.234.196.26")</f>
        <v>211.234.196.26</v>
      </c>
      <c r="D296" s="6" t="str">
        <f ca="1">IFERROR(__xludf.DUMMYFUNCTION("""COMPUTED_VALUE"""),"카카오")</f>
        <v>카카오</v>
      </c>
      <c r="E296" s="6" t="str">
        <f ca="1">IFERROR(__xludf.DUMMYFUNCTION("""COMPUTED_VALUE"""),"카카오톡")</f>
        <v>카카오톡</v>
      </c>
      <c r="F296" s="6" t="str">
        <f ca="1">IFERROR(__xludf.DUMMYFUNCTION("""COMPUTED_VALUE"""),"배너")</f>
        <v>배너</v>
      </c>
      <c r="G296" s="7" t="str">
        <f ca="1">IFERROR(__xludf.DUMMYFUNCTION("""COMPUTED_VALUE"""),"http://newstart-law.com/?inType=nim003&amp;NaPm=ci=6q8yalwcwsSEil15waiX5HzQ|tr=gfa|ct=mquqtyoq|hk=5d109d01aef223a3d7357b3cc20836380842fa3d|nacn=cupjBswmXQDS")</f>
        <v>http://newstart-law.com/?inType=nim003&amp;NaPm=ci=6q8yalwcwsSEil15waiX5HzQ|tr=gfa|ct=mquqtyoq|hk=5d109d01aef223a3d7357b3cc20836380842fa3d|nacn=cupjBswmXQDS</v>
      </c>
      <c r="H296" s="6" t="str">
        <f ca="1">IFERROR(__xludf.DUMMYFUNCTION("""COMPUTED_VALUE"""),"nim003")</f>
        <v>nim003</v>
      </c>
      <c r="I296" s="6" t="str">
        <f ca="1">IFERROR(__xludf.DUMMYFUNCTION("""COMPUTED_VALUE"""),"")</f>
        <v/>
      </c>
      <c r="J296" s="6" t="str">
        <f ca="1">IFERROR(__xludf.DUMMYFUNCTION("""COMPUTED_VALUE"""),"카카오톡")</f>
        <v>카카오톡</v>
      </c>
    </row>
    <row r="297" spans="1:10" x14ac:dyDescent="0.2">
      <c r="A297" s="6">
        <f ca="1">IFERROR(__xludf.DUMMYFUNCTION("""COMPUTED_VALUE"""),296)</f>
        <v>296</v>
      </c>
      <c r="B297" s="6">
        <f ca="1">IFERROR(__xludf.DUMMYFUNCTION("""COMPUTED_VALUE"""),46199.8438657407)</f>
        <v>46199.843865740702</v>
      </c>
      <c r="C297" s="6" t="str">
        <f ca="1">IFERROR(__xludf.DUMMYFUNCTION("""COMPUTED_VALUE"""),"118.222.9.172")</f>
        <v>118.222.9.172</v>
      </c>
      <c r="D297" s="6" t="str">
        <f ca="1">IFERROR(__xludf.DUMMYFUNCTION("""COMPUTED_VALUE"""),"카카오")</f>
        <v>카카오</v>
      </c>
      <c r="E297" s="6" t="str">
        <f ca="1">IFERROR(__xludf.DUMMYFUNCTION("""COMPUTED_VALUE"""),"카카오톡")</f>
        <v>카카오톡</v>
      </c>
      <c r="F297" s="6" t="str">
        <f ca="1">IFERROR(__xludf.DUMMYFUNCTION("""COMPUTED_VALUE"""),"검색")</f>
        <v>검색</v>
      </c>
      <c r="G297" s="7" t="str">
        <f ca="1">IFERROR(__xludf.DUMMYFUNCTION("""COMPUTED_VALUE"""),"https://www.newstart-law.com/?inType=NK&amp;n_media=8753&amp;n_query=개인회생&amp;n_rank=5&amp;n_ad_group=grp-a001-01-000000063063767&amp;n_ad=nad-a001-01-000000495340403&amp;n_keyword_id=nkw-a001-01-000007934680459&amp;n_keyword=개인회생&amp;n_campaign_type=1&amp;n_ad_group_type=1&amp;n_match=1&amp;NaPm=c"&amp;"t=mquu2bqs|ci=ER1d7f4ba2-7150-11f1-b44e-96706a7dac00|tr=sa|hk=5f9b6e365cc6f9355f45b8ab8370afab4c2d19d1|nacn=MNWfDoBirxxCA")</f>
        <v>https://www.newstart-law.com/?inType=NK&amp;n_media=8753&amp;n_query=개인회생&amp;n_rank=5&amp;n_ad_group=grp-a001-01-000000063063767&amp;n_ad=nad-a001-01-000000495340403&amp;n_keyword_id=nkw-a001-01-000007934680459&amp;n_keyword=개인회생&amp;n_campaign_type=1&amp;n_ad_group_type=1&amp;n_match=1&amp;NaPm=ct=mquu2bqs|ci=ER1d7f4ba2-7150-11f1-b44e-96706a7dac00|tr=sa|hk=5f9b6e365cc6f9355f45b8ab8370afab4c2d19d1|nacn=MNWfDoBirxxCA</v>
      </c>
      <c r="H297" s="6" t="str">
        <f ca="1">IFERROR(__xludf.DUMMYFUNCTION("""COMPUTED_VALUE"""),"NK")</f>
        <v>NK</v>
      </c>
      <c r="I297" s="6" t="str">
        <f ca="1">IFERROR(__xludf.DUMMYFUNCTION("""COMPUTED_VALUE"""),"개인회생")</f>
        <v>개인회생</v>
      </c>
      <c r="J297" s="6" t="str">
        <f ca="1">IFERROR(__xludf.DUMMYFUNCTION("""COMPUTED_VALUE"""),"카카오톡")</f>
        <v>카카오톡</v>
      </c>
    </row>
    <row r="298" spans="1:10" x14ac:dyDescent="0.2">
      <c r="A298" s="6">
        <f ca="1">IFERROR(__xludf.DUMMYFUNCTION("""COMPUTED_VALUE"""),297)</f>
        <v>297</v>
      </c>
      <c r="B298" s="6">
        <f ca="1">IFERROR(__xludf.DUMMYFUNCTION("""COMPUTED_VALUE"""),46199.8587268518)</f>
        <v>46199.858726851802</v>
      </c>
      <c r="C298" s="6" t="str">
        <f ca="1">IFERROR(__xludf.DUMMYFUNCTION("""COMPUTED_VALUE"""),"118.222.9.172")</f>
        <v>118.222.9.172</v>
      </c>
      <c r="D298" s="6" t="str">
        <f ca="1">IFERROR(__xludf.DUMMYFUNCTION("""COMPUTED_VALUE"""),"카카오")</f>
        <v>카카오</v>
      </c>
      <c r="E298" s="6" t="str">
        <f ca="1">IFERROR(__xludf.DUMMYFUNCTION("""COMPUTED_VALUE"""),"카카오톡")</f>
        <v>카카오톡</v>
      </c>
      <c r="F298" s="6" t="str">
        <f ca="1">IFERROR(__xludf.DUMMYFUNCTION("""COMPUTED_VALUE"""),"검색")</f>
        <v>검색</v>
      </c>
      <c r="G298" s="7" t="str">
        <f ca="1">IFERROR(__xludf.DUMMYFUNCTION("""COMPUTED_VALUE"""),"https://www.newstart-law.com/?inType=NK&amp;n_media=8753&amp;n_query=개인회생&amp;n_rank=5&amp;n_ad_group=grp-a001-01-000000063063767&amp;n_ad=nad-a001-01-000000495340403&amp;n_keyword_id=nkw-a001-01-000007934680459&amp;n_keyword=개인회생&amp;n_campaign_type=1&amp;n_ad_group_type=1&amp;n_match=1&amp;NaPm=c"&amp;"t=mquu2bqs|ci=ER1d7f4ba2-7150-11f1-b44e-96706a7dac00|tr=sa|hk=5f9b6e365cc6f9355f45b8ab8370afab4c2d19d1|nacn=MNWfDoBirxxCA")</f>
        <v>https://www.newstart-law.com/?inType=NK&amp;n_media=8753&amp;n_query=개인회생&amp;n_rank=5&amp;n_ad_group=grp-a001-01-000000063063767&amp;n_ad=nad-a001-01-000000495340403&amp;n_keyword_id=nkw-a001-01-000007934680459&amp;n_keyword=개인회생&amp;n_campaign_type=1&amp;n_ad_group_type=1&amp;n_match=1&amp;NaPm=ct=mquu2bqs|ci=ER1d7f4ba2-7150-11f1-b44e-96706a7dac00|tr=sa|hk=5f9b6e365cc6f9355f45b8ab8370afab4c2d19d1|nacn=MNWfDoBirxxCA</v>
      </c>
      <c r="H298" s="6" t="str">
        <f ca="1">IFERROR(__xludf.DUMMYFUNCTION("""COMPUTED_VALUE"""),"NK")</f>
        <v>NK</v>
      </c>
      <c r="I298" s="6" t="str">
        <f ca="1">IFERROR(__xludf.DUMMYFUNCTION("""COMPUTED_VALUE"""),"개인회생")</f>
        <v>개인회생</v>
      </c>
      <c r="J298" s="6" t="str">
        <f ca="1">IFERROR(__xludf.DUMMYFUNCTION("""COMPUTED_VALUE"""),"카카오톡")</f>
        <v>카카오톡</v>
      </c>
    </row>
    <row r="299" spans="1:10" x14ac:dyDescent="0.2">
      <c r="A299" s="6">
        <f ca="1">IFERROR(__xludf.DUMMYFUNCTION("""COMPUTED_VALUE"""),298)</f>
        <v>298</v>
      </c>
      <c r="B299" s="6">
        <f ca="1">IFERROR(__xludf.DUMMYFUNCTION("""COMPUTED_VALUE"""),46199.9168287037)</f>
        <v>46199.916828703703</v>
      </c>
      <c r="C299" s="6" t="str">
        <f ca="1">IFERROR(__xludf.DUMMYFUNCTION("""COMPUTED_VALUE"""),"안근영")</f>
        <v>안근영</v>
      </c>
      <c r="D299" s="6">
        <f ca="1">IFERROR(__xludf.DUMMYFUNCTION("""COMPUTED_VALUE"""),1052947519)</f>
        <v>1052947519</v>
      </c>
      <c r="E299" s="6" t="str">
        <f ca="1">IFERROR(__xludf.DUMMYFUNCTION("""COMPUTED_VALUE"""),"상담신청")</f>
        <v>상담신청</v>
      </c>
      <c r="F299" s="6" t="str">
        <f ca="1">IFERROR(__xludf.DUMMYFUNCTION("""COMPUTED_VALUE"""),"검색")</f>
        <v>검색</v>
      </c>
      <c r="G299" s="7" t="str">
        <f ca="1">IFERROR(__xludf.DUMMYFUNCTION("""COMPUTED_VALUE"""),"https://newstart-law.com/?n_media=27758&amp;n_query=개인회생신청자격&amp;n_rank=1&amp;n_ad_group=grp-a001-01-000000063065651&amp;n_ad=nad-a001-01-000000485213838&amp;n_keyword_id=nkw-a001-01-000007951807343&amp;n_keyword=개인회생신청자격&amp;n_campaign_type=1&amp;n_ad_group_type=1&amp;n_match=1&amp;NaPm=ct=mqu"&amp;"xrn3o|ci=ER98e3179f-715e-11f1-9df4-bea0638631d0|tr=sa|hk=70cac957e2db5fffe45376b98616e7dd04de03")</f>
        <v>https://newstart-law.com/?n_media=27758&amp;n_query=개인회생신청자격&amp;n_rank=1&amp;n_ad_group=grp-a001-01-000000063065651&amp;n_ad=nad-a001-01-000000485213838&amp;n_keyword_id=nkw-a001-01-000007951807343&amp;n_keyword=개인회생신청자격&amp;n_campaign_type=1&amp;n_ad_group_type=1&amp;n_match=1&amp;NaPm=ct=mquxrn3o|ci=ER98e3179f-715e-11f1-9df4-bea0638631d0|tr=sa|hk=70cac957e2db5fffe45376b98616e7dd04de03</v>
      </c>
      <c r="H299" s="6" t="str">
        <f ca="1">IFERROR(__xludf.DUMMYFUNCTION("""COMPUTED_VALUE"""),"")</f>
        <v/>
      </c>
      <c r="I299" s="6" t="str">
        <f ca="1">IFERROR(__xludf.DUMMYFUNCTION("""COMPUTED_VALUE"""),"개인회생신청자격")</f>
        <v>개인회생신청자격</v>
      </c>
      <c r="J299" s="6" t="str">
        <f ca="1">IFERROR(__xludf.DUMMYFUNCTION("""COMPUTED_VALUE"""),"AI 진단")</f>
        <v>AI 진단</v>
      </c>
    </row>
    <row r="300" spans="1:10" x14ac:dyDescent="0.2">
      <c r="A300" s="6">
        <f ca="1">IFERROR(__xludf.DUMMYFUNCTION("""COMPUTED_VALUE"""),299)</f>
        <v>299</v>
      </c>
      <c r="B300" s="6">
        <f ca="1">IFERROR(__xludf.DUMMYFUNCTION("""COMPUTED_VALUE"""),46202.3962152777)</f>
        <v>46202.396215277702</v>
      </c>
      <c r="C300" s="6" t="str">
        <f ca="1">IFERROR(__xludf.DUMMYFUNCTION("""COMPUTED_VALUE"""),"211.177.139.37")</f>
        <v>211.177.139.37</v>
      </c>
      <c r="D300" s="6" t="str">
        <f ca="1">IFERROR(__xludf.DUMMYFUNCTION("""COMPUTED_VALUE"""),"카카오")</f>
        <v>카카오</v>
      </c>
      <c r="E300" s="6" t="str">
        <f ca="1">IFERROR(__xludf.DUMMYFUNCTION("""COMPUTED_VALUE"""),"카카오톡")</f>
        <v>카카오톡</v>
      </c>
      <c r="F300" s="6" t="str">
        <f ca="1">IFERROR(__xludf.DUMMYFUNCTION("""COMPUTED_VALUE"""),"배너")</f>
        <v>배너</v>
      </c>
      <c r="G300" s="7" t="str">
        <f ca="1">IFERROR(__xludf.DUMMYFUNCTION("""COMPUTED_VALUE"""),"https://newstart-law.com/?inType=NIM001&amp;NaPm=ci=6tgO04dXNyRKqeV3YAGH-lvQ|tr=gfa|ct=mqyhdnw5|hk=1e366d0e74276b34a34743e8305428bbba8cb05d|nacn=Q8PeDAiUl67PB")</f>
        <v>https://newstart-law.com/?inType=NIM001&amp;NaPm=ci=6tgO04dXNyRKqeV3YAGH-lvQ|tr=gfa|ct=mqyhdnw5|hk=1e366d0e74276b34a34743e8305428bbba8cb05d|nacn=Q8PeDAiUl67PB</v>
      </c>
      <c r="H300" s="6" t="str">
        <f ca="1">IFERROR(__xludf.DUMMYFUNCTION("""COMPUTED_VALUE"""),"NIM001")</f>
        <v>NIM001</v>
      </c>
      <c r="I300" s="6" t="str">
        <f ca="1">IFERROR(__xludf.DUMMYFUNCTION("""COMPUTED_VALUE"""),"")</f>
        <v/>
      </c>
      <c r="J300" s="6" t="str">
        <f ca="1">IFERROR(__xludf.DUMMYFUNCTION("""COMPUTED_VALUE"""),"카카오톡")</f>
        <v>카카오톡</v>
      </c>
    </row>
    <row r="301" spans="1:10" x14ac:dyDescent="0.2">
      <c r="A301" s="6">
        <f ca="1">IFERROR(__xludf.DUMMYFUNCTION("""COMPUTED_VALUE"""),300)</f>
        <v>300</v>
      </c>
      <c r="B301" s="6">
        <f ca="1">IFERROR(__xludf.DUMMYFUNCTION("""COMPUTED_VALUE"""),46202.4510069444)</f>
        <v>46202.4510069444</v>
      </c>
      <c r="C301" s="6" t="str">
        <f ca="1">IFERROR(__xludf.DUMMYFUNCTION("""COMPUTED_VALUE"""),"211.235.83.220")</f>
        <v>211.235.83.220</v>
      </c>
      <c r="D301" s="6" t="str">
        <f ca="1">IFERROR(__xludf.DUMMYFUNCTION("""COMPUTED_VALUE"""),"네이버예약")</f>
        <v>네이버예약</v>
      </c>
      <c r="E301" s="6" t="str">
        <f ca="1">IFERROR(__xludf.DUMMYFUNCTION("""COMPUTED_VALUE"""),"네이버예약")</f>
        <v>네이버예약</v>
      </c>
      <c r="F301" s="6" t="str">
        <f ca="1">IFERROR(__xludf.DUMMYFUNCTION("""COMPUTED_VALUE"""),"배너")</f>
        <v>배너</v>
      </c>
      <c r="G301" s="7" t="str">
        <f ca="1">IFERROR(__xludf.DUMMYFUNCTION("""COMPUTED_VALUE"""),"http://newstart-law.com/?inType=nim003&amp;NaPm=ci=6tMV0OAuMWRNaa_ZFSt7yWYw|tr=gfa|ct=mqyjfzy8|hk=2d5c1890f6e732c57a4cb1c31e75cbfe475c8047|nacn=66tSBEhp9CtU")</f>
        <v>http://newstart-law.com/?inType=nim003&amp;NaPm=ci=6tMV0OAuMWRNaa_ZFSt7yWYw|tr=gfa|ct=mqyjfzy8|hk=2d5c1890f6e732c57a4cb1c31e75cbfe475c8047|nacn=66tSBEhp9CtU</v>
      </c>
      <c r="H301" s="6" t="str">
        <f ca="1">IFERROR(__xludf.DUMMYFUNCTION("""COMPUTED_VALUE"""),"nim003")</f>
        <v>nim003</v>
      </c>
      <c r="I301" s="6" t="str">
        <f ca="1">IFERROR(__xludf.DUMMYFUNCTION("""COMPUTED_VALUE"""),"")</f>
        <v/>
      </c>
      <c r="J301" s="6" t="str">
        <f ca="1">IFERROR(__xludf.DUMMYFUNCTION("""COMPUTED_VALUE"""),"네이버 예약")</f>
        <v>네이버 예약</v>
      </c>
    </row>
    <row r="302" spans="1:10" x14ac:dyDescent="0.2">
      <c r="A302" s="6">
        <f ca="1">IFERROR(__xludf.DUMMYFUNCTION("""COMPUTED_VALUE"""),301)</f>
        <v>301</v>
      </c>
      <c r="B302" s="6">
        <f ca="1">IFERROR(__xludf.DUMMYFUNCTION("""COMPUTED_VALUE"""),46202.4592361111)</f>
        <v>46202.459236111099</v>
      </c>
      <c r="C302" s="6" t="str">
        <f ca="1">IFERROR(__xludf.DUMMYFUNCTION("""COMPUTED_VALUE"""),"211.235.80.27")</f>
        <v>211.235.80.27</v>
      </c>
      <c r="D302" s="6" t="str">
        <f ca="1">IFERROR(__xludf.DUMMYFUNCTION("""COMPUTED_VALUE"""),"카카오")</f>
        <v>카카오</v>
      </c>
      <c r="E302" s="6" t="str">
        <f ca="1">IFERROR(__xludf.DUMMYFUNCTION("""COMPUTED_VALUE"""),"카카오톡")</f>
        <v>카카오톡</v>
      </c>
      <c r="F302" s="6" t="str">
        <f ca="1">IFERROR(__xludf.DUMMYFUNCTION("""COMPUTED_VALUE"""),"배너")</f>
        <v>배너</v>
      </c>
      <c r="G302" s="7" t="str">
        <f ca="1">IFERROR(__xludf.DUMMYFUNCTION("""COMPUTED_VALUE"""),"http://newstart-law.com/?inType=nim003&amp;NaPm=ci=6tQeD7sTS2R0GEzoPQaDK_xA|tr=gfa|ct=mqykma1u|hk=3f6138804dcee20262ad0a48931c61429bf48279|nacn=jeHFCgBRSMpeA")</f>
        <v>http://newstart-law.com/?inType=nim003&amp;NaPm=ci=6tQeD7sTS2R0GEzoPQaDK_xA|tr=gfa|ct=mqykma1u|hk=3f6138804dcee20262ad0a48931c61429bf48279|nacn=jeHFCgBRSMpeA</v>
      </c>
      <c r="H302" s="6" t="str">
        <f ca="1">IFERROR(__xludf.DUMMYFUNCTION("""COMPUTED_VALUE"""),"nim003")</f>
        <v>nim003</v>
      </c>
      <c r="I302" s="6" t="str">
        <f ca="1">IFERROR(__xludf.DUMMYFUNCTION("""COMPUTED_VALUE"""),"")</f>
        <v/>
      </c>
      <c r="J302" s="6" t="str">
        <f ca="1">IFERROR(__xludf.DUMMYFUNCTION("""COMPUTED_VALUE"""),"카카오톡")</f>
        <v>카카오톡</v>
      </c>
    </row>
    <row r="303" spans="1:10" x14ac:dyDescent="0.2">
      <c r="A303" s="6">
        <f ca="1">IFERROR(__xludf.DUMMYFUNCTION("""COMPUTED_VALUE"""),302)</f>
        <v>302</v>
      </c>
      <c r="B303" s="6">
        <f ca="1">IFERROR(__xludf.DUMMYFUNCTION("""COMPUTED_VALUE"""),46202.4757291666)</f>
        <v>46202.475729166603</v>
      </c>
      <c r="C303" s="6" t="str">
        <f ca="1">IFERROR(__xludf.DUMMYFUNCTION("""COMPUTED_VALUE"""),"106.101.83.203")</f>
        <v>106.101.83.203</v>
      </c>
      <c r="D303" s="6" t="str">
        <f ca="1">IFERROR(__xludf.DUMMYFUNCTION("""COMPUTED_VALUE"""),"카카오")</f>
        <v>카카오</v>
      </c>
      <c r="E303" s="6" t="str">
        <f ca="1">IFERROR(__xludf.DUMMYFUNCTION("""COMPUTED_VALUE"""),"카카오톡")</f>
        <v>카카오톡</v>
      </c>
      <c r="F303" s="6" t="str">
        <f ca="1">IFERROR(__xludf.DUMMYFUNCTION("""COMPUTED_VALUE"""),"배너")</f>
        <v>배너</v>
      </c>
      <c r="G303" s="7" t="str">
        <f ca="1">IFERROR(__xludf.DUMMYFUNCTION("""COMPUTED_VALUE"""),"http://newstart-law.com/?inType=nim_sq02&amp;NaPm=ci=6tI2k3uRMfSh6OHUhFGnHL_A|tr=gfa|ct=mqylhbos|hk=ded5dfbdc2a0dabd94a3fa7b8c0d7a68126283d9|nacn=0qmzB0QcuufnB")</f>
        <v>http://newstart-law.com/?inType=nim_sq02&amp;NaPm=ci=6tI2k3uRMfSh6OHUhFGnHL_A|tr=gfa|ct=mqylhbos|hk=ded5dfbdc2a0dabd94a3fa7b8c0d7a68126283d9|nacn=0qmzB0QcuufnB</v>
      </c>
      <c r="H303" s="6" t="str">
        <f ca="1">IFERROR(__xludf.DUMMYFUNCTION("""COMPUTED_VALUE"""),"nim_sq02")</f>
        <v>nim_sq02</v>
      </c>
      <c r="I303" s="6" t="str">
        <f ca="1">IFERROR(__xludf.DUMMYFUNCTION("""COMPUTED_VALUE"""),"")</f>
        <v/>
      </c>
      <c r="J303" s="6" t="str">
        <f ca="1">IFERROR(__xludf.DUMMYFUNCTION("""COMPUTED_VALUE"""),"카카오톡")</f>
        <v>카카오톡</v>
      </c>
    </row>
    <row r="304" spans="1:10" x14ac:dyDescent="0.2">
      <c r="A304" s="6">
        <f ca="1">IFERROR(__xludf.DUMMYFUNCTION("""COMPUTED_VALUE"""),303)</f>
        <v>303</v>
      </c>
      <c r="B304" s="6">
        <f ca="1">IFERROR(__xludf.DUMMYFUNCTION("""COMPUTED_VALUE"""),46202.4950578703)</f>
        <v>46202.495057870299</v>
      </c>
      <c r="C304" s="6" t="str">
        <f ca="1">IFERROR(__xludf.DUMMYFUNCTION("""COMPUTED_VALUE"""),"106.101.83.203")</f>
        <v>106.101.83.203</v>
      </c>
      <c r="D304" s="6" t="str">
        <f ca="1">IFERROR(__xludf.DUMMYFUNCTION("""COMPUTED_VALUE"""),"카카오")</f>
        <v>카카오</v>
      </c>
      <c r="E304" s="6" t="str">
        <f ca="1">IFERROR(__xludf.DUMMYFUNCTION("""COMPUTED_VALUE"""),"카카오톡")</f>
        <v>카카오톡</v>
      </c>
      <c r="F304" s="6" t="str">
        <f ca="1">IFERROR(__xludf.DUMMYFUNCTION("""COMPUTED_VALUE"""),"배너")</f>
        <v>배너</v>
      </c>
      <c r="G304" s="7" t="str">
        <f ca="1">IFERROR(__xludf.DUMMYFUNCTION("""COMPUTED_VALUE"""),"http://newstart-law.com/?inType=nim_sq02&amp;NaPm=ci=6tI2k3uRMfSh6OHUhFGnHL_A|tr=gfa|ct=mqylhbos|hk=ded5dfbdc2a0dabd94a3fa7b8c0d7a68126283d9|nacn=0qmzB0QcuufnB")</f>
        <v>http://newstart-law.com/?inType=nim_sq02&amp;NaPm=ci=6tI2k3uRMfSh6OHUhFGnHL_A|tr=gfa|ct=mqylhbos|hk=ded5dfbdc2a0dabd94a3fa7b8c0d7a68126283d9|nacn=0qmzB0QcuufnB</v>
      </c>
      <c r="H304" s="6" t="str">
        <f ca="1">IFERROR(__xludf.DUMMYFUNCTION("""COMPUTED_VALUE"""),"nim_sq02")</f>
        <v>nim_sq02</v>
      </c>
      <c r="I304" s="6" t="str">
        <f ca="1">IFERROR(__xludf.DUMMYFUNCTION("""COMPUTED_VALUE"""),"")</f>
        <v/>
      </c>
      <c r="J304" s="6" t="str">
        <f ca="1">IFERROR(__xludf.DUMMYFUNCTION("""COMPUTED_VALUE"""),"카카오톡")</f>
        <v>카카오톡</v>
      </c>
    </row>
    <row r="305" spans="1:10" x14ac:dyDescent="0.2">
      <c r="A305" s="6">
        <f ca="1">IFERROR(__xludf.DUMMYFUNCTION("""COMPUTED_VALUE"""),304)</f>
        <v>304</v>
      </c>
      <c r="B305" s="6">
        <f ca="1">IFERROR(__xludf.DUMMYFUNCTION("""COMPUTED_VALUE"""),46202.5288773148)</f>
        <v>46202.528877314799</v>
      </c>
      <c r="C305" s="6" t="str">
        <f ca="1">IFERROR(__xludf.DUMMYFUNCTION("""COMPUTED_VALUE"""),"고영성")</f>
        <v>고영성</v>
      </c>
      <c r="D305" s="6">
        <f ca="1">IFERROR(__xludf.DUMMYFUNCTION("""COMPUTED_VALUE"""),1080713322)</f>
        <v>1080713322</v>
      </c>
      <c r="E305" s="6" t="str">
        <f ca="1">IFERROR(__xludf.DUMMYFUNCTION("""COMPUTED_VALUE"""),"상담신청")</f>
        <v>상담신청</v>
      </c>
      <c r="F305" s="6" t="str">
        <f ca="1">IFERROR(__xludf.DUMMYFUNCTION("""COMPUTED_VALUE"""),"배너")</f>
        <v>배너</v>
      </c>
      <c r="G305" s="7" t="str">
        <f ca="1">IFERROR(__xludf.DUMMYFUNCTION("""COMPUTED_VALUE"""),"http://newstart-law.com/?inType=nim003&amp;NaPm=ci=6t40Jltb13RceS8Sl0fyPHXw|tr=gfa|ct=mqyo6z1o|hk=96a2d23903f2e464719dc02276624a8eda00f9db|nacn=qvfWDohVYaShB")</f>
        <v>http://newstart-law.com/?inType=nim003&amp;NaPm=ci=6t40Jltb13RceS8Sl0fyPHXw|tr=gfa|ct=mqyo6z1o|hk=96a2d23903f2e464719dc02276624a8eda00f9db|nacn=qvfWDohVYaShB</v>
      </c>
      <c r="H305" s="6" t="str">
        <f ca="1">IFERROR(__xludf.DUMMYFUNCTION("""COMPUTED_VALUE"""),"nim003")</f>
        <v>nim003</v>
      </c>
      <c r="I305" s="6" t="str">
        <f ca="1">IFERROR(__xludf.DUMMYFUNCTION("""COMPUTED_VALUE"""),"")</f>
        <v/>
      </c>
      <c r="J305" s="6" t="str">
        <f ca="1">IFERROR(__xludf.DUMMYFUNCTION("""COMPUTED_VALUE"""),"모바일 하단 상담폼")</f>
        <v>모바일 하단 상담폼</v>
      </c>
    </row>
    <row r="306" spans="1:10" x14ac:dyDescent="0.2">
      <c r="A306" s="6">
        <f ca="1">IFERROR(__xludf.DUMMYFUNCTION("""COMPUTED_VALUE"""),305)</f>
        <v>305</v>
      </c>
      <c r="B306" s="6">
        <f ca="1">IFERROR(__xludf.DUMMYFUNCTION("""COMPUTED_VALUE"""),46202.5883912037)</f>
        <v>46202.588391203702</v>
      </c>
      <c r="C306" s="6" t="str">
        <f ca="1">IFERROR(__xludf.DUMMYFUNCTION("""COMPUTED_VALUE"""),"211.234.192.169")</f>
        <v>211.234.192.169</v>
      </c>
      <c r="D306" s="6" t="str">
        <f ca="1">IFERROR(__xludf.DUMMYFUNCTION("""COMPUTED_VALUE"""),"네이버예약")</f>
        <v>네이버예약</v>
      </c>
      <c r="E306" s="6" t="str">
        <f ca="1">IFERROR(__xludf.DUMMYFUNCTION("""COMPUTED_VALUE"""),"네이버예약")</f>
        <v>네이버예약</v>
      </c>
      <c r="F306" s="6" t="str">
        <f ca="1">IFERROR(__xludf.DUMMYFUNCTION("""COMPUTED_VALUE"""),"배너")</f>
        <v>배너</v>
      </c>
      <c r="G306" s="7" t="str">
        <f ca="1">IFERROR(__xludf.DUMMYFUNCTION("""COMPUTED_VALUE"""),"http://newstart-law.com/?inType=nim003&amp;NaPm=ci=6t5-BNsCasRWyOsu1fphFO1Q|tr=gfa|ct=mqyr6bhl|hk=2c01ec0ac40ca2c003a70fa3ab264fd43dce9769|nacn=9xYcB4wgJP7O")</f>
        <v>http://newstart-law.com/?inType=nim003&amp;NaPm=ci=6t5-BNsCasRWyOsu1fphFO1Q|tr=gfa|ct=mqyr6bhl|hk=2c01ec0ac40ca2c003a70fa3ab264fd43dce9769|nacn=9xYcB4wgJP7O</v>
      </c>
      <c r="H306" s="6" t="str">
        <f ca="1">IFERROR(__xludf.DUMMYFUNCTION("""COMPUTED_VALUE"""),"nim003")</f>
        <v>nim003</v>
      </c>
      <c r="I306" s="6" t="str">
        <f ca="1">IFERROR(__xludf.DUMMYFUNCTION("""COMPUTED_VALUE"""),"")</f>
        <v/>
      </c>
      <c r="J306" s="6" t="str">
        <f ca="1">IFERROR(__xludf.DUMMYFUNCTION("""COMPUTED_VALUE"""),"네이버 예약")</f>
        <v>네이버 예약</v>
      </c>
    </row>
    <row r="307" spans="1:10" x14ac:dyDescent="0.2">
      <c r="A307" s="6">
        <f ca="1">IFERROR(__xludf.DUMMYFUNCTION("""COMPUTED_VALUE"""),306)</f>
        <v>306</v>
      </c>
      <c r="B307" s="6">
        <f ca="1">IFERROR(__xludf.DUMMYFUNCTION("""COMPUTED_VALUE"""),46202.6008680555)</f>
        <v>46202.600868055502</v>
      </c>
      <c r="C307" s="6" t="str">
        <f ca="1">IFERROR(__xludf.DUMMYFUNCTION("""COMPUTED_VALUE"""),"115.40.15.181")</f>
        <v>115.40.15.181</v>
      </c>
      <c r="D307" s="6" t="str">
        <f ca="1">IFERROR(__xludf.DUMMYFUNCTION("""COMPUTED_VALUE"""),"전화")</f>
        <v>전화</v>
      </c>
      <c r="E307" s="6" t="str">
        <f ca="1">IFERROR(__xludf.DUMMYFUNCTION("""COMPUTED_VALUE"""),"전화")</f>
        <v>전화</v>
      </c>
      <c r="F307" s="6" t="str">
        <f ca="1">IFERROR(__xludf.DUMMYFUNCTION("""COMPUTED_VALUE"""),"배너")</f>
        <v>배너</v>
      </c>
      <c r="G307" s="7" t="str">
        <f ca="1">IFERROR(__xludf.DUMMYFUNCTION("""COMPUTED_VALUE"""),"http://newstart-law.com/?inType=nim003&amp;NaPm=ci=6tE2sAQUvvQUqVM-8JDz1N6g|tr=gfa|ct=mqyrvx5o|hk=4f685c2c8e98c608c37e792ad07f86e9c0f66971|nacn=HyX6BsArepLeC")</f>
        <v>http://newstart-law.com/?inType=nim003&amp;NaPm=ci=6tE2sAQUvvQUqVM-8JDz1N6g|tr=gfa|ct=mqyrvx5o|hk=4f685c2c8e98c608c37e792ad07f86e9c0f66971|nacn=HyX6BsArepLeC</v>
      </c>
      <c r="H307" s="6" t="str">
        <f ca="1">IFERROR(__xludf.DUMMYFUNCTION("""COMPUTED_VALUE"""),"nim003")</f>
        <v>nim003</v>
      </c>
      <c r="I307" s="6" t="str">
        <f ca="1">IFERROR(__xludf.DUMMYFUNCTION("""COMPUTED_VALUE"""),"")</f>
        <v/>
      </c>
      <c r="J307" s="6" t="str">
        <f ca="1">IFERROR(__xludf.DUMMYFUNCTION("""COMPUTED_VALUE"""),"전화 문의")</f>
        <v>전화 문의</v>
      </c>
    </row>
    <row r="308" spans="1:10" x14ac:dyDescent="0.2">
      <c r="A308" s="6">
        <f ca="1">IFERROR(__xludf.DUMMYFUNCTION("""COMPUTED_VALUE"""),307)</f>
        <v>307</v>
      </c>
      <c r="B308" s="6">
        <f ca="1">IFERROR(__xludf.DUMMYFUNCTION("""COMPUTED_VALUE"""),46202.60125)</f>
        <v>46202.60125</v>
      </c>
      <c r="C308" s="6" t="str">
        <f ca="1">IFERROR(__xludf.DUMMYFUNCTION("""COMPUTED_VALUE"""),"115.40.15.181")</f>
        <v>115.40.15.181</v>
      </c>
      <c r="D308" s="6" t="str">
        <f ca="1">IFERROR(__xludf.DUMMYFUNCTION("""COMPUTED_VALUE"""),"전화")</f>
        <v>전화</v>
      </c>
      <c r="E308" s="6" t="str">
        <f ca="1">IFERROR(__xludf.DUMMYFUNCTION("""COMPUTED_VALUE"""),"전화")</f>
        <v>전화</v>
      </c>
      <c r="F308" s="6" t="str">
        <f ca="1">IFERROR(__xludf.DUMMYFUNCTION("""COMPUTED_VALUE"""),"배너")</f>
        <v>배너</v>
      </c>
      <c r="G308" s="7" t="str">
        <f ca="1">IFERROR(__xludf.DUMMYFUNCTION("""COMPUTED_VALUE"""),"http://newstart-law.com/?inType=nim003&amp;NaPm=ci=6tE2sAQUvvQUqVM-8JDz1N6g|tr=gfa|ct=mqyrvx5o|hk=4f685c2c8e98c608c37e792ad07f86e9c0f66971|nacn=HyX6BsArepLeC")</f>
        <v>http://newstart-law.com/?inType=nim003&amp;NaPm=ci=6tE2sAQUvvQUqVM-8JDz1N6g|tr=gfa|ct=mqyrvx5o|hk=4f685c2c8e98c608c37e792ad07f86e9c0f66971|nacn=HyX6BsArepLeC</v>
      </c>
      <c r="H308" s="6" t="str">
        <f ca="1">IFERROR(__xludf.DUMMYFUNCTION("""COMPUTED_VALUE"""),"nim003")</f>
        <v>nim003</v>
      </c>
      <c r="I308" s="6" t="str">
        <f ca="1">IFERROR(__xludf.DUMMYFUNCTION("""COMPUTED_VALUE"""),"")</f>
        <v/>
      </c>
      <c r="J308" s="6" t="str">
        <f ca="1">IFERROR(__xludf.DUMMYFUNCTION("""COMPUTED_VALUE"""),"전화 문의")</f>
        <v>전화 문의</v>
      </c>
    </row>
    <row r="309" spans="1:10" x14ac:dyDescent="0.2">
      <c r="A309" s="6">
        <f ca="1">IFERROR(__xludf.DUMMYFUNCTION("""COMPUTED_VALUE"""),308)</f>
        <v>308</v>
      </c>
      <c r="B309" s="6">
        <f ca="1">IFERROR(__xludf.DUMMYFUNCTION("""COMPUTED_VALUE"""),46202.6207523148)</f>
        <v>46202.620752314797</v>
      </c>
      <c r="C309" s="6" t="str">
        <f ca="1">IFERROR(__xludf.DUMMYFUNCTION("""COMPUTED_VALUE"""),"211.234.180.194")</f>
        <v>211.234.180.194</v>
      </c>
      <c r="D309" s="6" t="str">
        <f ca="1">IFERROR(__xludf.DUMMYFUNCTION("""COMPUTED_VALUE"""),"네이버톡톡")</f>
        <v>네이버톡톡</v>
      </c>
      <c r="E309" s="6" t="str">
        <f ca="1">IFERROR(__xludf.DUMMYFUNCTION("""COMPUTED_VALUE"""),"네이버톡톡")</f>
        <v>네이버톡톡</v>
      </c>
      <c r="F309" s="6" t="str">
        <f ca="1">IFERROR(__xludf.DUMMYFUNCTION("""COMPUTED_VALUE"""),"배너")</f>
        <v>배너</v>
      </c>
      <c r="G309" s="7" t="str">
        <f ca="1">IFERROR(__xludf.DUMMYFUNCTION("""COMPUTED_VALUE"""),"http://newstart-law.com/?inType=nim003&amp;NaPm=ci=6tsWD5FXq8SQO_1VZyPFFTTQ|tr=gfa|ct=mqysunhg|hk=ec0463cf283e65fad287d4aa20e16d515e682607|nacn=UvmcBsgfDG5uA")</f>
        <v>http://newstart-law.com/?inType=nim003&amp;NaPm=ci=6tsWD5FXq8SQO_1VZyPFFTTQ|tr=gfa|ct=mqysunhg|hk=ec0463cf283e65fad287d4aa20e16d515e682607|nacn=UvmcBsgfDG5uA</v>
      </c>
      <c r="H309" s="6" t="str">
        <f ca="1">IFERROR(__xludf.DUMMYFUNCTION("""COMPUTED_VALUE"""),"nim003")</f>
        <v>nim003</v>
      </c>
      <c r="I309" s="6" t="str">
        <f ca="1">IFERROR(__xludf.DUMMYFUNCTION("""COMPUTED_VALUE"""),"")</f>
        <v/>
      </c>
      <c r="J309" s="6" t="str">
        <f ca="1">IFERROR(__xludf.DUMMYFUNCTION("""COMPUTED_VALUE"""),"네이버 톡톡")</f>
        <v>네이버 톡톡</v>
      </c>
    </row>
    <row r="310" spans="1:10" x14ac:dyDescent="0.2">
      <c r="A310" s="6">
        <f ca="1">IFERROR(__xludf.DUMMYFUNCTION("""COMPUTED_VALUE"""),309)</f>
        <v>309</v>
      </c>
      <c r="B310" s="6">
        <f ca="1">IFERROR(__xludf.DUMMYFUNCTION("""COMPUTED_VALUE"""),46202.665162037)</f>
        <v>46202.665162037003</v>
      </c>
      <c r="C310" s="6" t="str">
        <f ca="1">IFERROR(__xludf.DUMMYFUNCTION("""COMPUTED_VALUE"""),"211.234.203.96")</f>
        <v>211.234.203.96</v>
      </c>
      <c r="D310" s="6" t="str">
        <f ca="1">IFERROR(__xludf.DUMMYFUNCTION("""COMPUTED_VALUE"""),"네이버톡톡")</f>
        <v>네이버톡톡</v>
      </c>
      <c r="E310" s="6" t="str">
        <f ca="1">IFERROR(__xludf.DUMMYFUNCTION("""COMPUTED_VALUE"""),"네이버톡톡")</f>
        <v>네이버톡톡</v>
      </c>
      <c r="F310" s="6" t="str">
        <f ca="1">IFERROR(__xludf.DUMMYFUNCTION("""COMPUTED_VALUE"""),"배너")</f>
        <v>배너</v>
      </c>
      <c r="G310" s="7" t="str">
        <f ca="1">IFERROR(__xludf.DUMMYFUNCTION("""COMPUTED_VALUE"""),"http://newstart-law.com/?inType=nim003&amp;NaPm=ci=6trwUAT5aXToCSE0IDbHMfLw|tr=gfa|ct=mqyuqnz5|hk=2b118cf3d6381290b01e9452846dff55d7ded21d|nacn=zlktBogTZoedB")</f>
        <v>http://newstart-law.com/?inType=nim003&amp;NaPm=ci=6trwUAT5aXToCSE0IDbHMfLw|tr=gfa|ct=mqyuqnz5|hk=2b118cf3d6381290b01e9452846dff55d7ded21d|nacn=zlktBogTZoedB</v>
      </c>
      <c r="H310" s="6" t="str">
        <f ca="1">IFERROR(__xludf.DUMMYFUNCTION("""COMPUTED_VALUE"""),"nim003")</f>
        <v>nim003</v>
      </c>
      <c r="I310" s="6" t="str">
        <f ca="1">IFERROR(__xludf.DUMMYFUNCTION("""COMPUTED_VALUE"""),"")</f>
        <v/>
      </c>
      <c r="J310" s="6" t="str">
        <f ca="1">IFERROR(__xludf.DUMMYFUNCTION("""COMPUTED_VALUE"""),"네이버 톡톡")</f>
        <v>네이버 톡톡</v>
      </c>
    </row>
    <row r="311" spans="1:10" x14ac:dyDescent="0.2">
      <c r="A311" s="6">
        <f ca="1">IFERROR(__xludf.DUMMYFUNCTION("""COMPUTED_VALUE"""),310)</f>
        <v>310</v>
      </c>
      <c r="B311" s="6">
        <f ca="1">IFERROR(__xludf.DUMMYFUNCTION("""COMPUTED_VALUE"""),46202.6700925925)</f>
        <v>46202.670092592503</v>
      </c>
      <c r="C311" s="6" t="str">
        <f ca="1">IFERROR(__xludf.DUMMYFUNCTION("""COMPUTED_VALUE"""),"223.39.83.188")</f>
        <v>223.39.83.188</v>
      </c>
      <c r="D311" s="6" t="str">
        <f ca="1">IFERROR(__xludf.DUMMYFUNCTION("""COMPUTED_VALUE"""),"네이버톡톡")</f>
        <v>네이버톡톡</v>
      </c>
      <c r="E311" s="6" t="str">
        <f ca="1">IFERROR(__xludf.DUMMYFUNCTION("""COMPUTED_VALUE"""),"네이버톡톡")</f>
        <v>네이버톡톡</v>
      </c>
      <c r="F311" s="6" t="str">
        <f ca="1">IFERROR(__xludf.DUMMYFUNCTION("""COMPUTED_VALUE"""),"배너")</f>
        <v>배너</v>
      </c>
      <c r="G311" s="7" t="str">
        <f ca="1">IFERROR(__xludf.DUMMYFUNCTION("""COMPUTED_VALUE"""),"http://newstart-law.com/?inType=nim003&amp;NaPm=ci=6tYt9YpKkYQ8u3QdcGaKsYTw|tr=gfa|ct=mqyvhey1|hk=c1bcd8925ef44eb646f0ac3f9a0b4436c86e52e2|nacn=oPehC4BOJXeJD")</f>
        <v>http://newstart-law.com/?inType=nim003&amp;NaPm=ci=6tYt9YpKkYQ8u3QdcGaKsYTw|tr=gfa|ct=mqyvhey1|hk=c1bcd8925ef44eb646f0ac3f9a0b4436c86e52e2|nacn=oPehC4BOJXeJD</v>
      </c>
      <c r="H311" s="6" t="str">
        <f ca="1">IFERROR(__xludf.DUMMYFUNCTION("""COMPUTED_VALUE"""),"nim003")</f>
        <v>nim003</v>
      </c>
      <c r="I311" s="6" t="str">
        <f ca="1">IFERROR(__xludf.DUMMYFUNCTION("""COMPUTED_VALUE"""),"")</f>
        <v/>
      </c>
      <c r="J311" s="6" t="str">
        <f ca="1">IFERROR(__xludf.DUMMYFUNCTION("""COMPUTED_VALUE"""),"네이버 톡톡")</f>
        <v>네이버 톡톡</v>
      </c>
    </row>
    <row r="312" spans="1:10" x14ac:dyDescent="0.2">
      <c r="A312" s="6">
        <f ca="1">IFERROR(__xludf.DUMMYFUNCTION("""COMPUTED_VALUE"""),311)</f>
        <v>311</v>
      </c>
      <c r="B312" s="6">
        <f ca="1">IFERROR(__xludf.DUMMYFUNCTION("""COMPUTED_VALUE"""),46202.8124884259)</f>
        <v>46202.812488425901</v>
      </c>
      <c r="C312" s="6" t="str">
        <f ca="1">IFERROR(__xludf.DUMMYFUNCTION("""COMPUTED_VALUE"""),"125.178.87.18")</f>
        <v>125.178.87.18</v>
      </c>
      <c r="D312" s="6" t="str">
        <f ca="1">IFERROR(__xludf.DUMMYFUNCTION("""COMPUTED_VALUE"""),"전화")</f>
        <v>전화</v>
      </c>
      <c r="E312" s="6" t="str">
        <f ca="1">IFERROR(__xludf.DUMMYFUNCTION("""COMPUTED_VALUE"""),"전화")</f>
        <v>전화</v>
      </c>
      <c r="F312" s="6" t="str">
        <f ca="1">IFERROR(__xludf.DUMMYFUNCTION("""COMPUTED_VALUE"""),"검색")</f>
        <v>검색</v>
      </c>
      <c r="G312" s="7" t="str">
        <f ca="1">IFERROR(__xludf.DUMMYFUNCTION("""COMPUTED_VALUE"""),"https://www.newstart-law.com/?inType=NK&amp;n_media=8753&amp;n_query=파산신청&amp;n_rank=2&amp;n_ad_group=grp-a001-01-000000063065674&amp;n_ad=nad-a001-01-000000495460351&amp;n_keyword_id=nkw-a001-01-000007951811266&amp;n_keyword=파산신청&amp;n_campaign_type=1&amp;n_ad_group_type=1&amp;n_match=1&amp;NaPm=c"&amp;"t=mqz2sw46|ci=ER6be7143c-73a5-11f1-9df4-bea0638631d0|tr=sa|hk=a32cf167942ea0a9f3f9ee68ef23345b4e7dd9bd|nacn=sAgUBgQE2bxm")</f>
        <v>https://www.newstart-law.com/?inType=NK&amp;n_media=8753&amp;n_query=파산신청&amp;n_rank=2&amp;n_ad_group=grp-a001-01-000000063065674&amp;n_ad=nad-a001-01-000000495460351&amp;n_keyword_id=nkw-a001-01-000007951811266&amp;n_keyword=파산신청&amp;n_campaign_type=1&amp;n_ad_group_type=1&amp;n_match=1&amp;NaPm=ct=mqz2sw46|ci=ER6be7143c-73a5-11f1-9df4-bea0638631d0|tr=sa|hk=a32cf167942ea0a9f3f9ee68ef23345b4e7dd9bd|nacn=sAgUBgQE2bxm</v>
      </c>
      <c r="H312" s="6" t="str">
        <f ca="1">IFERROR(__xludf.DUMMYFUNCTION("""COMPUTED_VALUE"""),"NK")</f>
        <v>NK</v>
      </c>
      <c r="I312" s="6" t="str">
        <f ca="1">IFERROR(__xludf.DUMMYFUNCTION("""COMPUTED_VALUE"""),"파산신청")</f>
        <v>파산신청</v>
      </c>
      <c r="J312" s="6" t="str">
        <f ca="1">IFERROR(__xludf.DUMMYFUNCTION("""COMPUTED_VALUE"""),"전화 문의")</f>
        <v>전화 문의</v>
      </c>
    </row>
    <row r="313" spans="1:10" x14ac:dyDescent="0.2">
      <c r="A313" s="6">
        <f ca="1">IFERROR(__xludf.DUMMYFUNCTION("""COMPUTED_VALUE"""),312)</f>
        <v>312</v>
      </c>
      <c r="B313" s="6">
        <f ca="1">IFERROR(__xludf.DUMMYFUNCTION("""COMPUTED_VALUE"""),46202.9055787037)</f>
        <v>46202.9055787037</v>
      </c>
      <c r="C313" s="6" t="str">
        <f ca="1">IFERROR(__xludf.DUMMYFUNCTION("""COMPUTED_VALUE"""),"121.148.161.241")</f>
        <v>121.148.161.241</v>
      </c>
      <c r="D313" s="6" t="str">
        <f ca="1">IFERROR(__xludf.DUMMYFUNCTION("""COMPUTED_VALUE"""),"카카오")</f>
        <v>카카오</v>
      </c>
      <c r="E313" s="6" t="str">
        <f ca="1">IFERROR(__xludf.DUMMYFUNCTION("""COMPUTED_VALUE"""),"카카오톡")</f>
        <v>카카오톡</v>
      </c>
      <c r="F313" s="6" t="str">
        <f ca="1">IFERROR(__xludf.DUMMYFUNCTION("""COMPUTED_VALUE"""),"검색")</f>
        <v>검색</v>
      </c>
      <c r="G313" s="7" t="str">
        <f ca="1">IFERROR(__xludf.DUMMYFUNCTION("""COMPUTED_VALUE"""),"https://www.newstart-law.com/?inType=NK&amp;n_media=8753&amp;n_query=파산신청자격&amp;n_rank=1&amp;n_ad_group=grp-a001-01-000000063065674&amp;n_ad=nad-a001-01-000000495460351&amp;n_keyword_id=nkw-a001-01-000007951811269&amp;n_keyword=파산신청자격&amp;n_campaign_type=1&amp;n_ad_group_type=1&amp;n_match=1&amp;Na"&amp;"Pm=ct=mqz7llj4|ci=ER2eb53426-73b8-11f1-b668-3eb4e95f5b38|tr=sa|hk=d3a0a3ffc9fa53f7477c684be146fde130f31771|nacn=lfi8DQiooIp")</f>
        <v>https://www.newstart-law.com/?inType=NK&amp;n_media=8753&amp;n_query=파산신청자격&amp;n_rank=1&amp;n_ad_group=grp-a001-01-000000063065674&amp;n_ad=nad-a001-01-000000495460351&amp;n_keyword_id=nkw-a001-01-000007951811269&amp;n_keyword=파산신청자격&amp;n_campaign_type=1&amp;n_ad_group_type=1&amp;n_match=1&amp;NaPm=ct=mqz7llj4|ci=ER2eb53426-73b8-11f1-b668-3eb4e95f5b38|tr=sa|hk=d3a0a3ffc9fa53f7477c684be146fde130f31771|nacn=lfi8DQiooIp</v>
      </c>
      <c r="H313" s="6" t="str">
        <f ca="1">IFERROR(__xludf.DUMMYFUNCTION("""COMPUTED_VALUE"""),"NK")</f>
        <v>NK</v>
      </c>
      <c r="I313" s="6" t="str">
        <f ca="1">IFERROR(__xludf.DUMMYFUNCTION("""COMPUTED_VALUE"""),"파산신청자격")</f>
        <v>파산신청자격</v>
      </c>
      <c r="J313" s="6" t="str">
        <f ca="1">IFERROR(__xludf.DUMMYFUNCTION("""COMPUTED_VALUE"""),"카카오톡")</f>
        <v>카카오톡</v>
      </c>
    </row>
    <row r="314" spans="1:10" x14ac:dyDescent="0.2">
      <c r="A314" s="6" t="str">
        <f ca="1">IFERROR(__xludf.DUMMYFUNCTION("""COMPUTED_VALUE"""),"")</f>
        <v/>
      </c>
      <c r="B314" s="6" t="str">
        <f ca="1">IFERROR(__xludf.DUMMYFUNCTION("""COMPUTED_VALUE"""),"")</f>
        <v/>
      </c>
      <c r="C314" s="6" t="str">
        <f ca="1">IFERROR(__xludf.DUMMYFUNCTION("""COMPUTED_VALUE"""),"")</f>
        <v/>
      </c>
      <c r="D314" s="6" t="str">
        <f ca="1">IFERROR(__xludf.DUMMYFUNCTION("""COMPUTED_VALUE"""),"")</f>
        <v/>
      </c>
      <c r="E314" s="6" t="str">
        <f ca="1">IFERROR(__xludf.DUMMYFUNCTION("""COMPUTED_VALUE"""),"")</f>
        <v/>
      </c>
      <c r="F314" s="6" t="str">
        <f ca="1">IFERROR(__xludf.DUMMYFUNCTION("""COMPUTED_VALUE"""),"")</f>
        <v/>
      </c>
      <c r="G314" s="6" t="str">
        <f ca="1">IFERROR(__xludf.DUMMYFUNCTION("""COMPUTED_VALUE"""),"")</f>
        <v/>
      </c>
      <c r="H314" s="6" t="str">
        <f ca="1">IFERROR(__xludf.DUMMYFUNCTION("""COMPUTED_VALUE"""),"")</f>
        <v/>
      </c>
      <c r="I314" s="6" t="str">
        <f ca="1">IFERROR(__xludf.DUMMYFUNCTION("""COMPUTED_VALUE"""),"")</f>
        <v/>
      </c>
      <c r="J314" s="6" t="str">
        <f ca="1">IFERROR(__xludf.DUMMYFUNCTION("""COMPUTED_VALUE"""),"")</f>
        <v/>
      </c>
    </row>
    <row r="315" spans="1:10" x14ac:dyDescent="0.2">
      <c r="A315" s="6" t="str">
        <f ca="1">IFERROR(__xludf.DUMMYFUNCTION("""COMPUTED_VALUE"""),"")</f>
        <v/>
      </c>
      <c r="B315" s="6" t="str">
        <f ca="1">IFERROR(__xludf.DUMMYFUNCTION("""COMPUTED_VALUE"""),"")</f>
        <v/>
      </c>
      <c r="C315" s="6" t="str">
        <f ca="1">IFERROR(__xludf.DUMMYFUNCTION("""COMPUTED_VALUE"""),"")</f>
        <v/>
      </c>
      <c r="D315" s="6" t="str">
        <f ca="1">IFERROR(__xludf.DUMMYFUNCTION("""COMPUTED_VALUE"""),"")</f>
        <v/>
      </c>
      <c r="E315" s="6" t="str">
        <f ca="1">IFERROR(__xludf.DUMMYFUNCTION("""COMPUTED_VALUE"""),"")</f>
        <v/>
      </c>
      <c r="F315" s="6" t="str">
        <f ca="1">IFERROR(__xludf.DUMMYFUNCTION("""COMPUTED_VALUE"""),"")</f>
        <v/>
      </c>
      <c r="G315" s="6" t="str">
        <f ca="1">IFERROR(__xludf.DUMMYFUNCTION("""COMPUTED_VALUE"""),"")</f>
        <v/>
      </c>
      <c r="H315" s="6" t="str">
        <f ca="1">IFERROR(__xludf.DUMMYFUNCTION("""COMPUTED_VALUE"""),"")</f>
        <v/>
      </c>
      <c r="I315" s="6" t="str">
        <f ca="1">IFERROR(__xludf.DUMMYFUNCTION("""COMPUTED_VALUE"""),"")</f>
        <v/>
      </c>
      <c r="J315" s="6" t="str">
        <f ca="1">IFERROR(__xludf.DUMMYFUNCTION("""COMPUTED_VALUE"""),"")</f>
        <v/>
      </c>
    </row>
    <row r="316" spans="1:10" x14ac:dyDescent="0.2">
      <c r="A316" s="6" t="str">
        <f ca="1">IFERROR(__xludf.DUMMYFUNCTION("""COMPUTED_VALUE"""),"")</f>
        <v/>
      </c>
      <c r="B316" s="6" t="str">
        <f ca="1">IFERROR(__xludf.DUMMYFUNCTION("""COMPUTED_VALUE"""),"")</f>
        <v/>
      </c>
      <c r="C316" s="6" t="str">
        <f ca="1">IFERROR(__xludf.DUMMYFUNCTION("""COMPUTED_VALUE"""),"")</f>
        <v/>
      </c>
      <c r="D316" s="6" t="str">
        <f ca="1">IFERROR(__xludf.DUMMYFUNCTION("""COMPUTED_VALUE"""),"")</f>
        <v/>
      </c>
      <c r="E316" s="6" t="str">
        <f ca="1">IFERROR(__xludf.DUMMYFUNCTION("""COMPUTED_VALUE"""),"")</f>
        <v/>
      </c>
      <c r="F316" s="6" t="str">
        <f ca="1">IFERROR(__xludf.DUMMYFUNCTION("""COMPUTED_VALUE"""),"")</f>
        <v/>
      </c>
      <c r="G316" s="6" t="str">
        <f ca="1">IFERROR(__xludf.DUMMYFUNCTION("""COMPUTED_VALUE"""),"")</f>
        <v/>
      </c>
      <c r="H316" s="6" t="str">
        <f ca="1">IFERROR(__xludf.DUMMYFUNCTION("""COMPUTED_VALUE"""),"")</f>
        <v/>
      </c>
      <c r="I316" s="6" t="str">
        <f ca="1">IFERROR(__xludf.DUMMYFUNCTION("""COMPUTED_VALUE"""),"")</f>
        <v/>
      </c>
      <c r="J316" s="6" t="str">
        <f ca="1">IFERROR(__xludf.DUMMYFUNCTION("""COMPUTED_VALUE"""),"")</f>
        <v/>
      </c>
    </row>
    <row r="317" spans="1:10" x14ac:dyDescent="0.2">
      <c r="A317" s="6" t="str">
        <f ca="1">IFERROR(__xludf.DUMMYFUNCTION("""COMPUTED_VALUE"""),"")</f>
        <v/>
      </c>
      <c r="B317" s="6" t="str">
        <f ca="1">IFERROR(__xludf.DUMMYFUNCTION("""COMPUTED_VALUE"""),"")</f>
        <v/>
      </c>
      <c r="C317" s="6" t="str">
        <f ca="1">IFERROR(__xludf.DUMMYFUNCTION("""COMPUTED_VALUE"""),"")</f>
        <v/>
      </c>
      <c r="D317" s="6" t="str">
        <f ca="1">IFERROR(__xludf.DUMMYFUNCTION("""COMPUTED_VALUE"""),"")</f>
        <v/>
      </c>
      <c r="E317" s="6" t="str">
        <f ca="1">IFERROR(__xludf.DUMMYFUNCTION("""COMPUTED_VALUE"""),"")</f>
        <v/>
      </c>
      <c r="F317" s="6" t="str">
        <f ca="1">IFERROR(__xludf.DUMMYFUNCTION("""COMPUTED_VALUE"""),"")</f>
        <v/>
      </c>
      <c r="G317" s="6" t="str">
        <f ca="1">IFERROR(__xludf.DUMMYFUNCTION("""COMPUTED_VALUE"""),"")</f>
        <v/>
      </c>
      <c r="H317" s="6" t="str">
        <f ca="1">IFERROR(__xludf.DUMMYFUNCTION("""COMPUTED_VALUE"""),"")</f>
        <v/>
      </c>
      <c r="I317" s="6" t="str">
        <f ca="1">IFERROR(__xludf.DUMMYFUNCTION("""COMPUTED_VALUE"""),"")</f>
        <v/>
      </c>
      <c r="J317" s="6" t="str">
        <f ca="1">IFERROR(__xludf.DUMMYFUNCTION("""COMPUTED_VALUE"""),"")</f>
        <v/>
      </c>
    </row>
    <row r="318" spans="1:10" x14ac:dyDescent="0.2">
      <c r="A318" s="6" t="str">
        <f ca="1">IFERROR(__xludf.DUMMYFUNCTION("""COMPUTED_VALUE"""),"")</f>
        <v/>
      </c>
      <c r="B318" s="6" t="str">
        <f ca="1">IFERROR(__xludf.DUMMYFUNCTION("""COMPUTED_VALUE"""),"")</f>
        <v/>
      </c>
      <c r="C318" s="6" t="str">
        <f ca="1">IFERROR(__xludf.DUMMYFUNCTION("""COMPUTED_VALUE"""),"")</f>
        <v/>
      </c>
      <c r="D318" s="6" t="str">
        <f ca="1">IFERROR(__xludf.DUMMYFUNCTION("""COMPUTED_VALUE"""),"")</f>
        <v/>
      </c>
      <c r="E318" s="6" t="str">
        <f ca="1">IFERROR(__xludf.DUMMYFUNCTION("""COMPUTED_VALUE"""),"")</f>
        <v/>
      </c>
      <c r="F318" s="6" t="str">
        <f ca="1">IFERROR(__xludf.DUMMYFUNCTION("""COMPUTED_VALUE"""),"")</f>
        <v/>
      </c>
      <c r="G318" s="6" t="str">
        <f ca="1">IFERROR(__xludf.DUMMYFUNCTION("""COMPUTED_VALUE"""),"")</f>
        <v/>
      </c>
      <c r="H318" s="6" t="str">
        <f ca="1">IFERROR(__xludf.DUMMYFUNCTION("""COMPUTED_VALUE"""),"")</f>
        <v/>
      </c>
      <c r="I318" s="6" t="str">
        <f ca="1">IFERROR(__xludf.DUMMYFUNCTION("""COMPUTED_VALUE"""),"")</f>
        <v/>
      </c>
      <c r="J318" s="6" t="str">
        <f ca="1">IFERROR(__xludf.DUMMYFUNCTION("""COMPUTED_VALUE"""),"")</f>
        <v/>
      </c>
    </row>
    <row r="319" spans="1:10" x14ac:dyDescent="0.2">
      <c r="A319" s="6" t="str">
        <f ca="1">IFERROR(__xludf.DUMMYFUNCTION("""COMPUTED_VALUE"""),"")</f>
        <v/>
      </c>
      <c r="B319" s="6" t="str">
        <f ca="1">IFERROR(__xludf.DUMMYFUNCTION("""COMPUTED_VALUE"""),"")</f>
        <v/>
      </c>
      <c r="C319" s="6" t="str">
        <f ca="1">IFERROR(__xludf.DUMMYFUNCTION("""COMPUTED_VALUE"""),"")</f>
        <v/>
      </c>
      <c r="D319" s="6" t="str">
        <f ca="1">IFERROR(__xludf.DUMMYFUNCTION("""COMPUTED_VALUE"""),"")</f>
        <v/>
      </c>
      <c r="E319" s="6" t="str">
        <f ca="1">IFERROR(__xludf.DUMMYFUNCTION("""COMPUTED_VALUE"""),"")</f>
        <v/>
      </c>
      <c r="F319" s="6" t="str">
        <f ca="1">IFERROR(__xludf.DUMMYFUNCTION("""COMPUTED_VALUE"""),"")</f>
        <v/>
      </c>
      <c r="G319" s="6" t="str">
        <f ca="1">IFERROR(__xludf.DUMMYFUNCTION("""COMPUTED_VALUE"""),"")</f>
        <v/>
      </c>
      <c r="H319" s="6" t="str">
        <f ca="1">IFERROR(__xludf.DUMMYFUNCTION("""COMPUTED_VALUE"""),"")</f>
        <v/>
      </c>
      <c r="I319" s="6" t="str">
        <f ca="1">IFERROR(__xludf.DUMMYFUNCTION("""COMPUTED_VALUE"""),"")</f>
        <v/>
      </c>
      <c r="J319" s="6" t="str">
        <f ca="1">IFERROR(__xludf.DUMMYFUNCTION("""COMPUTED_VALUE"""),"")</f>
        <v/>
      </c>
    </row>
    <row r="320" spans="1:10" x14ac:dyDescent="0.2">
      <c r="A320" s="6" t="str">
        <f ca="1">IFERROR(__xludf.DUMMYFUNCTION("""COMPUTED_VALUE"""),"")</f>
        <v/>
      </c>
      <c r="B320" s="6" t="str">
        <f ca="1">IFERROR(__xludf.DUMMYFUNCTION("""COMPUTED_VALUE"""),"")</f>
        <v/>
      </c>
      <c r="C320" s="6" t="str">
        <f ca="1">IFERROR(__xludf.DUMMYFUNCTION("""COMPUTED_VALUE"""),"")</f>
        <v/>
      </c>
      <c r="D320" s="6" t="str">
        <f ca="1">IFERROR(__xludf.DUMMYFUNCTION("""COMPUTED_VALUE"""),"")</f>
        <v/>
      </c>
      <c r="E320" s="6" t="str">
        <f ca="1">IFERROR(__xludf.DUMMYFUNCTION("""COMPUTED_VALUE"""),"")</f>
        <v/>
      </c>
      <c r="F320" s="6" t="str">
        <f ca="1">IFERROR(__xludf.DUMMYFUNCTION("""COMPUTED_VALUE"""),"")</f>
        <v/>
      </c>
      <c r="G320" s="6" t="str">
        <f ca="1">IFERROR(__xludf.DUMMYFUNCTION("""COMPUTED_VALUE"""),"")</f>
        <v/>
      </c>
      <c r="H320" s="6" t="str">
        <f ca="1">IFERROR(__xludf.DUMMYFUNCTION("""COMPUTED_VALUE"""),"")</f>
        <v/>
      </c>
      <c r="I320" s="6" t="str">
        <f ca="1">IFERROR(__xludf.DUMMYFUNCTION("""COMPUTED_VALUE"""),"")</f>
        <v/>
      </c>
      <c r="J320" s="6" t="str">
        <f ca="1">IFERROR(__xludf.DUMMYFUNCTION("""COMPUTED_VALUE"""),"")</f>
        <v/>
      </c>
    </row>
    <row r="321" spans="1:10" x14ac:dyDescent="0.2">
      <c r="A321" s="6" t="str">
        <f ca="1">IFERROR(__xludf.DUMMYFUNCTION("""COMPUTED_VALUE"""),"")</f>
        <v/>
      </c>
      <c r="B321" s="6" t="str">
        <f ca="1">IFERROR(__xludf.DUMMYFUNCTION("""COMPUTED_VALUE"""),"")</f>
        <v/>
      </c>
      <c r="C321" s="6" t="str">
        <f ca="1">IFERROR(__xludf.DUMMYFUNCTION("""COMPUTED_VALUE"""),"")</f>
        <v/>
      </c>
      <c r="D321" s="6" t="str">
        <f ca="1">IFERROR(__xludf.DUMMYFUNCTION("""COMPUTED_VALUE"""),"")</f>
        <v/>
      </c>
      <c r="E321" s="6" t="str">
        <f ca="1">IFERROR(__xludf.DUMMYFUNCTION("""COMPUTED_VALUE"""),"")</f>
        <v/>
      </c>
      <c r="F321" s="6" t="str">
        <f ca="1">IFERROR(__xludf.DUMMYFUNCTION("""COMPUTED_VALUE"""),"")</f>
        <v/>
      </c>
      <c r="G321" s="6" t="str">
        <f ca="1">IFERROR(__xludf.DUMMYFUNCTION("""COMPUTED_VALUE"""),"")</f>
        <v/>
      </c>
      <c r="H321" s="6" t="str">
        <f ca="1">IFERROR(__xludf.DUMMYFUNCTION("""COMPUTED_VALUE"""),"")</f>
        <v/>
      </c>
      <c r="I321" s="6" t="str">
        <f ca="1">IFERROR(__xludf.DUMMYFUNCTION("""COMPUTED_VALUE"""),"")</f>
        <v/>
      </c>
      <c r="J321" s="6" t="str">
        <f ca="1">IFERROR(__xludf.DUMMYFUNCTION("""COMPUTED_VALUE"""),"")</f>
        <v/>
      </c>
    </row>
    <row r="322" spans="1:10" x14ac:dyDescent="0.2">
      <c r="A322" s="6" t="str">
        <f ca="1">IFERROR(__xludf.DUMMYFUNCTION("""COMPUTED_VALUE"""),"")</f>
        <v/>
      </c>
      <c r="B322" s="6" t="str">
        <f ca="1">IFERROR(__xludf.DUMMYFUNCTION("""COMPUTED_VALUE"""),"")</f>
        <v/>
      </c>
      <c r="C322" s="6" t="str">
        <f ca="1">IFERROR(__xludf.DUMMYFUNCTION("""COMPUTED_VALUE"""),"")</f>
        <v/>
      </c>
      <c r="D322" s="6" t="str">
        <f ca="1">IFERROR(__xludf.DUMMYFUNCTION("""COMPUTED_VALUE"""),"")</f>
        <v/>
      </c>
      <c r="E322" s="6" t="str">
        <f ca="1">IFERROR(__xludf.DUMMYFUNCTION("""COMPUTED_VALUE"""),"")</f>
        <v/>
      </c>
      <c r="F322" s="6" t="str">
        <f ca="1">IFERROR(__xludf.DUMMYFUNCTION("""COMPUTED_VALUE"""),"")</f>
        <v/>
      </c>
      <c r="G322" s="6" t="str">
        <f ca="1">IFERROR(__xludf.DUMMYFUNCTION("""COMPUTED_VALUE"""),"")</f>
        <v/>
      </c>
      <c r="H322" s="6" t="str">
        <f ca="1">IFERROR(__xludf.DUMMYFUNCTION("""COMPUTED_VALUE"""),"")</f>
        <v/>
      </c>
      <c r="I322" s="6" t="str">
        <f ca="1">IFERROR(__xludf.DUMMYFUNCTION("""COMPUTED_VALUE"""),"")</f>
        <v/>
      </c>
      <c r="J322" s="6" t="str">
        <f ca="1">IFERROR(__xludf.DUMMYFUNCTION("""COMPUTED_VALUE"""),"")</f>
        <v/>
      </c>
    </row>
    <row r="323" spans="1:10" x14ac:dyDescent="0.2">
      <c r="A323" s="6" t="str">
        <f ca="1">IFERROR(__xludf.DUMMYFUNCTION("""COMPUTED_VALUE"""),"")</f>
        <v/>
      </c>
      <c r="B323" s="6" t="str">
        <f ca="1">IFERROR(__xludf.DUMMYFUNCTION("""COMPUTED_VALUE"""),"")</f>
        <v/>
      </c>
      <c r="C323" s="6" t="str">
        <f ca="1">IFERROR(__xludf.DUMMYFUNCTION("""COMPUTED_VALUE"""),"")</f>
        <v/>
      </c>
      <c r="D323" s="6" t="str">
        <f ca="1">IFERROR(__xludf.DUMMYFUNCTION("""COMPUTED_VALUE"""),"")</f>
        <v/>
      </c>
      <c r="E323" s="6" t="str">
        <f ca="1">IFERROR(__xludf.DUMMYFUNCTION("""COMPUTED_VALUE"""),"")</f>
        <v/>
      </c>
      <c r="F323" s="6" t="str">
        <f ca="1">IFERROR(__xludf.DUMMYFUNCTION("""COMPUTED_VALUE"""),"")</f>
        <v/>
      </c>
      <c r="G323" s="6" t="str">
        <f ca="1">IFERROR(__xludf.DUMMYFUNCTION("""COMPUTED_VALUE"""),"")</f>
        <v/>
      </c>
      <c r="H323" s="6" t="str">
        <f ca="1">IFERROR(__xludf.DUMMYFUNCTION("""COMPUTED_VALUE"""),"")</f>
        <v/>
      </c>
      <c r="I323" s="6" t="str">
        <f ca="1">IFERROR(__xludf.DUMMYFUNCTION("""COMPUTED_VALUE"""),"")</f>
        <v/>
      </c>
      <c r="J323" s="6" t="str">
        <f ca="1">IFERROR(__xludf.DUMMYFUNCTION("""COMPUTED_VALUE"""),"")</f>
        <v/>
      </c>
    </row>
    <row r="324" spans="1:10" x14ac:dyDescent="0.2">
      <c r="A324" s="6" t="str">
        <f ca="1">IFERROR(__xludf.DUMMYFUNCTION("""COMPUTED_VALUE"""),"")</f>
        <v/>
      </c>
      <c r="B324" s="6" t="str">
        <f ca="1">IFERROR(__xludf.DUMMYFUNCTION("""COMPUTED_VALUE"""),"")</f>
        <v/>
      </c>
      <c r="C324" s="6" t="str">
        <f ca="1">IFERROR(__xludf.DUMMYFUNCTION("""COMPUTED_VALUE"""),"")</f>
        <v/>
      </c>
      <c r="D324" s="6" t="str">
        <f ca="1">IFERROR(__xludf.DUMMYFUNCTION("""COMPUTED_VALUE"""),"")</f>
        <v/>
      </c>
      <c r="E324" s="6" t="str">
        <f ca="1">IFERROR(__xludf.DUMMYFUNCTION("""COMPUTED_VALUE"""),"")</f>
        <v/>
      </c>
      <c r="F324" s="6" t="str">
        <f ca="1">IFERROR(__xludf.DUMMYFUNCTION("""COMPUTED_VALUE"""),"")</f>
        <v/>
      </c>
      <c r="G324" s="6" t="str">
        <f ca="1">IFERROR(__xludf.DUMMYFUNCTION("""COMPUTED_VALUE"""),"")</f>
        <v/>
      </c>
      <c r="H324" s="6" t="str">
        <f ca="1">IFERROR(__xludf.DUMMYFUNCTION("""COMPUTED_VALUE"""),"")</f>
        <v/>
      </c>
      <c r="I324" s="6" t="str">
        <f ca="1">IFERROR(__xludf.DUMMYFUNCTION("""COMPUTED_VALUE"""),"")</f>
        <v/>
      </c>
      <c r="J324" s="6" t="str">
        <f ca="1">IFERROR(__xludf.DUMMYFUNCTION("""COMPUTED_VALUE"""),"")</f>
        <v/>
      </c>
    </row>
    <row r="325" spans="1:10" x14ac:dyDescent="0.2">
      <c r="A325" s="6" t="str">
        <f ca="1">IFERROR(__xludf.DUMMYFUNCTION("""COMPUTED_VALUE"""),"")</f>
        <v/>
      </c>
      <c r="B325" s="6" t="str">
        <f ca="1">IFERROR(__xludf.DUMMYFUNCTION("""COMPUTED_VALUE"""),"")</f>
        <v/>
      </c>
      <c r="C325" s="6" t="str">
        <f ca="1">IFERROR(__xludf.DUMMYFUNCTION("""COMPUTED_VALUE"""),"")</f>
        <v/>
      </c>
      <c r="D325" s="6" t="str">
        <f ca="1">IFERROR(__xludf.DUMMYFUNCTION("""COMPUTED_VALUE"""),"")</f>
        <v/>
      </c>
      <c r="E325" s="6" t="str">
        <f ca="1">IFERROR(__xludf.DUMMYFUNCTION("""COMPUTED_VALUE"""),"")</f>
        <v/>
      </c>
      <c r="F325" s="6" t="str">
        <f ca="1">IFERROR(__xludf.DUMMYFUNCTION("""COMPUTED_VALUE"""),"")</f>
        <v/>
      </c>
      <c r="G325" s="6" t="str">
        <f ca="1">IFERROR(__xludf.DUMMYFUNCTION("""COMPUTED_VALUE"""),"")</f>
        <v/>
      </c>
      <c r="H325" s="6" t="str">
        <f ca="1">IFERROR(__xludf.DUMMYFUNCTION("""COMPUTED_VALUE"""),"")</f>
        <v/>
      </c>
      <c r="I325" s="6" t="str">
        <f ca="1">IFERROR(__xludf.DUMMYFUNCTION("""COMPUTED_VALUE"""),"")</f>
        <v/>
      </c>
      <c r="J325" s="6" t="str">
        <f ca="1">IFERROR(__xludf.DUMMYFUNCTION("""COMPUTED_VALUE"""),"")</f>
        <v/>
      </c>
    </row>
    <row r="326" spans="1:10" x14ac:dyDescent="0.2">
      <c r="A326" s="6" t="str">
        <f ca="1">IFERROR(__xludf.DUMMYFUNCTION("""COMPUTED_VALUE"""),"")</f>
        <v/>
      </c>
      <c r="B326" s="6" t="str">
        <f ca="1">IFERROR(__xludf.DUMMYFUNCTION("""COMPUTED_VALUE"""),"")</f>
        <v/>
      </c>
      <c r="C326" s="6" t="str">
        <f ca="1">IFERROR(__xludf.DUMMYFUNCTION("""COMPUTED_VALUE"""),"")</f>
        <v/>
      </c>
      <c r="D326" s="6" t="str">
        <f ca="1">IFERROR(__xludf.DUMMYFUNCTION("""COMPUTED_VALUE"""),"")</f>
        <v/>
      </c>
      <c r="E326" s="6" t="str">
        <f ca="1">IFERROR(__xludf.DUMMYFUNCTION("""COMPUTED_VALUE"""),"")</f>
        <v/>
      </c>
      <c r="F326" s="6" t="str">
        <f ca="1">IFERROR(__xludf.DUMMYFUNCTION("""COMPUTED_VALUE"""),"")</f>
        <v/>
      </c>
      <c r="G326" s="6" t="str">
        <f ca="1">IFERROR(__xludf.DUMMYFUNCTION("""COMPUTED_VALUE"""),"")</f>
        <v/>
      </c>
      <c r="H326" s="6" t="str">
        <f ca="1">IFERROR(__xludf.DUMMYFUNCTION("""COMPUTED_VALUE"""),"")</f>
        <v/>
      </c>
      <c r="I326" s="6" t="str">
        <f ca="1">IFERROR(__xludf.DUMMYFUNCTION("""COMPUTED_VALUE"""),"")</f>
        <v/>
      </c>
      <c r="J326" s="6" t="str">
        <f ca="1">IFERROR(__xludf.DUMMYFUNCTION("""COMPUTED_VALUE"""),"")</f>
        <v/>
      </c>
    </row>
    <row r="327" spans="1:10" x14ac:dyDescent="0.2">
      <c r="A327" s="6" t="str">
        <f ca="1">IFERROR(__xludf.DUMMYFUNCTION("""COMPUTED_VALUE"""),"")</f>
        <v/>
      </c>
      <c r="B327" s="6" t="str">
        <f ca="1">IFERROR(__xludf.DUMMYFUNCTION("""COMPUTED_VALUE"""),"")</f>
        <v/>
      </c>
      <c r="C327" s="6" t="str">
        <f ca="1">IFERROR(__xludf.DUMMYFUNCTION("""COMPUTED_VALUE"""),"")</f>
        <v/>
      </c>
      <c r="D327" s="6" t="str">
        <f ca="1">IFERROR(__xludf.DUMMYFUNCTION("""COMPUTED_VALUE"""),"")</f>
        <v/>
      </c>
      <c r="E327" s="6" t="str">
        <f ca="1">IFERROR(__xludf.DUMMYFUNCTION("""COMPUTED_VALUE"""),"")</f>
        <v/>
      </c>
      <c r="F327" s="6" t="str">
        <f ca="1">IFERROR(__xludf.DUMMYFUNCTION("""COMPUTED_VALUE"""),"")</f>
        <v/>
      </c>
      <c r="G327" s="6" t="str">
        <f ca="1">IFERROR(__xludf.DUMMYFUNCTION("""COMPUTED_VALUE"""),"")</f>
        <v/>
      </c>
      <c r="H327" s="6" t="str">
        <f ca="1">IFERROR(__xludf.DUMMYFUNCTION("""COMPUTED_VALUE"""),"")</f>
        <v/>
      </c>
      <c r="I327" s="6" t="str">
        <f ca="1">IFERROR(__xludf.DUMMYFUNCTION("""COMPUTED_VALUE"""),"")</f>
        <v/>
      </c>
      <c r="J327" s="6" t="str">
        <f ca="1">IFERROR(__xludf.DUMMYFUNCTION("""COMPUTED_VALUE"""),"")</f>
        <v/>
      </c>
    </row>
    <row r="328" spans="1:10" x14ac:dyDescent="0.2">
      <c r="A328" s="6" t="str">
        <f ca="1">IFERROR(__xludf.DUMMYFUNCTION("""COMPUTED_VALUE"""),"")</f>
        <v/>
      </c>
      <c r="B328" s="6" t="str">
        <f ca="1">IFERROR(__xludf.DUMMYFUNCTION("""COMPUTED_VALUE"""),"")</f>
        <v/>
      </c>
      <c r="C328" s="6" t="str">
        <f ca="1">IFERROR(__xludf.DUMMYFUNCTION("""COMPUTED_VALUE"""),"")</f>
        <v/>
      </c>
      <c r="D328" s="6" t="str">
        <f ca="1">IFERROR(__xludf.DUMMYFUNCTION("""COMPUTED_VALUE"""),"")</f>
        <v/>
      </c>
      <c r="E328" s="6" t="str">
        <f ca="1">IFERROR(__xludf.DUMMYFUNCTION("""COMPUTED_VALUE"""),"")</f>
        <v/>
      </c>
      <c r="F328" s="6" t="str">
        <f ca="1">IFERROR(__xludf.DUMMYFUNCTION("""COMPUTED_VALUE"""),"")</f>
        <v/>
      </c>
      <c r="G328" s="6" t="str">
        <f ca="1">IFERROR(__xludf.DUMMYFUNCTION("""COMPUTED_VALUE"""),"")</f>
        <v/>
      </c>
      <c r="H328" s="6" t="str">
        <f ca="1">IFERROR(__xludf.DUMMYFUNCTION("""COMPUTED_VALUE"""),"")</f>
        <v/>
      </c>
      <c r="I328" s="6" t="str">
        <f ca="1">IFERROR(__xludf.DUMMYFUNCTION("""COMPUTED_VALUE"""),"")</f>
        <v/>
      </c>
      <c r="J328" s="6" t="str">
        <f ca="1">IFERROR(__xludf.DUMMYFUNCTION("""COMPUTED_VALUE"""),"")</f>
        <v/>
      </c>
    </row>
    <row r="329" spans="1:10" x14ac:dyDescent="0.2">
      <c r="A329" s="6" t="str">
        <f ca="1">IFERROR(__xludf.DUMMYFUNCTION("""COMPUTED_VALUE"""),"")</f>
        <v/>
      </c>
      <c r="B329" s="6" t="str">
        <f ca="1">IFERROR(__xludf.DUMMYFUNCTION("""COMPUTED_VALUE"""),"")</f>
        <v/>
      </c>
      <c r="C329" s="6" t="str">
        <f ca="1">IFERROR(__xludf.DUMMYFUNCTION("""COMPUTED_VALUE"""),"")</f>
        <v/>
      </c>
      <c r="D329" s="6" t="str">
        <f ca="1">IFERROR(__xludf.DUMMYFUNCTION("""COMPUTED_VALUE"""),"")</f>
        <v/>
      </c>
      <c r="E329" s="6" t="str">
        <f ca="1">IFERROR(__xludf.DUMMYFUNCTION("""COMPUTED_VALUE"""),"")</f>
        <v/>
      </c>
      <c r="F329" s="6" t="str">
        <f ca="1">IFERROR(__xludf.DUMMYFUNCTION("""COMPUTED_VALUE"""),"")</f>
        <v/>
      </c>
      <c r="G329" s="6" t="str">
        <f ca="1">IFERROR(__xludf.DUMMYFUNCTION("""COMPUTED_VALUE"""),"")</f>
        <v/>
      </c>
      <c r="H329" s="6" t="str">
        <f ca="1">IFERROR(__xludf.DUMMYFUNCTION("""COMPUTED_VALUE"""),"")</f>
        <v/>
      </c>
      <c r="I329" s="6" t="str">
        <f ca="1">IFERROR(__xludf.DUMMYFUNCTION("""COMPUTED_VALUE"""),"")</f>
        <v/>
      </c>
      <c r="J329" s="6" t="str">
        <f ca="1">IFERROR(__xludf.DUMMYFUNCTION("""COMPUTED_VALUE"""),"")</f>
        <v/>
      </c>
    </row>
    <row r="330" spans="1:10" x14ac:dyDescent="0.2">
      <c r="A330" s="6" t="str">
        <f ca="1">IFERROR(__xludf.DUMMYFUNCTION("""COMPUTED_VALUE"""),"")</f>
        <v/>
      </c>
      <c r="B330" s="6" t="str">
        <f ca="1">IFERROR(__xludf.DUMMYFUNCTION("""COMPUTED_VALUE"""),"")</f>
        <v/>
      </c>
      <c r="C330" s="6" t="str">
        <f ca="1">IFERROR(__xludf.DUMMYFUNCTION("""COMPUTED_VALUE"""),"")</f>
        <v/>
      </c>
      <c r="D330" s="6" t="str">
        <f ca="1">IFERROR(__xludf.DUMMYFUNCTION("""COMPUTED_VALUE"""),"")</f>
        <v/>
      </c>
      <c r="E330" s="6" t="str">
        <f ca="1">IFERROR(__xludf.DUMMYFUNCTION("""COMPUTED_VALUE"""),"")</f>
        <v/>
      </c>
      <c r="F330" s="6" t="str">
        <f ca="1">IFERROR(__xludf.DUMMYFUNCTION("""COMPUTED_VALUE"""),"")</f>
        <v/>
      </c>
      <c r="G330" s="6" t="str">
        <f ca="1">IFERROR(__xludf.DUMMYFUNCTION("""COMPUTED_VALUE"""),"")</f>
        <v/>
      </c>
      <c r="H330" s="6" t="str">
        <f ca="1">IFERROR(__xludf.DUMMYFUNCTION("""COMPUTED_VALUE"""),"")</f>
        <v/>
      </c>
      <c r="I330" s="6" t="str">
        <f ca="1">IFERROR(__xludf.DUMMYFUNCTION("""COMPUTED_VALUE"""),"")</f>
        <v/>
      </c>
      <c r="J330" s="6" t="str">
        <f ca="1">IFERROR(__xludf.DUMMYFUNCTION("""COMPUTED_VALUE"""),"")</f>
        <v/>
      </c>
    </row>
    <row r="331" spans="1:10" x14ac:dyDescent="0.2">
      <c r="A331" s="6" t="str">
        <f ca="1">IFERROR(__xludf.DUMMYFUNCTION("""COMPUTED_VALUE"""),"")</f>
        <v/>
      </c>
      <c r="B331" s="6" t="str">
        <f ca="1">IFERROR(__xludf.DUMMYFUNCTION("""COMPUTED_VALUE"""),"")</f>
        <v/>
      </c>
      <c r="C331" s="6" t="str">
        <f ca="1">IFERROR(__xludf.DUMMYFUNCTION("""COMPUTED_VALUE"""),"")</f>
        <v/>
      </c>
      <c r="D331" s="6" t="str">
        <f ca="1">IFERROR(__xludf.DUMMYFUNCTION("""COMPUTED_VALUE"""),"")</f>
        <v/>
      </c>
      <c r="E331" s="6" t="str">
        <f ca="1">IFERROR(__xludf.DUMMYFUNCTION("""COMPUTED_VALUE"""),"")</f>
        <v/>
      </c>
      <c r="F331" s="6" t="str">
        <f ca="1">IFERROR(__xludf.DUMMYFUNCTION("""COMPUTED_VALUE"""),"")</f>
        <v/>
      </c>
      <c r="G331" s="6" t="str">
        <f ca="1">IFERROR(__xludf.DUMMYFUNCTION("""COMPUTED_VALUE"""),"")</f>
        <v/>
      </c>
      <c r="H331" s="6" t="str">
        <f ca="1">IFERROR(__xludf.DUMMYFUNCTION("""COMPUTED_VALUE"""),"")</f>
        <v/>
      </c>
      <c r="I331" s="6" t="str">
        <f ca="1">IFERROR(__xludf.DUMMYFUNCTION("""COMPUTED_VALUE"""),"")</f>
        <v/>
      </c>
      <c r="J331" s="6" t="str">
        <f ca="1">IFERROR(__xludf.DUMMYFUNCTION("""COMPUTED_VALUE"""),"")</f>
        <v/>
      </c>
    </row>
    <row r="332" spans="1:10" x14ac:dyDescent="0.2">
      <c r="A332" s="6" t="str">
        <f ca="1">IFERROR(__xludf.DUMMYFUNCTION("""COMPUTED_VALUE"""),"")</f>
        <v/>
      </c>
      <c r="B332" s="6" t="str">
        <f ca="1">IFERROR(__xludf.DUMMYFUNCTION("""COMPUTED_VALUE"""),"")</f>
        <v/>
      </c>
      <c r="C332" s="6" t="str">
        <f ca="1">IFERROR(__xludf.DUMMYFUNCTION("""COMPUTED_VALUE"""),"")</f>
        <v/>
      </c>
      <c r="D332" s="6" t="str">
        <f ca="1">IFERROR(__xludf.DUMMYFUNCTION("""COMPUTED_VALUE"""),"")</f>
        <v/>
      </c>
      <c r="E332" s="6" t="str">
        <f ca="1">IFERROR(__xludf.DUMMYFUNCTION("""COMPUTED_VALUE"""),"")</f>
        <v/>
      </c>
      <c r="F332" s="6" t="str">
        <f ca="1">IFERROR(__xludf.DUMMYFUNCTION("""COMPUTED_VALUE"""),"")</f>
        <v/>
      </c>
      <c r="G332" s="6" t="str">
        <f ca="1">IFERROR(__xludf.DUMMYFUNCTION("""COMPUTED_VALUE"""),"")</f>
        <v/>
      </c>
      <c r="H332" s="6" t="str">
        <f ca="1">IFERROR(__xludf.DUMMYFUNCTION("""COMPUTED_VALUE"""),"")</f>
        <v/>
      </c>
      <c r="I332" s="6" t="str">
        <f ca="1">IFERROR(__xludf.DUMMYFUNCTION("""COMPUTED_VALUE"""),"")</f>
        <v/>
      </c>
      <c r="J332" s="6" t="str">
        <f ca="1">IFERROR(__xludf.DUMMYFUNCTION("""COMPUTED_VALUE"""),"")</f>
        <v/>
      </c>
    </row>
    <row r="333" spans="1:10" x14ac:dyDescent="0.2">
      <c r="A333" s="6" t="str">
        <f ca="1">IFERROR(__xludf.DUMMYFUNCTION("""COMPUTED_VALUE"""),"")</f>
        <v/>
      </c>
      <c r="B333" s="6" t="str">
        <f ca="1">IFERROR(__xludf.DUMMYFUNCTION("""COMPUTED_VALUE"""),"")</f>
        <v/>
      </c>
      <c r="C333" s="6" t="str">
        <f ca="1">IFERROR(__xludf.DUMMYFUNCTION("""COMPUTED_VALUE"""),"")</f>
        <v/>
      </c>
      <c r="D333" s="6" t="str">
        <f ca="1">IFERROR(__xludf.DUMMYFUNCTION("""COMPUTED_VALUE"""),"")</f>
        <v/>
      </c>
      <c r="E333" s="6" t="str">
        <f ca="1">IFERROR(__xludf.DUMMYFUNCTION("""COMPUTED_VALUE"""),"")</f>
        <v/>
      </c>
      <c r="F333" s="6" t="str">
        <f ca="1">IFERROR(__xludf.DUMMYFUNCTION("""COMPUTED_VALUE"""),"")</f>
        <v/>
      </c>
      <c r="G333" s="6" t="str">
        <f ca="1">IFERROR(__xludf.DUMMYFUNCTION("""COMPUTED_VALUE"""),"")</f>
        <v/>
      </c>
      <c r="H333" s="6" t="str">
        <f ca="1">IFERROR(__xludf.DUMMYFUNCTION("""COMPUTED_VALUE"""),"")</f>
        <v/>
      </c>
      <c r="I333" s="6" t="str">
        <f ca="1">IFERROR(__xludf.DUMMYFUNCTION("""COMPUTED_VALUE"""),"")</f>
        <v/>
      </c>
      <c r="J333" s="6" t="str">
        <f ca="1">IFERROR(__xludf.DUMMYFUNCTION("""COMPUTED_VALUE"""),"")</f>
        <v/>
      </c>
    </row>
    <row r="334" spans="1:10" x14ac:dyDescent="0.2">
      <c r="A334" s="6" t="str">
        <f ca="1">IFERROR(__xludf.DUMMYFUNCTION("""COMPUTED_VALUE"""),"")</f>
        <v/>
      </c>
      <c r="B334" s="6" t="str">
        <f ca="1">IFERROR(__xludf.DUMMYFUNCTION("""COMPUTED_VALUE"""),"")</f>
        <v/>
      </c>
      <c r="C334" s="6" t="str">
        <f ca="1">IFERROR(__xludf.DUMMYFUNCTION("""COMPUTED_VALUE"""),"")</f>
        <v/>
      </c>
      <c r="D334" s="6" t="str">
        <f ca="1">IFERROR(__xludf.DUMMYFUNCTION("""COMPUTED_VALUE"""),"")</f>
        <v/>
      </c>
      <c r="E334" s="6" t="str">
        <f ca="1">IFERROR(__xludf.DUMMYFUNCTION("""COMPUTED_VALUE"""),"")</f>
        <v/>
      </c>
      <c r="F334" s="6" t="str">
        <f ca="1">IFERROR(__xludf.DUMMYFUNCTION("""COMPUTED_VALUE"""),"")</f>
        <v/>
      </c>
      <c r="G334" s="6" t="str">
        <f ca="1">IFERROR(__xludf.DUMMYFUNCTION("""COMPUTED_VALUE"""),"")</f>
        <v/>
      </c>
      <c r="H334" s="6" t="str">
        <f ca="1">IFERROR(__xludf.DUMMYFUNCTION("""COMPUTED_VALUE"""),"")</f>
        <v/>
      </c>
      <c r="I334" s="6" t="str">
        <f ca="1">IFERROR(__xludf.DUMMYFUNCTION("""COMPUTED_VALUE"""),"")</f>
        <v/>
      </c>
      <c r="J334" s="6" t="str">
        <f ca="1">IFERROR(__xludf.DUMMYFUNCTION("""COMPUTED_VALUE"""),"")</f>
        <v/>
      </c>
    </row>
    <row r="335" spans="1:10" x14ac:dyDescent="0.2">
      <c r="A335" s="6" t="str">
        <f ca="1">IFERROR(__xludf.DUMMYFUNCTION("""COMPUTED_VALUE"""),"")</f>
        <v/>
      </c>
      <c r="B335" s="6" t="str">
        <f ca="1">IFERROR(__xludf.DUMMYFUNCTION("""COMPUTED_VALUE"""),"")</f>
        <v/>
      </c>
      <c r="C335" s="6" t="str">
        <f ca="1">IFERROR(__xludf.DUMMYFUNCTION("""COMPUTED_VALUE"""),"")</f>
        <v/>
      </c>
      <c r="D335" s="6" t="str">
        <f ca="1">IFERROR(__xludf.DUMMYFUNCTION("""COMPUTED_VALUE"""),"")</f>
        <v/>
      </c>
      <c r="E335" s="6" t="str">
        <f ca="1">IFERROR(__xludf.DUMMYFUNCTION("""COMPUTED_VALUE"""),"")</f>
        <v/>
      </c>
      <c r="F335" s="6" t="str">
        <f ca="1">IFERROR(__xludf.DUMMYFUNCTION("""COMPUTED_VALUE"""),"")</f>
        <v/>
      </c>
      <c r="G335" s="6" t="str">
        <f ca="1">IFERROR(__xludf.DUMMYFUNCTION("""COMPUTED_VALUE"""),"")</f>
        <v/>
      </c>
      <c r="H335" s="6" t="str">
        <f ca="1">IFERROR(__xludf.DUMMYFUNCTION("""COMPUTED_VALUE"""),"")</f>
        <v/>
      </c>
      <c r="I335" s="6" t="str">
        <f ca="1">IFERROR(__xludf.DUMMYFUNCTION("""COMPUTED_VALUE"""),"")</f>
        <v/>
      </c>
      <c r="J335" s="6" t="str">
        <f ca="1">IFERROR(__xludf.DUMMYFUNCTION("""COMPUTED_VALUE"""),"")</f>
        <v/>
      </c>
    </row>
    <row r="336" spans="1:10" x14ac:dyDescent="0.2">
      <c r="A336" s="6" t="str">
        <f ca="1">IFERROR(__xludf.DUMMYFUNCTION("""COMPUTED_VALUE"""),"")</f>
        <v/>
      </c>
      <c r="B336" s="6" t="str">
        <f ca="1">IFERROR(__xludf.DUMMYFUNCTION("""COMPUTED_VALUE"""),"")</f>
        <v/>
      </c>
      <c r="C336" s="6" t="str">
        <f ca="1">IFERROR(__xludf.DUMMYFUNCTION("""COMPUTED_VALUE"""),"")</f>
        <v/>
      </c>
      <c r="D336" s="6" t="str">
        <f ca="1">IFERROR(__xludf.DUMMYFUNCTION("""COMPUTED_VALUE"""),"")</f>
        <v/>
      </c>
      <c r="E336" s="6" t="str">
        <f ca="1">IFERROR(__xludf.DUMMYFUNCTION("""COMPUTED_VALUE"""),"")</f>
        <v/>
      </c>
      <c r="F336" s="6" t="str">
        <f ca="1">IFERROR(__xludf.DUMMYFUNCTION("""COMPUTED_VALUE"""),"")</f>
        <v/>
      </c>
      <c r="G336" s="6" t="str">
        <f ca="1">IFERROR(__xludf.DUMMYFUNCTION("""COMPUTED_VALUE"""),"")</f>
        <v/>
      </c>
      <c r="H336" s="6" t="str">
        <f ca="1">IFERROR(__xludf.DUMMYFUNCTION("""COMPUTED_VALUE"""),"")</f>
        <v/>
      </c>
      <c r="I336" s="6" t="str">
        <f ca="1">IFERROR(__xludf.DUMMYFUNCTION("""COMPUTED_VALUE"""),"")</f>
        <v/>
      </c>
      <c r="J336" s="6" t="str">
        <f ca="1">IFERROR(__xludf.DUMMYFUNCTION("""COMPUTED_VALUE"""),"")</f>
        <v/>
      </c>
    </row>
    <row r="337" spans="1:10" x14ac:dyDescent="0.2">
      <c r="A337" s="6" t="str">
        <f ca="1">IFERROR(__xludf.DUMMYFUNCTION("""COMPUTED_VALUE"""),"")</f>
        <v/>
      </c>
      <c r="B337" s="6" t="str">
        <f ca="1">IFERROR(__xludf.DUMMYFUNCTION("""COMPUTED_VALUE"""),"")</f>
        <v/>
      </c>
      <c r="C337" s="6" t="str">
        <f ca="1">IFERROR(__xludf.DUMMYFUNCTION("""COMPUTED_VALUE"""),"")</f>
        <v/>
      </c>
      <c r="D337" s="6" t="str">
        <f ca="1">IFERROR(__xludf.DUMMYFUNCTION("""COMPUTED_VALUE"""),"")</f>
        <v/>
      </c>
      <c r="E337" s="6" t="str">
        <f ca="1">IFERROR(__xludf.DUMMYFUNCTION("""COMPUTED_VALUE"""),"")</f>
        <v/>
      </c>
      <c r="F337" s="6" t="str">
        <f ca="1">IFERROR(__xludf.DUMMYFUNCTION("""COMPUTED_VALUE"""),"")</f>
        <v/>
      </c>
      <c r="G337" s="6" t="str">
        <f ca="1">IFERROR(__xludf.DUMMYFUNCTION("""COMPUTED_VALUE"""),"")</f>
        <v/>
      </c>
      <c r="H337" s="6" t="str">
        <f ca="1">IFERROR(__xludf.DUMMYFUNCTION("""COMPUTED_VALUE"""),"")</f>
        <v/>
      </c>
      <c r="I337" s="6" t="str">
        <f ca="1">IFERROR(__xludf.DUMMYFUNCTION("""COMPUTED_VALUE"""),"")</f>
        <v/>
      </c>
      <c r="J337" s="6" t="str">
        <f ca="1">IFERROR(__xludf.DUMMYFUNCTION("""COMPUTED_VALUE"""),"")</f>
        <v/>
      </c>
    </row>
    <row r="338" spans="1:10" x14ac:dyDescent="0.2">
      <c r="A338" s="6" t="str">
        <f ca="1">IFERROR(__xludf.DUMMYFUNCTION("""COMPUTED_VALUE"""),"")</f>
        <v/>
      </c>
      <c r="B338" s="6" t="str">
        <f ca="1">IFERROR(__xludf.DUMMYFUNCTION("""COMPUTED_VALUE"""),"")</f>
        <v/>
      </c>
      <c r="C338" s="6" t="str">
        <f ca="1">IFERROR(__xludf.DUMMYFUNCTION("""COMPUTED_VALUE"""),"")</f>
        <v/>
      </c>
      <c r="D338" s="6" t="str">
        <f ca="1">IFERROR(__xludf.DUMMYFUNCTION("""COMPUTED_VALUE"""),"")</f>
        <v/>
      </c>
      <c r="E338" s="6" t="str">
        <f ca="1">IFERROR(__xludf.DUMMYFUNCTION("""COMPUTED_VALUE"""),"")</f>
        <v/>
      </c>
      <c r="F338" s="6" t="str">
        <f ca="1">IFERROR(__xludf.DUMMYFUNCTION("""COMPUTED_VALUE"""),"")</f>
        <v/>
      </c>
      <c r="G338" s="6" t="str">
        <f ca="1">IFERROR(__xludf.DUMMYFUNCTION("""COMPUTED_VALUE"""),"")</f>
        <v/>
      </c>
      <c r="H338" s="6" t="str">
        <f ca="1">IFERROR(__xludf.DUMMYFUNCTION("""COMPUTED_VALUE"""),"")</f>
        <v/>
      </c>
      <c r="I338" s="6" t="str">
        <f ca="1">IFERROR(__xludf.DUMMYFUNCTION("""COMPUTED_VALUE"""),"")</f>
        <v/>
      </c>
      <c r="J338" s="6" t="str">
        <f ca="1">IFERROR(__xludf.DUMMYFUNCTION("""COMPUTED_VALUE"""),"")</f>
        <v/>
      </c>
    </row>
    <row r="339" spans="1:10" x14ac:dyDescent="0.2">
      <c r="A339" s="6" t="str">
        <f ca="1">IFERROR(__xludf.DUMMYFUNCTION("""COMPUTED_VALUE"""),"")</f>
        <v/>
      </c>
      <c r="B339" s="6" t="str">
        <f ca="1">IFERROR(__xludf.DUMMYFUNCTION("""COMPUTED_VALUE"""),"")</f>
        <v/>
      </c>
      <c r="C339" s="6" t="str">
        <f ca="1">IFERROR(__xludf.DUMMYFUNCTION("""COMPUTED_VALUE"""),"")</f>
        <v/>
      </c>
      <c r="D339" s="6" t="str">
        <f ca="1">IFERROR(__xludf.DUMMYFUNCTION("""COMPUTED_VALUE"""),"")</f>
        <v/>
      </c>
      <c r="E339" s="6" t="str">
        <f ca="1">IFERROR(__xludf.DUMMYFUNCTION("""COMPUTED_VALUE"""),"")</f>
        <v/>
      </c>
      <c r="F339" s="6" t="str">
        <f ca="1">IFERROR(__xludf.DUMMYFUNCTION("""COMPUTED_VALUE"""),"")</f>
        <v/>
      </c>
      <c r="G339" s="6" t="str">
        <f ca="1">IFERROR(__xludf.DUMMYFUNCTION("""COMPUTED_VALUE"""),"")</f>
        <v/>
      </c>
      <c r="H339" s="6" t="str">
        <f ca="1">IFERROR(__xludf.DUMMYFUNCTION("""COMPUTED_VALUE"""),"")</f>
        <v/>
      </c>
      <c r="I339" s="6" t="str">
        <f ca="1">IFERROR(__xludf.DUMMYFUNCTION("""COMPUTED_VALUE"""),"")</f>
        <v/>
      </c>
      <c r="J339" s="6" t="str">
        <f ca="1">IFERROR(__xludf.DUMMYFUNCTION("""COMPUTED_VALUE"""),"")</f>
        <v/>
      </c>
    </row>
    <row r="340" spans="1:10" x14ac:dyDescent="0.2">
      <c r="A340" s="6" t="str">
        <f ca="1">IFERROR(__xludf.DUMMYFUNCTION("""COMPUTED_VALUE"""),"")</f>
        <v/>
      </c>
      <c r="B340" s="6" t="str">
        <f ca="1">IFERROR(__xludf.DUMMYFUNCTION("""COMPUTED_VALUE"""),"")</f>
        <v/>
      </c>
      <c r="C340" s="6" t="str">
        <f ca="1">IFERROR(__xludf.DUMMYFUNCTION("""COMPUTED_VALUE"""),"")</f>
        <v/>
      </c>
      <c r="D340" s="6" t="str">
        <f ca="1">IFERROR(__xludf.DUMMYFUNCTION("""COMPUTED_VALUE"""),"")</f>
        <v/>
      </c>
      <c r="E340" s="6" t="str">
        <f ca="1">IFERROR(__xludf.DUMMYFUNCTION("""COMPUTED_VALUE"""),"")</f>
        <v/>
      </c>
      <c r="F340" s="6" t="str">
        <f ca="1">IFERROR(__xludf.DUMMYFUNCTION("""COMPUTED_VALUE"""),"")</f>
        <v/>
      </c>
      <c r="G340" s="6" t="str">
        <f ca="1">IFERROR(__xludf.DUMMYFUNCTION("""COMPUTED_VALUE"""),"")</f>
        <v/>
      </c>
      <c r="H340" s="6" t="str">
        <f ca="1">IFERROR(__xludf.DUMMYFUNCTION("""COMPUTED_VALUE"""),"")</f>
        <v/>
      </c>
      <c r="I340" s="6" t="str">
        <f ca="1">IFERROR(__xludf.DUMMYFUNCTION("""COMPUTED_VALUE"""),"")</f>
        <v/>
      </c>
      <c r="J340" s="6" t="str">
        <f ca="1">IFERROR(__xludf.DUMMYFUNCTION("""COMPUTED_VALUE"""),"")</f>
        <v/>
      </c>
    </row>
    <row r="341" spans="1:10" x14ac:dyDescent="0.2">
      <c r="A341" s="6" t="str">
        <f ca="1">IFERROR(__xludf.DUMMYFUNCTION("""COMPUTED_VALUE"""),"")</f>
        <v/>
      </c>
      <c r="B341" s="6" t="str">
        <f ca="1">IFERROR(__xludf.DUMMYFUNCTION("""COMPUTED_VALUE"""),"")</f>
        <v/>
      </c>
      <c r="C341" s="6" t="str">
        <f ca="1">IFERROR(__xludf.DUMMYFUNCTION("""COMPUTED_VALUE"""),"")</f>
        <v/>
      </c>
      <c r="D341" s="6" t="str">
        <f ca="1">IFERROR(__xludf.DUMMYFUNCTION("""COMPUTED_VALUE"""),"")</f>
        <v/>
      </c>
      <c r="E341" s="6" t="str">
        <f ca="1">IFERROR(__xludf.DUMMYFUNCTION("""COMPUTED_VALUE"""),"")</f>
        <v/>
      </c>
      <c r="F341" s="6" t="str">
        <f ca="1">IFERROR(__xludf.DUMMYFUNCTION("""COMPUTED_VALUE"""),"")</f>
        <v/>
      </c>
      <c r="G341" s="6" t="str">
        <f ca="1">IFERROR(__xludf.DUMMYFUNCTION("""COMPUTED_VALUE"""),"")</f>
        <v/>
      </c>
      <c r="H341" s="6" t="str">
        <f ca="1">IFERROR(__xludf.DUMMYFUNCTION("""COMPUTED_VALUE"""),"")</f>
        <v/>
      </c>
      <c r="I341" s="6" t="str">
        <f ca="1">IFERROR(__xludf.DUMMYFUNCTION("""COMPUTED_VALUE"""),"")</f>
        <v/>
      </c>
      <c r="J341" s="6" t="str">
        <f ca="1">IFERROR(__xludf.DUMMYFUNCTION("""COMPUTED_VALUE"""),"")</f>
        <v/>
      </c>
    </row>
    <row r="342" spans="1:10" x14ac:dyDescent="0.2">
      <c r="A342" s="6" t="str">
        <f ca="1">IFERROR(__xludf.DUMMYFUNCTION("""COMPUTED_VALUE"""),"")</f>
        <v/>
      </c>
      <c r="B342" s="6" t="str">
        <f ca="1">IFERROR(__xludf.DUMMYFUNCTION("""COMPUTED_VALUE"""),"")</f>
        <v/>
      </c>
      <c r="C342" s="6" t="str">
        <f ca="1">IFERROR(__xludf.DUMMYFUNCTION("""COMPUTED_VALUE"""),"")</f>
        <v/>
      </c>
      <c r="D342" s="6" t="str">
        <f ca="1">IFERROR(__xludf.DUMMYFUNCTION("""COMPUTED_VALUE"""),"")</f>
        <v/>
      </c>
      <c r="E342" s="6" t="str">
        <f ca="1">IFERROR(__xludf.DUMMYFUNCTION("""COMPUTED_VALUE"""),"")</f>
        <v/>
      </c>
      <c r="F342" s="6" t="str">
        <f ca="1">IFERROR(__xludf.DUMMYFUNCTION("""COMPUTED_VALUE"""),"")</f>
        <v/>
      </c>
      <c r="G342" s="6" t="str">
        <f ca="1">IFERROR(__xludf.DUMMYFUNCTION("""COMPUTED_VALUE"""),"")</f>
        <v/>
      </c>
      <c r="H342" s="6" t="str">
        <f ca="1">IFERROR(__xludf.DUMMYFUNCTION("""COMPUTED_VALUE"""),"")</f>
        <v/>
      </c>
      <c r="I342" s="6" t="str">
        <f ca="1">IFERROR(__xludf.DUMMYFUNCTION("""COMPUTED_VALUE"""),"")</f>
        <v/>
      </c>
      <c r="J342" s="6" t="str">
        <f ca="1">IFERROR(__xludf.DUMMYFUNCTION("""COMPUTED_VALUE"""),"")</f>
        <v/>
      </c>
    </row>
    <row r="343" spans="1:10" x14ac:dyDescent="0.2">
      <c r="A343" s="6" t="str">
        <f ca="1">IFERROR(__xludf.DUMMYFUNCTION("""COMPUTED_VALUE"""),"")</f>
        <v/>
      </c>
      <c r="B343" s="6" t="str">
        <f ca="1">IFERROR(__xludf.DUMMYFUNCTION("""COMPUTED_VALUE"""),"")</f>
        <v/>
      </c>
      <c r="C343" s="6" t="str">
        <f ca="1">IFERROR(__xludf.DUMMYFUNCTION("""COMPUTED_VALUE"""),"")</f>
        <v/>
      </c>
      <c r="D343" s="6" t="str">
        <f ca="1">IFERROR(__xludf.DUMMYFUNCTION("""COMPUTED_VALUE"""),"")</f>
        <v/>
      </c>
      <c r="E343" s="6" t="str">
        <f ca="1">IFERROR(__xludf.DUMMYFUNCTION("""COMPUTED_VALUE"""),"")</f>
        <v/>
      </c>
      <c r="F343" s="6" t="str">
        <f ca="1">IFERROR(__xludf.DUMMYFUNCTION("""COMPUTED_VALUE"""),"")</f>
        <v/>
      </c>
      <c r="G343" s="6" t="str">
        <f ca="1">IFERROR(__xludf.DUMMYFUNCTION("""COMPUTED_VALUE"""),"")</f>
        <v/>
      </c>
      <c r="H343" s="6" t="str">
        <f ca="1">IFERROR(__xludf.DUMMYFUNCTION("""COMPUTED_VALUE"""),"")</f>
        <v/>
      </c>
      <c r="I343" s="6" t="str">
        <f ca="1">IFERROR(__xludf.DUMMYFUNCTION("""COMPUTED_VALUE"""),"")</f>
        <v/>
      </c>
      <c r="J343" s="6" t="str">
        <f ca="1">IFERROR(__xludf.DUMMYFUNCTION("""COMPUTED_VALUE"""),"")</f>
        <v/>
      </c>
    </row>
    <row r="344" spans="1:10" x14ac:dyDescent="0.2">
      <c r="A344" s="6" t="str">
        <f ca="1">IFERROR(__xludf.DUMMYFUNCTION("""COMPUTED_VALUE"""),"")</f>
        <v/>
      </c>
      <c r="B344" s="6" t="str">
        <f ca="1">IFERROR(__xludf.DUMMYFUNCTION("""COMPUTED_VALUE"""),"")</f>
        <v/>
      </c>
      <c r="C344" s="6" t="str">
        <f ca="1">IFERROR(__xludf.DUMMYFUNCTION("""COMPUTED_VALUE"""),"")</f>
        <v/>
      </c>
      <c r="D344" s="6" t="str">
        <f ca="1">IFERROR(__xludf.DUMMYFUNCTION("""COMPUTED_VALUE"""),"")</f>
        <v/>
      </c>
      <c r="E344" s="6" t="str">
        <f ca="1">IFERROR(__xludf.DUMMYFUNCTION("""COMPUTED_VALUE"""),"")</f>
        <v/>
      </c>
      <c r="F344" s="6" t="str">
        <f ca="1">IFERROR(__xludf.DUMMYFUNCTION("""COMPUTED_VALUE"""),"")</f>
        <v/>
      </c>
      <c r="G344" s="6" t="str">
        <f ca="1">IFERROR(__xludf.DUMMYFUNCTION("""COMPUTED_VALUE"""),"")</f>
        <v/>
      </c>
      <c r="H344" s="6" t="str">
        <f ca="1">IFERROR(__xludf.DUMMYFUNCTION("""COMPUTED_VALUE"""),"")</f>
        <v/>
      </c>
      <c r="I344" s="6" t="str">
        <f ca="1">IFERROR(__xludf.DUMMYFUNCTION("""COMPUTED_VALUE"""),"")</f>
        <v/>
      </c>
      <c r="J344" s="6" t="str">
        <f ca="1">IFERROR(__xludf.DUMMYFUNCTION("""COMPUTED_VALUE"""),"")</f>
        <v/>
      </c>
    </row>
    <row r="345" spans="1:10" x14ac:dyDescent="0.2">
      <c r="A345" s="6" t="str">
        <f ca="1">IFERROR(__xludf.DUMMYFUNCTION("""COMPUTED_VALUE"""),"")</f>
        <v/>
      </c>
      <c r="B345" s="6" t="str">
        <f ca="1">IFERROR(__xludf.DUMMYFUNCTION("""COMPUTED_VALUE"""),"")</f>
        <v/>
      </c>
      <c r="C345" s="6" t="str">
        <f ca="1">IFERROR(__xludf.DUMMYFUNCTION("""COMPUTED_VALUE"""),"")</f>
        <v/>
      </c>
      <c r="D345" s="6" t="str">
        <f ca="1">IFERROR(__xludf.DUMMYFUNCTION("""COMPUTED_VALUE"""),"")</f>
        <v/>
      </c>
      <c r="E345" s="6" t="str">
        <f ca="1">IFERROR(__xludf.DUMMYFUNCTION("""COMPUTED_VALUE"""),"")</f>
        <v/>
      </c>
      <c r="F345" s="6" t="str">
        <f ca="1">IFERROR(__xludf.DUMMYFUNCTION("""COMPUTED_VALUE"""),"")</f>
        <v/>
      </c>
      <c r="G345" s="6" t="str">
        <f ca="1">IFERROR(__xludf.DUMMYFUNCTION("""COMPUTED_VALUE"""),"")</f>
        <v/>
      </c>
      <c r="H345" s="6" t="str">
        <f ca="1">IFERROR(__xludf.DUMMYFUNCTION("""COMPUTED_VALUE"""),"")</f>
        <v/>
      </c>
      <c r="I345" s="6" t="str">
        <f ca="1">IFERROR(__xludf.DUMMYFUNCTION("""COMPUTED_VALUE"""),"")</f>
        <v/>
      </c>
      <c r="J345" s="6" t="str">
        <f ca="1">IFERROR(__xludf.DUMMYFUNCTION("""COMPUTED_VALUE"""),"")</f>
        <v/>
      </c>
    </row>
    <row r="346" spans="1:10" x14ac:dyDescent="0.2">
      <c r="A346" s="6" t="str">
        <f ca="1">IFERROR(__xludf.DUMMYFUNCTION("""COMPUTED_VALUE"""),"")</f>
        <v/>
      </c>
      <c r="B346" s="6" t="str">
        <f ca="1">IFERROR(__xludf.DUMMYFUNCTION("""COMPUTED_VALUE"""),"")</f>
        <v/>
      </c>
      <c r="C346" s="6" t="str">
        <f ca="1">IFERROR(__xludf.DUMMYFUNCTION("""COMPUTED_VALUE"""),"")</f>
        <v/>
      </c>
      <c r="D346" s="6" t="str">
        <f ca="1">IFERROR(__xludf.DUMMYFUNCTION("""COMPUTED_VALUE"""),"")</f>
        <v/>
      </c>
      <c r="E346" s="6" t="str">
        <f ca="1">IFERROR(__xludf.DUMMYFUNCTION("""COMPUTED_VALUE"""),"")</f>
        <v/>
      </c>
      <c r="F346" s="6" t="str">
        <f ca="1">IFERROR(__xludf.DUMMYFUNCTION("""COMPUTED_VALUE"""),"")</f>
        <v/>
      </c>
      <c r="G346" s="6" t="str">
        <f ca="1">IFERROR(__xludf.DUMMYFUNCTION("""COMPUTED_VALUE"""),"")</f>
        <v/>
      </c>
      <c r="H346" s="6" t="str">
        <f ca="1">IFERROR(__xludf.DUMMYFUNCTION("""COMPUTED_VALUE"""),"")</f>
        <v/>
      </c>
      <c r="I346" s="6" t="str">
        <f ca="1">IFERROR(__xludf.DUMMYFUNCTION("""COMPUTED_VALUE"""),"")</f>
        <v/>
      </c>
      <c r="J346" s="6" t="str">
        <f ca="1">IFERROR(__xludf.DUMMYFUNCTION("""COMPUTED_VALUE"""),"")</f>
        <v/>
      </c>
    </row>
    <row r="347" spans="1:10" x14ac:dyDescent="0.2">
      <c r="A347" s="6" t="str">
        <f ca="1">IFERROR(__xludf.DUMMYFUNCTION("""COMPUTED_VALUE"""),"")</f>
        <v/>
      </c>
      <c r="B347" s="6" t="str">
        <f ca="1">IFERROR(__xludf.DUMMYFUNCTION("""COMPUTED_VALUE"""),"")</f>
        <v/>
      </c>
      <c r="C347" s="6" t="str">
        <f ca="1">IFERROR(__xludf.DUMMYFUNCTION("""COMPUTED_VALUE"""),"")</f>
        <v/>
      </c>
      <c r="D347" s="6" t="str">
        <f ca="1">IFERROR(__xludf.DUMMYFUNCTION("""COMPUTED_VALUE"""),"")</f>
        <v/>
      </c>
      <c r="E347" s="6" t="str">
        <f ca="1">IFERROR(__xludf.DUMMYFUNCTION("""COMPUTED_VALUE"""),"")</f>
        <v/>
      </c>
      <c r="F347" s="6" t="str">
        <f ca="1">IFERROR(__xludf.DUMMYFUNCTION("""COMPUTED_VALUE"""),"")</f>
        <v/>
      </c>
      <c r="G347" s="6" t="str">
        <f ca="1">IFERROR(__xludf.DUMMYFUNCTION("""COMPUTED_VALUE"""),"")</f>
        <v/>
      </c>
      <c r="H347" s="6" t="str">
        <f ca="1">IFERROR(__xludf.DUMMYFUNCTION("""COMPUTED_VALUE"""),"")</f>
        <v/>
      </c>
      <c r="I347" s="6" t="str">
        <f ca="1">IFERROR(__xludf.DUMMYFUNCTION("""COMPUTED_VALUE"""),"")</f>
        <v/>
      </c>
      <c r="J347" s="6" t="str">
        <f ca="1">IFERROR(__xludf.DUMMYFUNCTION("""COMPUTED_VALUE"""),"")</f>
        <v/>
      </c>
    </row>
    <row r="348" spans="1:10" x14ac:dyDescent="0.2">
      <c r="A348" s="6" t="str">
        <f ca="1">IFERROR(__xludf.DUMMYFUNCTION("""COMPUTED_VALUE"""),"")</f>
        <v/>
      </c>
      <c r="B348" s="6" t="str">
        <f ca="1">IFERROR(__xludf.DUMMYFUNCTION("""COMPUTED_VALUE"""),"")</f>
        <v/>
      </c>
      <c r="C348" s="6" t="str">
        <f ca="1">IFERROR(__xludf.DUMMYFUNCTION("""COMPUTED_VALUE"""),"")</f>
        <v/>
      </c>
      <c r="D348" s="6" t="str">
        <f ca="1">IFERROR(__xludf.DUMMYFUNCTION("""COMPUTED_VALUE"""),"")</f>
        <v/>
      </c>
      <c r="E348" s="6" t="str">
        <f ca="1">IFERROR(__xludf.DUMMYFUNCTION("""COMPUTED_VALUE"""),"")</f>
        <v/>
      </c>
      <c r="F348" s="6" t="str">
        <f ca="1">IFERROR(__xludf.DUMMYFUNCTION("""COMPUTED_VALUE"""),"")</f>
        <v/>
      </c>
      <c r="G348" s="6" t="str">
        <f ca="1">IFERROR(__xludf.DUMMYFUNCTION("""COMPUTED_VALUE"""),"")</f>
        <v/>
      </c>
      <c r="H348" s="6" t="str">
        <f ca="1">IFERROR(__xludf.DUMMYFUNCTION("""COMPUTED_VALUE"""),"")</f>
        <v/>
      </c>
      <c r="I348" s="6" t="str">
        <f ca="1">IFERROR(__xludf.DUMMYFUNCTION("""COMPUTED_VALUE"""),"")</f>
        <v/>
      </c>
      <c r="J348" s="6" t="str">
        <f ca="1">IFERROR(__xludf.DUMMYFUNCTION("""COMPUTED_VALUE"""),"")</f>
        <v/>
      </c>
    </row>
    <row r="349" spans="1:10" x14ac:dyDescent="0.2">
      <c r="A349" s="6" t="str">
        <f ca="1">IFERROR(__xludf.DUMMYFUNCTION("""COMPUTED_VALUE"""),"")</f>
        <v/>
      </c>
      <c r="B349" s="6" t="str">
        <f ca="1">IFERROR(__xludf.DUMMYFUNCTION("""COMPUTED_VALUE"""),"")</f>
        <v/>
      </c>
      <c r="C349" s="6" t="str">
        <f ca="1">IFERROR(__xludf.DUMMYFUNCTION("""COMPUTED_VALUE"""),"")</f>
        <v/>
      </c>
      <c r="D349" s="6" t="str">
        <f ca="1">IFERROR(__xludf.DUMMYFUNCTION("""COMPUTED_VALUE"""),"")</f>
        <v/>
      </c>
      <c r="E349" s="6" t="str">
        <f ca="1">IFERROR(__xludf.DUMMYFUNCTION("""COMPUTED_VALUE"""),"")</f>
        <v/>
      </c>
      <c r="F349" s="6" t="str">
        <f ca="1">IFERROR(__xludf.DUMMYFUNCTION("""COMPUTED_VALUE"""),"")</f>
        <v/>
      </c>
      <c r="G349" s="6" t="str">
        <f ca="1">IFERROR(__xludf.DUMMYFUNCTION("""COMPUTED_VALUE"""),"")</f>
        <v/>
      </c>
      <c r="H349" s="6" t="str">
        <f ca="1">IFERROR(__xludf.DUMMYFUNCTION("""COMPUTED_VALUE"""),"")</f>
        <v/>
      </c>
      <c r="I349" s="6" t="str">
        <f ca="1">IFERROR(__xludf.DUMMYFUNCTION("""COMPUTED_VALUE"""),"")</f>
        <v/>
      </c>
      <c r="J349" s="6" t="str">
        <f ca="1">IFERROR(__xludf.DUMMYFUNCTION("""COMPUTED_VALUE"""),"")</f>
        <v/>
      </c>
    </row>
    <row r="350" spans="1:10" x14ac:dyDescent="0.2">
      <c r="A350" s="6" t="str">
        <f ca="1">IFERROR(__xludf.DUMMYFUNCTION("""COMPUTED_VALUE"""),"")</f>
        <v/>
      </c>
      <c r="B350" s="6" t="str">
        <f ca="1">IFERROR(__xludf.DUMMYFUNCTION("""COMPUTED_VALUE"""),"")</f>
        <v/>
      </c>
      <c r="C350" s="6" t="str">
        <f ca="1">IFERROR(__xludf.DUMMYFUNCTION("""COMPUTED_VALUE"""),"")</f>
        <v/>
      </c>
      <c r="D350" s="6" t="str">
        <f ca="1">IFERROR(__xludf.DUMMYFUNCTION("""COMPUTED_VALUE"""),"")</f>
        <v/>
      </c>
      <c r="E350" s="6" t="str">
        <f ca="1">IFERROR(__xludf.DUMMYFUNCTION("""COMPUTED_VALUE"""),"")</f>
        <v/>
      </c>
      <c r="F350" s="6" t="str">
        <f ca="1">IFERROR(__xludf.DUMMYFUNCTION("""COMPUTED_VALUE"""),"")</f>
        <v/>
      </c>
      <c r="G350" s="6" t="str">
        <f ca="1">IFERROR(__xludf.DUMMYFUNCTION("""COMPUTED_VALUE"""),"")</f>
        <v/>
      </c>
      <c r="H350" s="6" t="str">
        <f ca="1">IFERROR(__xludf.DUMMYFUNCTION("""COMPUTED_VALUE"""),"")</f>
        <v/>
      </c>
      <c r="I350" s="6" t="str">
        <f ca="1">IFERROR(__xludf.DUMMYFUNCTION("""COMPUTED_VALUE"""),"")</f>
        <v/>
      </c>
      <c r="J350" s="6" t="str">
        <f ca="1">IFERROR(__xludf.DUMMYFUNCTION("""COMPUTED_VALUE"""),"")</f>
        <v/>
      </c>
    </row>
    <row r="351" spans="1:10" x14ac:dyDescent="0.2">
      <c r="A351" s="6" t="str">
        <f ca="1">IFERROR(__xludf.DUMMYFUNCTION("""COMPUTED_VALUE"""),"")</f>
        <v/>
      </c>
      <c r="B351" s="6" t="str">
        <f ca="1">IFERROR(__xludf.DUMMYFUNCTION("""COMPUTED_VALUE"""),"")</f>
        <v/>
      </c>
      <c r="C351" s="6" t="str">
        <f ca="1">IFERROR(__xludf.DUMMYFUNCTION("""COMPUTED_VALUE"""),"")</f>
        <v/>
      </c>
      <c r="D351" s="6" t="str">
        <f ca="1">IFERROR(__xludf.DUMMYFUNCTION("""COMPUTED_VALUE"""),"")</f>
        <v/>
      </c>
      <c r="E351" s="6" t="str">
        <f ca="1">IFERROR(__xludf.DUMMYFUNCTION("""COMPUTED_VALUE"""),"")</f>
        <v/>
      </c>
      <c r="F351" s="6" t="str">
        <f ca="1">IFERROR(__xludf.DUMMYFUNCTION("""COMPUTED_VALUE"""),"")</f>
        <v/>
      </c>
      <c r="G351" s="6" t="str">
        <f ca="1">IFERROR(__xludf.DUMMYFUNCTION("""COMPUTED_VALUE"""),"")</f>
        <v/>
      </c>
      <c r="H351" s="6" t="str">
        <f ca="1">IFERROR(__xludf.DUMMYFUNCTION("""COMPUTED_VALUE"""),"")</f>
        <v/>
      </c>
      <c r="I351" s="6" t="str">
        <f ca="1">IFERROR(__xludf.DUMMYFUNCTION("""COMPUTED_VALUE"""),"")</f>
        <v/>
      </c>
      <c r="J351" s="6" t="str">
        <f ca="1">IFERROR(__xludf.DUMMYFUNCTION("""COMPUTED_VALUE"""),"")</f>
        <v/>
      </c>
    </row>
    <row r="352" spans="1:10" x14ac:dyDescent="0.2">
      <c r="A352" s="6" t="str">
        <f ca="1">IFERROR(__xludf.DUMMYFUNCTION("""COMPUTED_VALUE"""),"")</f>
        <v/>
      </c>
      <c r="B352" s="6" t="str">
        <f ca="1">IFERROR(__xludf.DUMMYFUNCTION("""COMPUTED_VALUE"""),"")</f>
        <v/>
      </c>
      <c r="C352" s="6" t="str">
        <f ca="1">IFERROR(__xludf.DUMMYFUNCTION("""COMPUTED_VALUE"""),"")</f>
        <v/>
      </c>
      <c r="D352" s="6" t="str">
        <f ca="1">IFERROR(__xludf.DUMMYFUNCTION("""COMPUTED_VALUE"""),"")</f>
        <v/>
      </c>
      <c r="E352" s="6" t="str">
        <f ca="1">IFERROR(__xludf.DUMMYFUNCTION("""COMPUTED_VALUE"""),"")</f>
        <v/>
      </c>
      <c r="F352" s="6" t="str">
        <f ca="1">IFERROR(__xludf.DUMMYFUNCTION("""COMPUTED_VALUE"""),"")</f>
        <v/>
      </c>
      <c r="G352" s="6" t="str">
        <f ca="1">IFERROR(__xludf.DUMMYFUNCTION("""COMPUTED_VALUE"""),"")</f>
        <v/>
      </c>
      <c r="H352" s="6" t="str">
        <f ca="1">IFERROR(__xludf.DUMMYFUNCTION("""COMPUTED_VALUE"""),"")</f>
        <v/>
      </c>
      <c r="I352" s="6" t="str">
        <f ca="1">IFERROR(__xludf.DUMMYFUNCTION("""COMPUTED_VALUE"""),"")</f>
        <v/>
      </c>
      <c r="J352" s="6" t="str">
        <f ca="1">IFERROR(__xludf.DUMMYFUNCTION("""COMPUTED_VALUE"""),"")</f>
        <v/>
      </c>
    </row>
    <row r="353" spans="1:10" x14ac:dyDescent="0.2">
      <c r="A353" s="6" t="str">
        <f ca="1">IFERROR(__xludf.DUMMYFUNCTION("""COMPUTED_VALUE"""),"")</f>
        <v/>
      </c>
      <c r="B353" s="6" t="str">
        <f ca="1">IFERROR(__xludf.DUMMYFUNCTION("""COMPUTED_VALUE"""),"")</f>
        <v/>
      </c>
      <c r="C353" s="6" t="str">
        <f ca="1">IFERROR(__xludf.DUMMYFUNCTION("""COMPUTED_VALUE"""),"")</f>
        <v/>
      </c>
      <c r="D353" s="6" t="str">
        <f ca="1">IFERROR(__xludf.DUMMYFUNCTION("""COMPUTED_VALUE"""),"")</f>
        <v/>
      </c>
      <c r="E353" s="6" t="str">
        <f ca="1">IFERROR(__xludf.DUMMYFUNCTION("""COMPUTED_VALUE"""),"")</f>
        <v/>
      </c>
      <c r="F353" s="6" t="str">
        <f ca="1">IFERROR(__xludf.DUMMYFUNCTION("""COMPUTED_VALUE"""),"")</f>
        <v/>
      </c>
      <c r="G353" s="6" t="str">
        <f ca="1">IFERROR(__xludf.DUMMYFUNCTION("""COMPUTED_VALUE"""),"")</f>
        <v/>
      </c>
      <c r="H353" s="6" t="str">
        <f ca="1">IFERROR(__xludf.DUMMYFUNCTION("""COMPUTED_VALUE"""),"")</f>
        <v/>
      </c>
      <c r="I353" s="6" t="str">
        <f ca="1">IFERROR(__xludf.DUMMYFUNCTION("""COMPUTED_VALUE"""),"")</f>
        <v/>
      </c>
      <c r="J353" s="6" t="str">
        <f ca="1">IFERROR(__xludf.DUMMYFUNCTION("""COMPUTED_VALUE"""),"")</f>
        <v/>
      </c>
    </row>
    <row r="354" spans="1:10" x14ac:dyDescent="0.2">
      <c r="A354" s="6" t="str">
        <f ca="1">IFERROR(__xludf.DUMMYFUNCTION("""COMPUTED_VALUE"""),"")</f>
        <v/>
      </c>
      <c r="B354" s="6" t="str">
        <f ca="1">IFERROR(__xludf.DUMMYFUNCTION("""COMPUTED_VALUE"""),"")</f>
        <v/>
      </c>
      <c r="C354" s="6" t="str">
        <f ca="1">IFERROR(__xludf.DUMMYFUNCTION("""COMPUTED_VALUE"""),"")</f>
        <v/>
      </c>
      <c r="D354" s="6" t="str">
        <f ca="1">IFERROR(__xludf.DUMMYFUNCTION("""COMPUTED_VALUE"""),"")</f>
        <v/>
      </c>
      <c r="E354" s="6" t="str">
        <f ca="1">IFERROR(__xludf.DUMMYFUNCTION("""COMPUTED_VALUE"""),"")</f>
        <v/>
      </c>
      <c r="F354" s="6" t="str">
        <f ca="1">IFERROR(__xludf.DUMMYFUNCTION("""COMPUTED_VALUE"""),"")</f>
        <v/>
      </c>
      <c r="G354" s="6" t="str">
        <f ca="1">IFERROR(__xludf.DUMMYFUNCTION("""COMPUTED_VALUE"""),"")</f>
        <v/>
      </c>
      <c r="H354" s="6" t="str">
        <f ca="1">IFERROR(__xludf.DUMMYFUNCTION("""COMPUTED_VALUE"""),"")</f>
        <v/>
      </c>
      <c r="I354" s="6" t="str">
        <f ca="1">IFERROR(__xludf.DUMMYFUNCTION("""COMPUTED_VALUE"""),"")</f>
        <v/>
      </c>
      <c r="J354" s="6" t="str">
        <f ca="1">IFERROR(__xludf.DUMMYFUNCTION("""COMPUTED_VALUE"""),"")</f>
        <v/>
      </c>
    </row>
    <row r="355" spans="1:10" x14ac:dyDescent="0.2">
      <c r="A355" s="6" t="str">
        <f ca="1">IFERROR(__xludf.DUMMYFUNCTION("""COMPUTED_VALUE"""),"")</f>
        <v/>
      </c>
      <c r="B355" s="6" t="str">
        <f ca="1">IFERROR(__xludf.DUMMYFUNCTION("""COMPUTED_VALUE"""),"")</f>
        <v/>
      </c>
      <c r="C355" s="6" t="str">
        <f ca="1">IFERROR(__xludf.DUMMYFUNCTION("""COMPUTED_VALUE"""),"")</f>
        <v/>
      </c>
      <c r="D355" s="6" t="str">
        <f ca="1">IFERROR(__xludf.DUMMYFUNCTION("""COMPUTED_VALUE"""),"")</f>
        <v/>
      </c>
      <c r="E355" s="6" t="str">
        <f ca="1">IFERROR(__xludf.DUMMYFUNCTION("""COMPUTED_VALUE"""),"")</f>
        <v/>
      </c>
      <c r="F355" s="6" t="str">
        <f ca="1">IFERROR(__xludf.DUMMYFUNCTION("""COMPUTED_VALUE"""),"")</f>
        <v/>
      </c>
      <c r="G355" s="6" t="str">
        <f ca="1">IFERROR(__xludf.DUMMYFUNCTION("""COMPUTED_VALUE"""),"")</f>
        <v/>
      </c>
      <c r="H355" s="6" t="str">
        <f ca="1">IFERROR(__xludf.DUMMYFUNCTION("""COMPUTED_VALUE"""),"")</f>
        <v/>
      </c>
      <c r="I355" s="6" t="str">
        <f ca="1">IFERROR(__xludf.DUMMYFUNCTION("""COMPUTED_VALUE"""),"")</f>
        <v/>
      </c>
      <c r="J355" s="6" t="str">
        <f ca="1">IFERROR(__xludf.DUMMYFUNCTION("""COMPUTED_VALUE"""),"")</f>
        <v/>
      </c>
    </row>
    <row r="356" spans="1:10" x14ac:dyDescent="0.2">
      <c r="A356" s="6" t="str">
        <f ca="1">IFERROR(__xludf.DUMMYFUNCTION("""COMPUTED_VALUE"""),"")</f>
        <v/>
      </c>
      <c r="B356" s="6" t="str">
        <f ca="1">IFERROR(__xludf.DUMMYFUNCTION("""COMPUTED_VALUE"""),"")</f>
        <v/>
      </c>
      <c r="C356" s="6" t="str">
        <f ca="1">IFERROR(__xludf.DUMMYFUNCTION("""COMPUTED_VALUE"""),"")</f>
        <v/>
      </c>
      <c r="D356" s="6" t="str">
        <f ca="1">IFERROR(__xludf.DUMMYFUNCTION("""COMPUTED_VALUE"""),"")</f>
        <v/>
      </c>
      <c r="E356" s="6" t="str">
        <f ca="1">IFERROR(__xludf.DUMMYFUNCTION("""COMPUTED_VALUE"""),"")</f>
        <v/>
      </c>
      <c r="F356" s="6" t="str">
        <f ca="1">IFERROR(__xludf.DUMMYFUNCTION("""COMPUTED_VALUE"""),"")</f>
        <v/>
      </c>
      <c r="G356" s="6" t="str">
        <f ca="1">IFERROR(__xludf.DUMMYFUNCTION("""COMPUTED_VALUE"""),"")</f>
        <v/>
      </c>
      <c r="H356" s="6" t="str">
        <f ca="1">IFERROR(__xludf.DUMMYFUNCTION("""COMPUTED_VALUE"""),"")</f>
        <v/>
      </c>
      <c r="I356" s="6" t="str">
        <f ca="1">IFERROR(__xludf.DUMMYFUNCTION("""COMPUTED_VALUE"""),"")</f>
        <v/>
      </c>
      <c r="J356" s="6" t="str">
        <f ca="1">IFERROR(__xludf.DUMMYFUNCTION("""COMPUTED_VALUE"""),"")</f>
        <v/>
      </c>
    </row>
    <row r="357" spans="1:10" x14ac:dyDescent="0.2">
      <c r="A357" s="6" t="str">
        <f ca="1">IFERROR(__xludf.DUMMYFUNCTION("""COMPUTED_VALUE"""),"")</f>
        <v/>
      </c>
      <c r="B357" s="6" t="str">
        <f ca="1">IFERROR(__xludf.DUMMYFUNCTION("""COMPUTED_VALUE"""),"")</f>
        <v/>
      </c>
      <c r="C357" s="6" t="str">
        <f ca="1">IFERROR(__xludf.DUMMYFUNCTION("""COMPUTED_VALUE"""),"")</f>
        <v/>
      </c>
      <c r="D357" s="6" t="str">
        <f ca="1">IFERROR(__xludf.DUMMYFUNCTION("""COMPUTED_VALUE"""),"")</f>
        <v/>
      </c>
      <c r="E357" s="6" t="str">
        <f ca="1">IFERROR(__xludf.DUMMYFUNCTION("""COMPUTED_VALUE"""),"")</f>
        <v/>
      </c>
      <c r="F357" s="6" t="str">
        <f ca="1">IFERROR(__xludf.DUMMYFUNCTION("""COMPUTED_VALUE"""),"")</f>
        <v/>
      </c>
      <c r="G357" s="6" t="str">
        <f ca="1">IFERROR(__xludf.DUMMYFUNCTION("""COMPUTED_VALUE"""),"")</f>
        <v/>
      </c>
      <c r="H357" s="6" t="str">
        <f ca="1">IFERROR(__xludf.DUMMYFUNCTION("""COMPUTED_VALUE"""),"")</f>
        <v/>
      </c>
      <c r="I357" s="6" t="str">
        <f ca="1">IFERROR(__xludf.DUMMYFUNCTION("""COMPUTED_VALUE"""),"")</f>
        <v/>
      </c>
      <c r="J357" s="6" t="str">
        <f ca="1">IFERROR(__xludf.DUMMYFUNCTION("""COMPUTED_VALUE"""),"")</f>
        <v/>
      </c>
    </row>
    <row r="358" spans="1:10" x14ac:dyDescent="0.2">
      <c r="A358" s="6" t="str">
        <f ca="1">IFERROR(__xludf.DUMMYFUNCTION("""COMPUTED_VALUE"""),"")</f>
        <v/>
      </c>
      <c r="B358" s="6" t="str">
        <f ca="1">IFERROR(__xludf.DUMMYFUNCTION("""COMPUTED_VALUE"""),"")</f>
        <v/>
      </c>
      <c r="C358" s="6" t="str">
        <f ca="1">IFERROR(__xludf.DUMMYFUNCTION("""COMPUTED_VALUE"""),"")</f>
        <v/>
      </c>
      <c r="D358" s="6" t="str">
        <f ca="1">IFERROR(__xludf.DUMMYFUNCTION("""COMPUTED_VALUE"""),"")</f>
        <v/>
      </c>
      <c r="E358" s="6" t="str">
        <f ca="1">IFERROR(__xludf.DUMMYFUNCTION("""COMPUTED_VALUE"""),"")</f>
        <v/>
      </c>
      <c r="F358" s="6" t="str">
        <f ca="1">IFERROR(__xludf.DUMMYFUNCTION("""COMPUTED_VALUE"""),"")</f>
        <v/>
      </c>
      <c r="G358" s="6" t="str">
        <f ca="1">IFERROR(__xludf.DUMMYFUNCTION("""COMPUTED_VALUE"""),"")</f>
        <v/>
      </c>
      <c r="H358" s="6" t="str">
        <f ca="1">IFERROR(__xludf.DUMMYFUNCTION("""COMPUTED_VALUE"""),"")</f>
        <v/>
      </c>
      <c r="I358" s="6" t="str">
        <f ca="1">IFERROR(__xludf.DUMMYFUNCTION("""COMPUTED_VALUE"""),"")</f>
        <v/>
      </c>
      <c r="J358" s="6" t="str">
        <f ca="1">IFERROR(__xludf.DUMMYFUNCTION("""COMPUTED_VALUE"""),"")</f>
        <v/>
      </c>
    </row>
    <row r="359" spans="1:10" x14ac:dyDescent="0.2">
      <c r="A359" s="6" t="str">
        <f ca="1">IFERROR(__xludf.DUMMYFUNCTION("""COMPUTED_VALUE"""),"")</f>
        <v/>
      </c>
      <c r="B359" s="6" t="str">
        <f ca="1">IFERROR(__xludf.DUMMYFUNCTION("""COMPUTED_VALUE"""),"")</f>
        <v/>
      </c>
      <c r="C359" s="6" t="str">
        <f ca="1">IFERROR(__xludf.DUMMYFUNCTION("""COMPUTED_VALUE"""),"")</f>
        <v/>
      </c>
      <c r="D359" s="6" t="str">
        <f ca="1">IFERROR(__xludf.DUMMYFUNCTION("""COMPUTED_VALUE"""),"")</f>
        <v/>
      </c>
      <c r="E359" s="6" t="str">
        <f ca="1">IFERROR(__xludf.DUMMYFUNCTION("""COMPUTED_VALUE"""),"")</f>
        <v/>
      </c>
      <c r="F359" s="6" t="str">
        <f ca="1">IFERROR(__xludf.DUMMYFUNCTION("""COMPUTED_VALUE"""),"")</f>
        <v/>
      </c>
      <c r="G359" s="6" t="str">
        <f ca="1">IFERROR(__xludf.DUMMYFUNCTION("""COMPUTED_VALUE"""),"")</f>
        <v/>
      </c>
      <c r="H359" s="6" t="str">
        <f ca="1">IFERROR(__xludf.DUMMYFUNCTION("""COMPUTED_VALUE"""),"")</f>
        <v/>
      </c>
      <c r="I359" s="6" t="str">
        <f ca="1">IFERROR(__xludf.DUMMYFUNCTION("""COMPUTED_VALUE"""),"")</f>
        <v/>
      </c>
      <c r="J359" s="6" t="str">
        <f ca="1">IFERROR(__xludf.DUMMYFUNCTION("""COMPUTED_VALUE"""),"")</f>
        <v/>
      </c>
    </row>
    <row r="360" spans="1:10" x14ac:dyDescent="0.2">
      <c r="A360" s="6" t="str">
        <f ca="1">IFERROR(__xludf.DUMMYFUNCTION("""COMPUTED_VALUE"""),"")</f>
        <v/>
      </c>
      <c r="B360" s="6" t="str">
        <f ca="1">IFERROR(__xludf.DUMMYFUNCTION("""COMPUTED_VALUE"""),"")</f>
        <v/>
      </c>
      <c r="C360" s="6" t="str">
        <f ca="1">IFERROR(__xludf.DUMMYFUNCTION("""COMPUTED_VALUE"""),"")</f>
        <v/>
      </c>
      <c r="D360" s="6" t="str">
        <f ca="1">IFERROR(__xludf.DUMMYFUNCTION("""COMPUTED_VALUE"""),"")</f>
        <v/>
      </c>
      <c r="E360" s="6" t="str">
        <f ca="1">IFERROR(__xludf.DUMMYFUNCTION("""COMPUTED_VALUE"""),"")</f>
        <v/>
      </c>
      <c r="F360" s="6" t="str">
        <f ca="1">IFERROR(__xludf.DUMMYFUNCTION("""COMPUTED_VALUE"""),"")</f>
        <v/>
      </c>
      <c r="G360" s="6" t="str">
        <f ca="1">IFERROR(__xludf.DUMMYFUNCTION("""COMPUTED_VALUE"""),"")</f>
        <v/>
      </c>
      <c r="H360" s="6" t="str">
        <f ca="1">IFERROR(__xludf.DUMMYFUNCTION("""COMPUTED_VALUE"""),"")</f>
        <v/>
      </c>
      <c r="I360" s="6" t="str">
        <f ca="1">IFERROR(__xludf.DUMMYFUNCTION("""COMPUTED_VALUE"""),"")</f>
        <v/>
      </c>
      <c r="J360" s="6" t="str">
        <f ca="1">IFERROR(__xludf.DUMMYFUNCTION("""COMPUTED_VALUE"""),"")</f>
        <v/>
      </c>
    </row>
    <row r="361" spans="1:10" x14ac:dyDescent="0.2">
      <c r="A361" s="6" t="str">
        <f ca="1">IFERROR(__xludf.DUMMYFUNCTION("""COMPUTED_VALUE"""),"")</f>
        <v/>
      </c>
      <c r="B361" s="6" t="str">
        <f ca="1">IFERROR(__xludf.DUMMYFUNCTION("""COMPUTED_VALUE"""),"")</f>
        <v/>
      </c>
      <c r="C361" s="6" t="str">
        <f ca="1">IFERROR(__xludf.DUMMYFUNCTION("""COMPUTED_VALUE"""),"")</f>
        <v/>
      </c>
      <c r="D361" s="6" t="str">
        <f ca="1">IFERROR(__xludf.DUMMYFUNCTION("""COMPUTED_VALUE"""),"")</f>
        <v/>
      </c>
      <c r="E361" s="6" t="str">
        <f ca="1">IFERROR(__xludf.DUMMYFUNCTION("""COMPUTED_VALUE"""),"")</f>
        <v/>
      </c>
      <c r="F361" s="6" t="str">
        <f ca="1">IFERROR(__xludf.DUMMYFUNCTION("""COMPUTED_VALUE"""),"")</f>
        <v/>
      </c>
      <c r="G361" s="6" t="str">
        <f ca="1">IFERROR(__xludf.DUMMYFUNCTION("""COMPUTED_VALUE"""),"")</f>
        <v/>
      </c>
      <c r="H361" s="6" t="str">
        <f ca="1">IFERROR(__xludf.DUMMYFUNCTION("""COMPUTED_VALUE"""),"")</f>
        <v/>
      </c>
      <c r="I361" s="6" t="str">
        <f ca="1">IFERROR(__xludf.DUMMYFUNCTION("""COMPUTED_VALUE"""),"")</f>
        <v/>
      </c>
      <c r="J361" s="6" t="str">
        <f ca="1">IFERROR(__xludf.DUMMYFUNCTION("""COMPUTED_VALUE"""),"")</f>
        <v/>
      </c>
    </row>
    <row r="362" spans="1:10" x14ac:dyDescent="0.2">
      <c r="A362" s="6" t="str">
        <f ca="1">IFERROR(__xludf.DUMMYFUNCTION("""COMPUTED_VALUE"""),"")</f>
        <v/>
      </c>
      <c r="B362" s="6" t="str">
        <f ca="1">IFERROR(__xludf.DUMMYFUNCTION("""COMPUTED_VALUE"""),"")</f>
        <v/>
      </c>
      <c r="C362" s="6" t="str">
        <f ca="1">IFERROR(__xludf.DUMMYFUNCTION("""COMPUTED_VALUE"""),"")</f>
        <v/>
      </c>
      <c r="D362" s="6" t="str">
        <f ca="1">IFERROR(__xludf.DUMMYFUNCTION("""COMPUTED_VALUE"""),"")</f>
        <v/>
      </c>
      <c r="E362" s="6" t="str">
        <f ca="1">IFERROR(__xludf.DUMMYFUNCTION("""COMPUTED_VALUE"""),"")</f>
        <v/>
      </c>
      <c r="F362" s="6" t="str">
        <f ca="1">IFERROR(__xludf.DUMMYFUNCTION("""COMPUTED_VALUE"""),"")</f>
        <v/>
      </c>
      <c r="G362" s="6" t="str">
        <f ca="1">IFERROR(__xludf.DUMMYFUNCTION("""COMPUTED_VALUE"""),"")</f>
        <v/>
      </c>
      <c r="H362" s="6" t="str">
        <f ca="1">IFERROR(__xludf.DUMMYFUNCTION("""COMPUTED_VALUE"""),"")</f>
        <v/>
      </c>
      <c r="I362" s="6" t="str">
        <f ca="1">IFERROR(__xludf.DUMMYFUNCTION("""COMPUTED_VALUE"""),"")</f>
        <v/>
      </c>
      <c r="J362" s="6" t="str">
        <f ca="1">IFERROR(__xludf.DUMMYFUNCTION("""COMPUTED_VALUE"""),"")</f>
        <v/>
      </c>
    </row>
    <row r="363" spans="1:10" x14ac:dyDescent="0.2">
      <c r="A363" s="6" t="str">
        <f ca="1">IFERROR(__xludf.DUMMYFUNCTION("""COMPUTED_VALUE"""),"")</f>
        <v/>
      </c>
      <c r="B363" s="6" t="str">
        <f ca="1">IFERROR(__xludf.DUMMYFUNCTION("""COMPUTED_VALUE"""),"")</f>
        <v/>
      </c>
      <c r="C363" s="6" t="str">
        <f ca="1">IFERROR(__xludf.DUMMYFUNCTION("""COMPUTED_VALUE"""),"")</f>
        <v/>
      </c>
      <c r="D363" s="6" t="str">
        <f ca="1">IFERROR(__xludf.DUMMYFUNCTION("""COMPUTED_VALUE"""),"")</f>
        <v/>
      </c>
      <c r="E363" s="6" t="str">
        <f ca="1">IFERROR(__xludf.DUMMYFUNCTION("""COMPUTED_VALUE"""),"")</f>
        <v/>
      </c>
      <c r="F363" s="6" t="str">
        <f ca="1">IFERROR(__xludf.DUMMYFUNCTION("""COMPUTED_VALUE"""),"")</f>
        <v/>
      </c>
      <c r="G363" s="6" t="str">
        <f ca="1">IFERROR(__xludf.DUMMYFUNCTION("""COMPUTED_VALUE"""),"")</f>
        <v/>
      </c>
      <c r="H363" s="6" t="str">
        <f ca="1">IFERROR(__xludf.DUMMYFUNCTION("""COMPUTED_VALUE"""),"")</f>
        <v/>
      </c>
      <c r="I363" s="6" t="str">
        <f ca="1">IFERROR(__xludf.DUMMYFUNCTION("""COMPUTED_VALUE"""),"")</f>
        <v/>
      </c>
      <c r="J363" s="6" t="str">
        <f ca="1">IFERROR(__xludf.DUMMYFUNCTION("""COMPUTED_VALUE"""),"")</f>
        <v/>
      </c>
    </row>
    <row r="364" spans="1:10" x14ac:dyDescent="0.2">
      <c r="A364" s="6" t="str">
        <f ca="1">IFERROR(__xludf.DUMMYFUNCTION("""COMPUTED_VALUE"""),"")</f>
        <v/>
      </c>
      <c r="B364" s="6" t="str">
        <f ca="1">IFERROR(__xludf.DUMMYFUNCTION("""COMPUTED_VALUE"""),"")</f>
        <v/>
      </c>
      <c r="C364" s="6" t="str">
        <f ca="1">IFERROR(__xludf.DUMMYFUNCTION("""COMPUTED_VALUE"""),"")</f>
        <v/>
      </c>
      <c r="D364" s="6" t="str">
        <f ca="1">IFERROR(__xludf.DUMMYFUNCTION("""COMPUTED_VALUE"""),"")</f>
        <v/>
      </c>
      <c r="E364" s="6" t="str">
        <f ca="1">IFERROR(__xludf.DUMMYFUNCTION("""COMPUTED_VALUE"""),"")</f>
        <v/>
      </c>
      <c r="F364" s="6" t="str">
        <f ca="1">IFERROR(__xludf.DUMMYFUNCTION("""COMPUTED_VALUE"""),"")</f>
        <v/>
      </c>
      <c r="G364" s="6" t="str">
        <f ca="1">IFERROR(__xludf.DUMMYFUNCTION("""COMPUTED_VALUE"""),"")</f>
        <v/>
      </c>
      <c r="H364" s="6" t="str">
        <f ca="1">IFERROR(__xludf.DUMMYFUNCTION("""COMPUTED_VALUE"""),"")</f>
        <v/>
      </c>
      <c r="I364" s="6" t="str">
        <f ca="1">IFERROR(__xludf.DUMMYFUNCTION("""COMPUTED_VALUE"""),"")</f>
        <v/>
      </c>
      <c r="J364" s="6" t="str">
        <f ca="1">IFERROR(__xludf.DUMMYFUNCTION("""COMPUTED_VALUE"""),"")</f>
        <v/>
      </c>
    </row>
    <row r="365" spans="1:10" x14ac:dyDescent="0.2">
      <c r="A365" s="6" t="str">
        <f ca="1">IFERROR(__xludf.DUMMYFUNCTION("""COMPUTED_VALUE"""),"")</f>
        <v/>
      </c>
      <c r="B365" s="6" t="str">
        <f ca="1">IFERROR(__xludf.DUMMYFUNCTION("""COMPUTED_VALUE"""),"")</f>
        <v/>
      </c>
      <c r="C365" s="6" t="str">
        <f ca="1">IFERROR(__xludf.DUMMYFUNCTION("""COMPUTED_VALUE"""),"")</f>
        <v/>
      </c>
      <c r="D365" s="6" t="str">
        <f ca="1">IFERROR(__xludf.DUMMYFUNCTION("""COMPUTED_VALUE"""),"")</f>
        <v/>
      </c>
      <c r="E365" s="6" t="str">
        <f ca="1">IFERROR(__xludf.DUMMYFUNCTION("""COMPUTED_VALUE"""),"")</f>
        <v/>
      </c>
      <c r="F365" s="6" t="str">
        <f ca="1">IFERROR(__xludf.DUMMYFUNCTION("""COMPUTED_VALUE"""),"")</f>
        <v/>
      </c>
      <c r="G365" s="6" t="str">
        <f ca="1">IFERROR(__xludf.DUMMYFUNCTION("""COMPUTED_VALUE"""),"")</f>
        <v/>
      </c>
      <c r="H365" s="6" t="str">
        <f ca="1">IFERROR(__xludf.DUMMYFUNCTION("""COMPUTED_VALUE"""),"")</f>
        <v/>
      </c>
      <c r="I365" s="6" t="str">
        <f ca="1">IFERROR(__xludf.DUMMYFUNCTION("""COMPUTED_VALUE"""),"")</f>
        <v/>
      </c>
      <c r="J365" s="6" t="str">
        <f ca="1">IFERROR(__xludf.DUMMYFUNCTION("""COMPUTED_VALUE"""),"")</f>
        <v/>
      </c>
    </row>
    <row r="366" spans="1:10" x14ac:dyDescent="0.2">
      <c r="A366" s="6" t="str">
        <f ca="1">IFERROR(__xludf.DUMMYFUNCTION("""COMPUTED_VALUE"""),"")</f>
        <v/>
      </c>
      <c r="B366" s="6" t="str">
        <f ca="1">IFERROR(__xludf.DUMMYFUNCTION("""COMPUTED_VALUE"""),"")</f>
        <v/>
      </c>
      <c r="C366" s="6" t="str">
        <f ca="1">IFERROR(__xludf.DUMMYFUNCTION("""COMPUTED_VALUE"""),"")</f>
        <v/>
      </c>
      <c r="D366" s="6" t="str">
        <f ca="1">IFERROR(__xludf.DUMMYFUNCTION("""COMPUTED_VALUE"""),"")</f>
        <v/>
      </c>
      <c r="E366" s="6" t="str">
        <f ca="1">IFERROR(__xludf.DUMMYFUNCTION("""COMPUTED_VALUE"""),"")</f>
        <v/>
      </c>
      <c r="F366" s="6" t="str">
        <f ca="1">IFERROR(__xludf.DUMMYFUNCTION("""COMPUTED_VALUE"""),"")</f>
        <v/>
      </c>
      <c r="G366" s="6" t="str">
        <f ca="1">IFERROR(__xludf.DUMMYFUNCTION("""COMPUTED_VALUE"""),"")</f>
        <v/>
      </c>
      <c r="H366" s="6" t="str">
        <f ca="1">IFERROR(__xludf.DUMMYFUNCTION("""COMPUTED_VALUE"""),"")</f>
        <v/>
      </c>
      <c r="I366" s="6" t="str">
        <f ca="1">IFERROR(__xludf.DUMMYFUNCTION("""COMPUTED_VALUE"""),"")</f>
        <v/>
      </c>
      <c r="J366" s="6" t="str">
        <f ca="1">IFERROR(__xludf.DUMMYFUNCTION("""COMPUTED_VALUE"""),"")</f>
        <v/>
      </c>
    </row>
    <row r="367" spans="1:10" x14ac:dyDescent="0.2">
      <c r="A367" s="6" t="str">
        <f ca="1">IFERROR(__xludf.DUMMYFUNCTION("""COMPUTED_VALUE"""),"")</f>
        <v/>
      </c>
      <c r="B367" s="6" t="str">
        <f ca="1">IFERROR(__xludf.DUMMYFUNCTION("""COMPUTED_VALUE"""),"")</f>
        <v/>
      </c>
      <c r="C367" s="6" t="str">
        <f ca="1">IFERROR(__xludf.DUMMYFUNCTION("""COMPUTED_VALUE"""),"")</f>
        <v/>
      </c>
      <c r="D367" s="6" t="str">
        <f ca="1">IFERROR(__xludf.DUMMYFUNCTION("""COMPUTED_VALUE"""),"")</f>
        <v/>
      </c>
      <c r="E367" s="6" t="str">
        <f ca="1">IFERROR(__xludf.DUMMYFUNCTION("""COMPUTED_VALUE"""),"")</f>
        <v/>
      </c>
      <c r="F367" s="6" t="str">
        <f ca="1">IFERROR(__xludf.DUMMYFUNCTION("""COMPUTED_VALUE"""),"")</f>
        <v/>
      </c>
      <c r="G367" s="6" t="str">
        <f ca="1">IFERROR(__xludf.DUMMYFUNCTION("""COMPUTED_VALUE"""),"")</f>
        <v/>
      </c>
      <c r="H367" s="6" t="str">
        <f ca="1">IFERROR(__xludf.DUMMYFUNCTION("""COMPUTED_VALUE"""),"")</f>
        <v/>
      </c>
      <c r="I367" s="6" t="str">
        <f ca="1">IFERROR(__xludf.DUMMYFUNCTION("""COMPUTED_VALUE"""),"")</f>
        <v/>
      </c>
      <c r="J367" s="6" t="str">
        <f ca="1">IFERROR(__xludf.DUMMYFUNCTION("""COMPUTED_VALUE"""),"")</f>
        <v/>
      </c>
    </row>
    <row r="368" spans="1:10" x14ac:dyDescent="0.2">
      <c r="A368" s="6" t="str">
        <f ca="1">IFERROR(__xludf.DUMMYFUNCTION("""COMPUTED_VALUE"""),"")</f>
        <v/>
      </c>
      <c r="B368" s="6" t="str">
        <f ca="1">IFERROR(__xludf.DUMMYFUNCTION("""COMPUTED_VALUE"""),"")</f>
        <v/>
      </c>
      <c r="C368" s="6" t="str">
        <f ca="1">IFERROR(__xludf.DUMMYFUNCTION("""COMPUTED_VALUE"""),"")</f>
        <v/>
      </c>
      <c r="D368" s="6" t="str">
        <f ca="1">IFERROR(__xludf.DUMMYFUNCTION("""COMPUTED_VALUE"""),"")</f>
        <v/>
      </c>
      <c r="E368" s="6" t="str">
        <f ca="1">IFERROR(__xludf.DUMMYFUNCTION("""COMPUTED_VALUE"""),"")</f>
        <v/>
      </c>
      <c r="F368" s="6" t="str">
        <f ca="1">IFERROR(__xludf.DUMMYFUNCTION("""COMPUTED_VALUE"""),"")</f>
        <v/>
      </c>
      <c r="G368" s="6" t="str">
        <f ca="1">IFERROR(__xludf.DUMMYFUNCTION("""COMPUTED_VALUE"""),"")</f>
        <v/>
      </c>
      <c r="H368" s="6" t="str">
        <f ca="1">IFERROR(__xludf.DUMMYFUNCTION("""COMPUTED_VALUE"""),"")</f>
        <v/>
      </c>
      <c r="I368" s="6" t="str">
        <f ca="1">IFERROR(__xludf.DUMMYFUNCTION("""COMPUTED_VALUE"""),"")</f>
        <v/>
      </c>
      <c r="J368" s="6" t="str">
        <f ca="1">IFERROR(__xludf.DUMMYFUNCTION("""COMPUTED_VALUE"""),"")</f>
        <v/>
      </c>
    </row>
    <row r="369" spans="1:10" x14ac:dyDescent="0.2">
      <c r="A369" s="6" t="str">
        <f ca="1">IFERROR(__xludf.DUMMYFUNCTION("""COMPUTED_VALUE"""),"")</f>
        <v/>
      </c>
      <c r="B369" s="6" t="str">
        <f ca="1">IFERROR(__xludf.DUMMYFUNCTION("""COMPUTED_VALUE"""),"")</f>
        <v/>
      </c>
      <c r="C369" s="6" t="str">
        <f ca="1">IFERROR(__xludf.DUMMYFUNCTION("""COMPUTED_VALUE"""),"")</f>
        <v/>
      </c>
      <c r="D369" s="6" t="str">
        <f ca="1">IFERROR(__xludf.DUMMYFUNCTION("""COMPUTED_VALUE"""),"")</f>
        <v/>
      </c>
      <c r="E369" s="6" t="str">
        <f ca="1">IFERROR(__xludf.DUMMYFUNCTION("""COMPUTED_VALUE"""),"")</f>
        <v/>
      </c>
      <c r="F369" s="6" t="str">
        <f ca="1">IFERROR(__xludf.DUMMYFUNCTION("""COMPUTED_VALUE"""),"")</f>
        <v/>
      </c>
      <c r="G369" s="6" t="str">
        <f ca="1">IFERROR(__xludf.DUMMYFUNCTION("""COMPUTED_VALUE"""),"")</f>
        <v/>
      </c>
      <c r="H369" s="6" t="str">
        <f ca="1">IFERROR(__xludf.DUMMYFUNCTION("""COMPUTED_VALUE"""),"")</f>
        <v/>
      </c>
      <c r="I369" s="6" t="str">
        <f ca="1">IFERROR(__xludf.DUMMYFUNCTION("""COMPUTED_VALUE"""),"")</f>
        <v/>
      </c>
      <c r="J369" s="6" t="str">
        <f ca="1">IFERROR(__xludf.DUMMYFUNCTION("""COMPUTED_VALUE"""),"")</f>
        <v/>
      </c>
    </row>
    <row r="370" spans="1:10" x14ac:dyDescent="0.2">
      <c r="A370" s="6" t="str">
        <f ca="1">IFERROR(__xludf.DUMMYFUNCTION("""COMPUTED_VALUE"""),"")</f>
        <v/>
      </c>
      <c r="B370" s="6" t="str">
        <f ca="1">IFERROR(__xludf.DUMMYFUNCTION("""COMPUTED_VALUE"""),"")</f>
        <v/>
      </c>
      <c r="C370" s="6" t="str">
        <f ca="1">IFERROR(__xludf.DUMMYFUNCTION("""COMPUTED_VALUE"""),"")</f>
        <v/>
      </c>
      <c r="D370" s="6" t="str">
        <f ca="1">IFERROR(__xludf.DUMMYFUNCTION("""COMPUTED_VALUE"""),"")</f>
        <v/>
      </c>
      <c r="E370" s="6" t="str">
        <f ca="1">IFERROR(__xludf.DUMMYFUNCTION("""COMPUTED_VALUE"""),"")</f>
        <v/>
      </c>
      <c r="F370" s="6" t="str">
        <f ca="1">IFERROR(__xludf.DUMMYFUNCTION("""COMPUTED_VALUE"""),"")</f>
        <v/>
      </c>
      <c r="G370" s="6" t="str">
        <f ca="1">IFERROR(__xludf.DUMMYFUNCTION("""COMPUTED_VALUE"""),"")</f>
        <v/>
      </c>
      <c r="H370" s="6" t="str">
        <f ca="1">IFERROR(__xludf.DUMMYFUNCTION("""COMPUTED_VALUE"""),"")</f>
        <v/>
      </c>
      <c r="I370" s="6" t="str">
        <f ca="1">IFERROR(__xludf.DUMMYFUNCTION("""COMPUTED_VALUE"""),"")</f>
        <v/>
      </c>
      <c r="J370" s="6" t="str">
        <f ca="1">IFERROR(__xludf.DUMMYFUNCTION("""COMPUTED_VALUE"""),"")</f>
        <v/>
      </c>
    </row>
    <row r="371" spans="1:10" x14ac:dyDescent="0.2">
      <c r="A371" s="6" t="str">
        <f ca="1">IFERROR(__xludf.DUMMYFUNCTION("""COMPUTED_VALUE"""),"")</f>
        <v/>
      </c>
      <c r="B371" s="6" t="str">
        <f ca="1">IFERROR(__xludf.DUMMYFUNCTION("""COMPUTED_VALUE"""),"")</f>
        <v/>
      </c>
      <c r="C371" s="6" t="str">
        <f ca="1">IFERROR(__xludf.DUMMYFUNCTION("""COMPUTED_VALUE"""),"")</f>
        <v/>
      </c>
      <c r="D371" s="6" t="str">
        <f ca="1">IFERROR(__xludf.DUMMYFUNCTION("""COMPUTED_VALUE"""),"")</f>
        <v/>
      </c>
      <c r="E371" s="6" t="str">
        <f ca="1">IFERROR(__xludf.DUMMYFUNCTION("""COMPUTED_VALUE"""),"")</f>
        <v/>
      </c>
      <c r="F371" s="6" t="str">
        <f ca="1">IFERROR(__xludf.DUMMYFUNCTION("""COMPUTED_VALUE"""),"")</f>
        <v/>
      </c>
      <c r="G371" s="6" t="str">
        <f ca="1">IFERROR(__xludf.DUMMYFUNCTION("""COMPUTED_VALUE"""),"")</f>
        <v/>
      </c>
      <c r="H371" s="6" t="str">
        <f ca="1">IFERROR(__xludf.DUMMYFUNCTION("""COMPUTED_VALUE"""),"")</f>
        <v/>
      </c>
      <c r="I371" s="6" t="str">
        <f ca="1">IFERROR(__xludf.DUMMYFUNCTION("""COMPUTED_VALUE"""),"")</f>
        <v/>
      </c>
      <c r="J371" s="6" t="str">
        <f ca="1">IFERROR(__xludf.DUMMYFUNCTION("""COMPUTED_VALUE"""),"")</f>
        <v/>
      </c>
    </row>
    <row r="372" spans="1:10" x14ac:dyDescent="0.2">
      <c r="A372" s="6" t="str">
        <f ca="1">IFERROR(__xludf.DUMMYFUNCTION("""COMPUTED_VALUE"""),"")</f>
        <v/>
      </c>
      <c r="B372" s="6" t="str">
        <f ca="1">IFERROR(__xludf.DUMMYFUNCTION("""COMPUTED_VALUE"""),"")</f>
        <v/>
      </c>
      <c r="C372" s="6" t="str">
        <f ca="1">IFERROR(__xludf.DUMMYFUNCTION("""COMPUTED_VALUE"""),"")</f>
        <v/>
      </c>
      <c r="D372" s="6" t="str">
        <f ca="1">IFERROR(__xludf.DUMMYFUNCTION("""COMPUTED_VALUE"""),"")</f>
        <v/>
      </c>
      <c r="E372" s="6" t="str">
        <f ca="1">IFERROR(__xludf.DUMMYFUNCTION("""COMPUTED_VALUE"""),"")</f>
        <v/>
      </c>
      <c r="F372" s="6" t="str">
        <f ca="1">IFERROR(__xludf.DUMMYFUNCTION("""COMPUTED_VALUE"""),"")</f>
        <v/>
      </c>
      <c r="G372" s="6" t="str">
        <f ca="1">IFERROR(__xludf.DUMMYFUNCTION("""COMPUTED_VALUE"""),"")</f>
        <v/>
      </c>
      <c r="H372" s="6" t="str">
        <f ca="1">IFERROR(__xludf.DUMMYFUNCTION("""COMPUTED_VALUE"""),"")</f>
        <v/>
      </c>
      <c r="I372" s="6" t="str">
        <f ca="1">IFERROR(__xludf.DUMMYFUNCTION("""COMPUTED_VALUE"""),"")</f>
        <v/>
      </c>
      <c r="J372" s="6" t="str">
        <f ca="1">IFERROR(__xludf.DUMMYFUNCTION("""COMPUTED_VALUE"""),"")</f>
        <v/>
      </c>
    </row>
    <row r="373" spans="1:10" x14ac:dyDescent="0.2">
      <c r="A373" s="6" t="str">
        <f ca="1">IFERROR(__xludf.DUMMYFUNCTION("""COMPUTED_VALUE"""),"")</f>
        <v/>
      </c>
      <c r="B373" s="6" t="str">
        <f ca="1">IFERROR(__xludf.DUMMYFUNCTION("""COMPUTED_VALUE"""),"")</f>
        <v/>
      </c>
      <c r="C373" s="6" t="str">
        <f ca="1">IFERROR(__xludf.DUMMYFUNCTION("""COMPUTED_VALUE"""),"")</f>
        <v/>
      </c>
      <c r="D373" s="6" t="str">
        <f ca="1">IFERROR(__xludf.DUMMYFUNCTION("""COMPUTED_VALUE"""),"")</f>
        <v/>
      </c>
      <c r="E373" s="6" t="str">
        <f ca="1">IFERROR(__xludf.DUMMYFUNCTION("""COMPUTED_VALUE"""),"")</f>
        <v/>
      </c>
      <c r="F373" s="6" t="str">
        <f ca="1">IFERROR(__xludf.DUMMYFUNCTION("""COMPUTED_VALUE"""),"")</f>
        <v/>
      </c>
      <c r="G373" s="6" t="str">
        <f ca="1">IFERROR(__xludf.DUMMYFUNCTION("""COMPUTED_VALUE"""),"")</f>
        <v/>
      </c>
      <c r="H373" s="6" t="str">
        <f ca="1">IFERROR(__xludf.DUMMYFUNCTION("""COMPUTED_VALUE"""),"")</f>
        <v/>
      </c>
      <c r="I373" s="6" t="str">
        <f ca="1">IFERROR(__xludf.DUMMYFUNCTION("""COMPUTED_VALUE"""),"")</f>
        <v/>
      </c>
      <c r="J373" s="6" t="str">
        <f ca="1">IFERROR(__xludf.DUMMYFUNCTION("""COMPUTED_VALUE"""),"")</f>
        <v/>
      </c>
    </row>
    <row r="374" spans="1:10" x14ac:dyDescent="0.2">
      <c r="A374" s="6" t="str">
        <f ca="1">IFERROR(__xludf.DUMMYFUNCTION("""COMPUTED_VALUE"""),"")</f>
        <v/>
      </c>
      <c r="B374" s="6" t="str">
        <f ca="1">IFERROR(__xludf.DUMMYFUNCTION("""COMPUTED_VALUE"""),"")</f>
        <v/>
      </c>
      <c r="C374" s="6" t="str">
        <f ca="1">IFERROR(__xludf.DUMMYFUNCTION("""COMPUTED_VALUE"""),"")</f>
        <v/>
      </c>
      <c r="D374" s="6" t="str">
        <f ca="1">IFERROR(__xludf.DUMMYFUNCTION("""COMPUTED_VALUE"""),"")</f>
        <v/>
      </c>
      <c r="E374" s="6" t="str">
        <f ca="1">IFERROR(__xludf.DUMMYFUNCTION("""COMPUTED_VALUE"""),"")</f>
        <v/>
      </c>
      <c r="F374" s="6" t="str">
        <f ca="1">IFERROR(__xludf.DUMMYFUNCTION("""COMPUTED_VALUE"""),"")</f>
        <v/>
      </c>
      <c r="G374" s="6" t="str">
        <f ca="1">IFERROR(__xludf.DUMMYFUNCTION("""COMPUTED_VALUE"""),"")</f>
        <v/>
      </c>
      <c r="H374" s="6" t="str">
        <f ca="1">IFERROR(__xludf.DUMMYFUNCTION("""COMPUTED_VALUE"""),"")</f>
        <v/>
      </c>
      <c r="I374" s="6" t="str">
        <f ca="1">IFERROR(__xludf.DUMMYFUNCTION("""COMPUTED_VALUE"""),"")</f>
        <v/>
      </c>
      <c r="J374" s="6" t="str">
        <f ca="1">IFERROR(__xludf.DUMMYFUNCTION("""COMPUTED_VALUE"""),"")</f>
        <v/>
      </c>
    </row>
    <row r="375" spans="1:10" x14ac:dyDescent="0.2">
      <c r="A375" s="6" t="str">
        <f ca="1">IFERROR(__xludf.DUMMYFUNCTION("""COMPUTED_VALUE"""),"")</f>
        <v/>
      </c>
      <c r="B375" s="6" t="str">
        <f ca="1">IFERROR(__xludf.DUMMYFUNCTION("""COMPUTED_VALUE"""),"")</f>
        <v/>
      </c>
      <c r="C375" s="6" t="str">
        <f ca="1">IFERROR(__xludf.DUMMYFUNCTION("""COMPUTED_VALUE"""),"")</f>
        <v/>
      </c>
      <c r="D375" s="6" t="str">
        <f ca="1">IFERROR(__xludf.DUMMYFUNCTION("""COMPUTED_VALUE"""),"")</f>
        <v/>
      </c>
      <c r="E375" s="6" t="str">
        <f ca="1">IFERROR(__xludf.DUMMYFUNCTION("""COMPUTED_VALUE"""),"")</f>
        <v/>
      </c>
      <c r="F375" s="6" t="str">
        <f ca="1">IFERROR(__xludf.DUMMYFUNCTION("""COMPUTED_VALUE"""),"")</f>
        <v/>
      </c>
      <c r="G375" s="6" t="str">
        <f ca="1">IFERROR(__xludf.DUMMYFUNCTION("""COMPUTED_VALUE"""),"")</f>
        <v/>
      </c>
      <c r="H375" s="6" t="str">
        <f ca="1">IFERROR(__xludf.DUMMYFUNCTION("""COMPUTED_VALUE"""),"")</f>
        <v/>
      </c>
      <c r="I375" s="6" t="str">
        <f ca="1">IFERROR(__xludf.DUMMYFUNCTION("""COMPUTED_VALUE"""),"")</f>
        <v/>
      </c>
      <c r="J375" s="6" t="str">
        <f ca="1">IFERROR(__xludf.DUMMYFUNCTION("""COMPUTED_VALUE"""),"")</f>
        <v/>
      </c>
    </row>
    <row r="376" spans="1:10" x14ac:dyDescent="0.2">
      <c r="A376" s="6" t="str">
        <f ca="1">IFERROR(__xludf.DUMMYFUNCTION("""COMPUTED_VALUE"""),"")</f>
        <v/>
      </c>
      <c r="B376" s="6" t="str">
        <f ca="1">IFERROR(__xludf.DUMMYFUNCTION("""COMPUTED_VALUE"""),"")</f>
        <v/>
      </c>
      <c r="C376" s="6" t="str">
        <f ca="1">IFERROR(__xludf.DUMMYFUNCTION("""COMPUTED_VALUE"""),"")</f>
        <v/>
      </c>
      <c r="D376" s="6" t="str">
        <f ca="1">IFERROR(__xludf.DUMMYFUNCTION("""COMPUTED_VALUE"""),"")</f>
        <v/>
      </c>
      <c r="E376" s="6" t="str">
        <f ca="1">IFERROR(__xludf.DUMMYFUNCTION("""COMPUTED_VALUE"""),"")</f>
        <v/>
      </c>
      <c r="F376" s="6" t="str">
        <f ca="1">IFERROR(__xludf.DUMMYFUNCTION("""COMPUTED_VALUE"""),"")</f>
        <v/>
      </c>
      <c r="G376" s="6" t="str">
        <f ca="1">IFERROR(__xludf.DUMMYFUNCTION("""COMPUTED_VALUE"""),"")</f>
        <v/>
      </c>
      <c r="H376" s="6" t="str">
        <f ca="1">IFERROR(__xludf.DUMMYFUNCTION("""COMPUTED_VALUE"""),"")</f>
        <v/>
      </c>
      <c r="I376" s="6" t="str">
        <f ca="1">IFERROR(__xludf.DUMMYFUNCTION("""COMPUTED_VALUE"""),"")</f>
        <v/>
      </c>
      <c r="J376" s="6" t="str">
        <f ca="1">IFERROR(__xludf.DUMMYFUNCTION("""COMPUTED_VALUE"""),"")</f>
        <v/>
      </c>
    </row>
    <row r="377" spans="1:10" x14ac:dyDescent="0.2">
      <c r="A377" s="6" t="str">
        <f ca="1">IFERROR(__xludf.DUMMYFUNCTION("""COMPUTED_VALUE"""),"")</f>
        <v/>
      </c>
      <c r="B377" s="6" t="str">
        <f ca="1">IFERROR(__xludf.DUMMYFUNCTION("""COMPUTED_VALUE"""),"")</f>
        <v/>
      </c>
      <c r="C377" s="6" t="str">
        <f ca="1">IFERROR(__xludf.DUMMYFUNCTION("""COMPUTED_VALUE"""),"")</f>
        <v/>
      </c>
      <c r="D377" s="6" t="str">
        <f ca="1">IFERROR(__xludf.DUMMYFUNCTION("""COMPUTED_VALUE"""),"")</f>
        <v/>
      </c>
      <c r="E377" s="6" t="str">
        <f ca="1">IFERROR(__xludf.DUMMYFUNCTION("""COMPUTED_VALUE"""),"")</f>
        <v/>
      </c>
      <c r="F377" s="6" t="str">
        <f ca="1">IFERROR(__xludf.DUMMYFUNCTION("""COMPUTED_VALUE"""),"")</f>
        <v/>
      </c>
      <c r="G377" s="6" t="str">
        <f ca="1">IFERROR(__xludf.DUMMYFUNCTION("""COMPUTED_VALUE"""),"")</f>
        <v/>
      </c>
      <c r="H377" s="6" t="str">
        <f ca="1">IFERROR(__xludf.DUMMYFUNCTION("""COMPUTED_VALUE"""),"")</f>
        <v/>
      </c>
      <c r="I377" s="6" t="str">
        <f ca="1">IFERROR(__xludf.DUMMYFUNCTION("""COMPUTED_VALUE"""),"")</f>
        <v/>
      </c>
      <c r="J377" s="6" t="str">
        <f ca="1">IFERROR(__xludf.DUMMYFUNCTION("""COMPUTED_VALUE"""),"")</f>
        <v/>
      </c>
    </row>
    <row r="378" spans="1:10" x14ac:dyDescent="0.2">
      <c r="A378" s="6" t="str">
        <f ca="1">IFERROR(__xludf.DUMMYFUNCTION("""COMPUTED_VALUE"""),"")</f>
        <v/>
      </c>
      <c r="B378" s="6" t="str">
        <f ca="1">IFERROR(__xludf.DUMMYFUNCTION("""COMPUTED_VALUE"""),"")</f>
        <v/>
      </c>
      <c r="C378" s="6" t="str">
        <f ca="1">IFERROR(__xludf.DUMMYFUNCTION("""COMPUTED_VALUE"""),"")</f>
        <v/>
      </c>
      <c r="D378" s="6" t="str">
        <f ca="1">IFERROR(__xludf.DUMMYFUNCTION("""COMPUTED_VALUE"""),"")</f>
        <v/>
      </c>
      <c r="E378" s="6" t="str">
        <f ca="1">IFERROR(__xludf.DUMMYFUNCTION("""COMPUTED_VALUE"""),"")</f>
        <v/>
      </c>
      <c r="F378" s="6" t="str">
        <f ca="1">IFERROR(__xludf.DUMMYFUNCTION("""COMPUTED_VALUE"""),"")</f>
        <v/>
      </c>
      <c r="G378" s="6" t="str">
        <f ca="1">IFERROR(__xludf.DUMMYFUNCTION("""COMPUTED_VALUE"""),"")</f>
        <v/>
      </c>
      <c r="H378" s="6" t="str">
        <f ca="1">IFERROR(__xludf.DUMMYFUNCTION("""COMPUTED_VALUE"""),"")</f>
        <v/>
      </c>
      <c r="I378" s="6" t="str">
        <f ca="1">IFERROR(__xludf.DUMMYFUNCTION("""COMPUTED_VALUE"""),"")</f>
        <v/>
      </c>
      <c r="J378" s="6" t="str">
        <f ca="1">IFERROR(__xludf.DUMMYFUNCTION("""COMPUTED_VALUE"""),"")</f>
        <v/>
      </c>
    </row>
    <row r="379" spans="1:10" x14ac:dyDescent="0.2">
      <c r="A379" s="6" t="str">
        <f ca="1">IFERROR(__xludf.DUMMYFUNCTION("""COMPUTED_VALUE"""),"")</f>
        <v/>
      </c>
      <c r="B379" s="6" t="str">
        <f ca="1">IFERROR(__xludf.DUMMYFUNCTION("""COMPUTED_VALUE"""),"")</f>
        <v/>
      </c>
      <c r="C379" s="6" t="str">
        <f ca="1">IFERROR(__xludf.DUMMYFUNCTION("""COMPUTED_VALUE"""),"")</f>
        <v/>
      </c>
      <c r="D379" s="6" t="str">
        <f ca="1">IFERROR(__xludf.DUMMYFUNCTION("""COMPUTED_VALUE"""),"")</f>
        <v/>
      </c>
      <c r="E379" s="6" t="str">
        <f ca="1">IFERROR(__xludf.DUMMYFUNCTION("""COMPUTED_VALUE"""),"")</f>
        <v/>
      </c>
      <c r="F379" s="6" t="str">
        <f ca="1">IFERROR(__xludf.DUMMYFUNCTION("""COMPUTED_VALUE"""),"")</f>
        <v/>
      </c>
      <c r="G379" s="6" t="str">
        <f ca="1">IFERROR(__xludf.DUMMYFUNCTION("""COMPUTED_VALUE"""),"")</f>
        <v/>
      </c>
      <c r="H379" s="6" t="str">
        <f ca="1">IFERROR(__xludf.DUMMYFUNCTION("""COMPUTED_VALUE"""),"")</f>
        <v/>
      </c>
      <c r="I379" s="6" t="str">
        <f ca="1">IFERROR(__xludf.DUMMYFUNCTION("""COMPUTED_VALUE"""),"")</f>
        <v/>
      </c>
      <c r="J379" s="6" t="str">
        <f ca="1">IFERROR(__xludf.DUMMYFUNCTION("""COMPUTED_VALUE"""),"")</f>
        <v/>
      </c>
    </row>
    <row r="380" spans="1:10" x14ac:dyDescent="0.2">
      <c r="A380" s="6" t="str">
        <f ca="1">IFERROR(__xludf.DUMMYFUNCTION("""COMPUTED_VALUE"""),"")</f>
        <v/>
      </c>
      <c r="B380" s="6" t="str">
        <f ca="1">IFERROR(__xludf.DUMMYFUNCTION("""COMPUTED_VALUE"""),"")</f>
        <v/>
      </c>
      <c r="C380" s="6" t="str">
        <f ca="1">IFERROR(__xludf.DUMMYFUNCTION("""COMPUTED_VALUE"""),"")</f>
        <v/>
      </c>
      <c r="D380" s="6" t="str">
        <f ca="1">IFERROR(__xludf.DUMMYFUNCTION("""COMPUTED_VALUE"""),"")</f>
        <v/>
      </c>
      <c r="E380" s="6" t="str">
        <f ca="1">IFERROR(__xludf.DUMMYFUNCTION("""COMPUTED_VALUE"""),"")</f>
        <v/>
      </c>
      <c r="F380" s="6" t="str">
        <f ca="1">IFERROR(__xludf.DUMMYFUNCTION("""COMPUTED_VALUE"""),"")</f>
        <v/>
      </c>
      <c r="G380" s="6" t="str">
        <f ca="1">IFERROR(__xludf.DUMMYFUNCTION("""COMPUTED_VALUE"""),"")</f>
        <v/>
      </c>
      <c r="H380" s="6" t="str">
        <f ca="1">IFERROR(__xludf.DUMMYFUNCTION("""COMPUTED_VALUE"""),"")</f>
        <v/>
      </c>
      <c r="I380" s="6" t="str">
        <f ca="1">IFERROR(__xludf.DUMMYFUNCTION("""COMPUTED_VALUE"""),"")</f>
        <v/>
      </c>
      <c r="J380" s="6" t="str">
        <f ca="1">IFERROR(__xludf.DUMMYFUNCTION("""COMPUTED_VALUE"""),"")</f>
        <v/>
      </c>
    </row>
    <row r="381" spans="1:10" x14ac:dyDescent="0.2">
      <c r="A381" s="6" t="str">
        <f ca="1">IFERROR(__xludf.DUMMYFUNCTION("""COMPUTED_VALUE"""),"")</f>
        <v/>
      </c>
      <c r="B381" s="6" t="str">
        <f ca="1">IFERROR(__xludf.DUMMYFUNCTION("""COMPUTED_VALUE"""),"")</f>
        <v/>
      </c>
      <c r="C381" s="6" t="str">
        <f ca="1">IFERROR(__xludf.DUMMYFUNCTION("""COMPUTED_VALUE"""),"")</f>
        <v/>
      </c>
      <c r="D381" s="6" t="str">
        <f ca="1">IFERROR(__xludf.DUMMYFUNCTION("""COMPUTED_VALUE"""),"")</f>
        <v/>
      </c>
      <c r="E381" s="6" t="str">
        <f ca="1">IFERROR(__xludf.DUMMYFUNCTION("""COMPUTED_VALUE"""),"")</f>
        <v/>
      </c>
      <c r="F381" s="6" t="str">
        <f ca="1">IFERROR(__xludf.DUMMYFUNCTION("""COMPUTED_VALUE"""),"")</f>
        <v/>
      </c>
      <c r="G381" s="6" t="str">
        <f ca="1">IFERROR(__xludf.DUMMYFUNCTION("""COMPUTED_VALUE"""),"")</f>
        <v/>
      </c>
      <c r="H381" s="6" t="str">
        <f ca="1">IFERROR(__xludf.DUMMYFUNCTION("""COMPUTED_VALUE"""),"")</f>
        <v/>
      </c>
      <c r="I381" s="6" t="str">
        <f ca="1">IFERROR(__xludf.DUMMYFUNCTION("""COMPUTED_VALUE"""),"")</f>
        <v/>
      </c>
      <c r="J381" s="6" t="str">
        <f ca="1">IFERROR(__xludf.DUMMYFUNCTION("""COMPUTED_VALUE"""),"")</f>
        <v/>
      </c>
    </row>
    <row r="382" spans="1:10" x14ac:dyDescent="0.2">
      <c r="A382" s="6" t="str">
        <f ca="1">IFERROR(__xludf.DUMMYFUNCTION("""COMPUTED_VALUE"""),"")</f>
        <v/>
      </c>
      <c r="B382" s="6" t="str">
        <f ca="1">IFERROR(__xludf.DUMMYFUNCTION("""COMPUTED_VALUE"""),"")</f>
        <v/>
      </c>
      <c r="C382" s="6" t="str">
        <f ca="1">IFERROR(__xludf.DUMMYFUNCTION("""COMPUTED_VALUE"""),"")</f>
        <v/>
      </c>
      <c r="D382" s="6" t="str">
        <f ca="1">IFERROR(__xludf.DUMMYFUNCTION("""COMPUTED_VALUE"""),"")</f>
        <v/>
      </c>
      <c r="E382" s="6" t="str">
        <f ca="1">IFERROR(__xludf.DUMMYFUNCTION("""COMPUTED_VALUE"""),"")</f>
        <v/>
      </c>
      <c r="F382" s="6" t="str">
        <f ca="1">IFERROR(__xludf.DUMMYFUNCTION("""COMPUTED_VALUE"""),"")</f>
        <v/>
      </c>
      <c r="G382" s="6" t="str">
        <f ca="1">IFERROR(__xludf.DUMMYFUNCTION("""COMPUTED_VALUE"""),"")</f>
        <v/>
      </c>
      <c r="H382" s="6" t="str">
        <f ca="1">IFERROR(__xludf.DUMMYFUNCTION("""COMPUTED_VALUE"""),"")</f>
        <v/>
      </c>
      <c r="I382" s="6" t="str">
        <f ca="1">IFERROR(__xludf.DUMMYFUNCTION("""COMPUTED_VALUE"""),"")</f>
        <v/>
      </c>
      <c r="J382" s="6" t="str">
        <f ca="1">IFERROR(__xludf.DUMMYFUNCTION("""COMPUTED_VALUE"""),"")</f>
        <v/>
      </c>
    </row>
    <row r="383" spans="1:10" x14ac:dyDescent="0.2">
      <c r="A383" s="6" t="str">
        <f ca="1">IFERROR(__xludf.DUMMYFUNCTION("""COMPUTED_VALUE"""),"")</f>
        <v/>
      </c>
      <c r="B383" s="6" t="str">
        <f ca="1">IFERROR(__xludf.DUMMYFUNCTION("""COMPUTED_VALUE"""),"")</f>
        <v/>
      </c>
      <c r="C383" s="6" t="str">
        <f ca="1">IFERROR(__xludf.DUMMYFUNCTION("""COMPUTED_VALUE"""),"")</f>
        <v/>
      </c>
      <c r="D383" s="6" t="str">
        <f ca="1">IFERROR(__xludf.DUMMYFUNCTION("""COMPUTED_VALUE"""),"")</f>
        <v/>
      </c>
      <c r="E383" s="6" t="str">
        <f ca="1">IFERROR(__xludf.DUMMYFUNCTION("""COMPUTED_VALUE"""),"")</f>
        <v/>
      </c>
      <c r="F383" s="6" t="str">
        <f ca="1">IFERROR(__xludf.DUMMYFUNCTION("""COMPUTED_VALUE"""),"")</f>
        <v/>
      </c>
      <c r="G383" s="6" t="str">
        <f ca="1">IFERROR(__xludf.DUMMYFUNCTION("""COMPUTED_VALUE"""),"")</f>
        <v/>
      </c>
      <c r="H383" s="6" t="str">
        <f ca="1">IFERROR(__xludf.DUMMYFUNCTION("""COMPUTED_VALUE"""),"")</f>
        <v/>
      </c>
      <c r="I383" s="6" t="str">
        <f ca="1">IFERROR(__xludf.DUMMYFUNCTION("""COMPUTED_VALUE"""),"")</f>
        <v/>
      </c>
      <c r="J383" s="6" t="str">
        <f ca="1">IFERROR(__xludf.DUMMYFUNCTION("""COMPUTED_VALUE"""),"")</f>
        <v/>
      </c>
    </row>
    <row r="384" spans="1:10" x14ac:dyDescent="0.2">
      <c r="A384" s="6" t="str">
        <f ca="1">IFERROR(__xludf.DUMMYFUNCTION("""COMPUTED_VALUE"""),"")</f>
        <v/>
      </c>
      <c r="B384" s="6" t="str">
        <f ca="1">IFERROR(__xludf.DUMMYFUNCTION("""COMPUTED_VALUE"""),"")</f>
        <v/>
      </c>
      <c r="C384" s="6" t="str">
        <f ca="1">IFERROR(__xludf.DUMMYFUNCTION("""COMPUTED_VALUE"""),"")</f>
        <v/>
      </c>
      <c r="D384" s="6" t="str">
        <f ca="1">IFERROR(__xludf.DUMMYFUNCTION("""COMPUTED_VALUE"""),"")</f>
        <v/>
      </c>
      <c r="E384" s="6" t="str">
        <f ca="1">IFERROR(__xludf.DUMMYFUNCTION("""COMPUTED_VALUE"""),"")</f>
        <v/>
      </c>
      <c r="F384" s="6" t="str">
        <f ca="1">IFERROR(__xludf.DUMMYFUNCTION("""COMPUTED_VALUE"""),"")</f>
        <v/>
      </c>
      <c r="G384" s="6" t="str">
        <f ca="1">IFERROR(__xludf.DUMMYFUNCTION("""COMPUTED_VALUE"""),"")</f>
        <v/>
      </c>
      <c r="H384" s="6" t="str">
        <f ca="1">IFERROR(__xludf.DUMMYFUNCTION("""COMPUTED_VALUE"""),"")</f>
        <v/>
      </c>
      <c r="I384" s="6" t="str">
        <f ca="1">IFERROR(__xludf.DUMMYFUNCTION("""COMPUTED_VALUE"""),"")</f>
        <v/>
      </c>
      <c r="J384" s="6" t="str">
        <f ca="1">IFERROR(__xludf.DUMMYFUNCTION("""COMPUTED_VALUE"""),"")</f>
        <v/>
      </c>
    </row>
    <row r="385" spans="1:10" x14ac:dyDescent="0.2">
      <c r="A385" s="6" t="str">
        <f ca="1">IFERROR(__xludf.DUMMYFUNCTION("""COMPUTED_VALUE"""),"")</f>
        <v/>
      </c>
      <c r="B385" s="6" t="str">
        <f ca="1">IFERROR(__xludf.DUMMYFUNCTION("""COMPUTED_VALUE"""),"")</f>
        <v/>
      </c>
      <c r="C385" s="6" t="str">
        <f ca="1">IFERROR(__xludf.DUMMYFUNCTION("""COMPUTED_VALUE"""),"")</f>
        <v/>
      </c>
      <c r="D385" s="6" t="str">
        <f ca="1">IFERROR(__xludf.DUMMYFUNCTION("""COMPUTED_VALUE"""),"")</f>
        <v/>
      </c>
      <c r="E385" s="6" t="str">
        <f ca="1">IFERROR(__xludf.DUMMYFUNCTION("""COMPUTED_VALUE"""),"")</f>
        <v/>
      </c>
      <c r="F385" s="6" t="str">
        <f ca="1">IFERROR(__xludf.DUMMYFUNCTION("""COMPUTED_VALUE"""),"")</f>
        <v/>
      </c>
      <c r="G385" s="6" t="str">
        <f ca="1">IFERROR(__xludf.DUMMYFUNCTION("""COMPUTED_VALUE"""),"")</f>
        <v/>
      </c>
      <c r="H385" s="6" t="str">
        <f ca="1">IFERROR(__xludf.DUMMYFUNCTION("""COMPUTED_VALUE"""),"")</f>
        <v/>
      </c>
      <c r="I385" s="6" t="str">
        <f ca="1">IFERROR(__xludf.DUMMYFUNCTION("""COMPUTED_VALUE"""),"")</f>
        <v/>
      </c>
      <c r="J385" s="6" t="str">
        <f ca="1">IFERROR(__xludf.DUMMYFUNCTION("""COMPUTED_VALUE"""),"")</f>
        <v/>
      </c>
    </row>
    <row r="386" spans="1:10" x14ac:dyDescent="0.2">
      <c r="A386" s="6" t="str">
        <f ca="1">IFERROR(__xludf.DUMMYFUNCTION("""COMPUTED_VALUE"""),"")</f>
        <v/>
      </c>
      <c r="B386" s="6" t="str">
        <f ca="1">IFERROR(__xludf.DUMMYFUNCTION("""COMPUTED_VALUE"""),"")</f>
        <v/>
      </c>
      <c r="C386" s="6" t="str">
        <f ca="1">IFERROR(__xludf.DUMMYFUNCTION("""COMPUTED_VALUE"""),"")</f>
        <v/>
      </c>
      <c r="D386" s="6" t="str">
        <f ca="1">IFERROR(__xludf.DUMMYFUNCTION("""COMPUTED_VALUE"""),"")</f>
        <v/>
      </c>
      <c r="E386" s="6" t="str">
        <f ca="1">IFERROR(__xludf.DUMMYFUNCTION("""COMPUTED_VALUE"""),"")</f>
        <v/>
      </c>
      <c r="F386" s="6" t="str">
        <f ca="1">IFERROR(__xludf.DUMMYFUNCTION("""COMPUTED_VALUE"""),"")</f>
        <v/>
      </c>
      <c r="G386" s="6" t="str">
        <f ca="1">IFERROR(__xludf.DUMMYFUNCTION("""COMPUTED_VALUE"""),"")</f>
        <v/>
      </c>
      <c r="H386" s="6" t="str">
        <f ca="1">IFERROR(__xludf.DUMMYFUNCTION("""COMPUTED_VALUE"""),"")</f>
        <v/>
      </c>
      <c r="I386" s="6" t="str">
        <f ca="1">IFERROR(__xludf.DUMMYFUNCTION("""COMPUTED_VALUE"""),"")</f>
        <v/>
      </c>
      <c r="J386" s="6" t="str">
        <f ca="1">IFERROR(__xludf.DUMMYFUNCTION("""COMPUTED_VALUE"""),"")</f>
        <v/>
      </c>
    </row>
    <row r="387" spans="1:10" x14ac:dyDescent="0.2">
      <c r="A387" s="6" t="str">
        <f ca="1">IFERROR(__xludf.DUMMYFUNCTION("""COMPUTED_VALUE"""),"")</f>
        <v/>
      </c>
      <c r="B387" s="6" t="str">
        <f ca="1">IFERROR(__xludf.DUMMYFUNCTION("""COMPUTED_VALUE"""),"")</f>
        <v/>
      </c>
      <c r="C387" s="6" t="str">
        <f ca="1">IFERROR(__xludf.DUMMYFUNCTION("""COMPUTED_VALUE"""),"")</f>
        <v/>
      </c>
      <c r="D387" s="6" t="str">
        <f ca="1">IFERROR(__xludf.DUMMYFUNCTION("""COMPUTED_VALUE"""),"")</f>
        <v/>
      </c>
      <c r="E387" s="6" t="str">
        <f ca="1">IFERROR(__xludf.DUMMYFUNCTION("""COMPUTED_VALUE"""),"")</f>
        <v/>
      </c>
      <c r="F387" s="6" t="str">
        <f ca="1">IFERROR(__xludf.DUMMYFUNCTION("""COMPUTED_VALUE"""),"")</f>
        <v/>
      </c>
      <c r="G387" s="6" t="str">
        <f ca="1">IFERROR(__xludf.DUMMYFUNCTION("""COMPUTED_VALUE"""),"")</f>
        <v/>
      </c>
      <c r="H387" s="6" t="str">
        <f ca="1">IFERROR(__xludf.DUMMYFUNCTION("""COMPUTED_VALUE"""),"")</f>
        <v/>
      </c>
      <c r="I387" s="6" t="str">
        <f ca="1">IFERROR(__xludf.DUMMYFUNCTION("""COMPUTED_VALUE"""),"")</f>
        <v/>
      </c>
      <c r="J387" s="6" t="str">
        <f ca="1">IFERROR(__xludf.DUMMYFUNCTION("""COMPUTED_VALUE"""),"")</f>
        <v/>
      </c>
    </row>
    <row r="388" spans="1:10" x14ac:dyDescent="0.2">
      <c r="A388" s="6" t="str">
        <f ca="1">IFERROR(__xludf.DUMMYFUNCTION("""COMPUTED_VALUE"""),"")</f>
        <v/>
      </c>
      <c r="B388" s="6" t="str">
        <f ca="1">IFERROR(__xludf.DUMMYFUNCTION("""COMPUTED_VALUE"""),"")</f>
        <v/>
      </c>
      <c r="C388" s="6" t="str">
        <f ca="1">IFERROR(__xludf.DUMMYFUNCTION("""COMPUTED_VALUE"""),"")</f>
        <v/>
      </c>
      <c r="D388" s="6" t="str">
        <f ca="1">IFERROR(__xludf.DUMMYFUNCTION("""COMPUTED_VALUE"""),"")</f>
        <v/>
      </c>
      <c r="E388" s="6" t="str">
        <f ca="1">IFERROR(__xludf.DUMMYFUNCTION("""COMPUTED_VALUE"""),"")</f>
        <v/>
      </c>
      <c r="F388" s="6" t="str">
        <f ca="1">IFERROR(__xludf.DUMMYFUNCTION("""COMPUTED_VALUE"""),"")</f>
        <v/>
      </c>
      <c r="G388" s="6" t="str">
        <f ca="1">IFERROR(__xludf.DUMMYFUNCTION("""COMPUTED_VALUE"""),"")</f>
        <v/>
      </c>
      <c r="H388" s="6" t="str">
        <f ca="1">IFERROR(__xludf.DUMMYFUNCTION("""COMPUTED_VALUE"""),"")</f>
        <v/>
      </c>
      <c r="I388" s="6" t="str">
        <f ca="1">IFERROR(__xludf.DUMMYFUNCTION("""COMPUTED_VALUE"""),"")</f>
        <v/>
      </c>
      <c r="J388" s="6" t="str">
        <f ca="1">IFERROR(__xludf.DUMMYFUNCTION("""COMPUTED_VALUE"""),"")</f>
        <v/>
      </c>
    </row>
    <row r="389" spans="1:10" x14ac:dyDescent="0.2">
      <c r="A389" s="6" t="str">
        <f ca="1">IFERROR(__xludf.DUMMYFUNCTION("""COMPUTED_VALUE"""),"")</f>
        <v/>
      </c>
      <c r="B389" s="6" t="str">
        <f ca="1">IFERROR(__xludf.DUMMYFUNCTION("""COMPUTED_VALUE"""),"")</f>
        <v/>
      </c>
      <c r="C389" s="6" t="str">
        <f ca="1">IFERROR(__xludf.DUMMYFUNCTION("""COMPUTED_VALUE"""),"")</f>
        <v/>
      </c>
      <c r="D389" s="6" t="str">
        <f ca="1">IFERROR(__xludf.DUMMYFUNCTION("""COMPUTED_VALUE"""),"")</f>
        <v/>
      </c>
      <c r="E389" s="6" t="str">
        <f ca="1">IFERROR(__xludf.DUMMYFUNCTION("""COMPUTED_VALUE"""),"")</f>
        <v/>
      </c>
      <c r="F389" s="6" t="str">
        <f ca="1">IFERROR(__xludf.DUMMYFUNCTION("""COMPUTED_VALUE"""),"")</f>
        <v/>
      </c>
      <c r="G389" s="6" t="str">
        <f ca="1">IFERROR(__xludf.DUMMYFUNCTION("""COMPUTED_VALUE"""),"")</f>
        <v/>
      </c>
      <c r="H389" s="6" t="str">
        <f ca="1">IFERROR(__xludf.DUMMYFUNCTION("""COMPUTED_VALUE"""),"")</f>
        <v/>
      </c>
      <c r="I389" s="6" t="str">
        <f ca="1">IFERROR(__xludf.DUMMYFUNCTION("""COMPUTED_VALUE"""),"")</f>
        <v/>
      </c>
      <c r="J389" s="6" t="str">
        <f ca="1">IFERROR(__xludf.DUMMYFUNCTION("""COMPUTED_VALUE"""),"")</f>
        <v/>
      </c>
    </row>
    <row r="390" spans="1:10" x14ac:dyDescent="0.2">
      <c r="A390" s="6" t="str">
        <f ca="1">IFERROR(__xludf.DUMMYFUNCTION("""COMPUTED_VALUE"""),"")</f>
        <v/>
      </c>
      <c r="B390" s="6" t="str">
        <f ca="1">IFERROR(__xludf.DUMMYFUNCTION("""COMPUTED_VALUE"""),"")</f>
        <v/>
      </c>
      <c r="C390" s="6" t="str">
        <f ca="1">IFERROR(__xludf.DUMMYFUNCTION("""COMPUTED_VALUE"""),"")</f>
        <v/>
      </c>
      <c r="D390" s="6" t="str">
        <f ca="1">IFERROR(__xludf.DUMMYFUNCTION("""COMPUTED_VALUE"""),"")</f>
        <v/>
      </c>
      <c r="E390" s="6" t="str">
        <f ca="1">IFERROR(__xludf.DUMMYFUNCTION("""COMPUTED_VALUE"""),"")</f>
        <v/>
      </c>
      <c r="F390" s="6" t="str">
        <f ca="1">IFERROR(__xludf.DUMMYFUNCTION("""COMPUTED_VALUE"""),"")</f>
        <v/>
      </c>
      <c r="G390" s="6" t="str">
        <f ca="1">IFERROR(__xludf.DUMMYFUNCTION("""COMPUTED_VALUE"""),"")</f>
        <v/>
      </c>
      <c r="H390" s="6" t="str">
        <f ca="1">IFERROR(__xludf.DUMMYFUNCTION("""COMPUTED_VALUE"""),"")</f>
        <v/>
      </c>
      <c r="I390" s="6" t="str">
        <f ca="1">IFERROR(__xludf.DUMMYFUNCTION("""COMPUTED_VALUE"""),"")</f>
        <v/>
      </c>
      <c r="J390" s="6" t="str">
        <f ca="1">IFERROR(__xludf.DUMMYFUNCTION("""COMPUTED_VALUE"""),"")</f>
        <v/>
      </c>
    </row>
    <row r="391" spans="1:10" x14ac:dyDescent="0.2">
      <c r="A391" s="6" t="str">
        <f ca="1">IFERROR(__xludf.DUMMYFUNCTION("""COMPUTED_VALUE"""),"")</f>
        <v/>
      </c>
      <c r="B391" s="6" t="str">
        <f ca="1">IFERROR(__xludf.DUMMYFUNCTION("""COMPUTED_VALUE"""),"")</f>
        <v/>
      </c>
      <c r="C391" s="6" t="str">
        <f ca="1">IFERROR(__xludf.DUMMYFUNCTION("""COMPUTED_VALUE"""),"")</f>
        <v/>
      </c>
      <c r="D391" s="6" t="str">
        <f ca="1">IFERROR(__xludf.DUMMYFUNCTION("""COMPUTED_VALUE"""),"")</f>
        <v/>
      </c>
      <c r="E391" s="6" t="str">
        <f ca="1">IFERROR(__xludf.DUMMYFUNCTION("""COMPUTED_VALUE"""),"")</f>
        <v/>
      </c>
      <c r="F391" s="6" t="str">
        <f ca="1">IFERROR(__xludf.DUMMYFUNCTION("""COMPUTED_VALUE"""),"")</f>
        <v/>
      </c>
      <c r="G391" s="6" t="str">
        <f ca="1">IFERROR(__xludf.DUMMYFUNCTION("""COMPUTED_VALUE"""),"")</f>
        <v/>
      </c>
      <c r="H391" s="6" t="str">
        <f ca="1">IFERROR(__xludf.DUMMYFUNCTION("""COMPUTED_VALUE"""),"")</f>
        <v/>
      </c>
      <c r="I391" s="6" t="str">
        <f ca="1">IFERROR(__xludf.DUMMYFUNCTION("""COMPUTED_VALUE"""),"")</f>
        <v/>
      </c>
      <c r="J391" s="6" t="str">
        <f ca="1">IFERROR(__xludf.DUMMYFUNCTION("""COMPUTED_VALUE"""),"")</f>
        <v/>
      </c>
    </row>
    <row r="392" spans="1:10" x14ac:dyDescent="0.2">
      <c r="A392" s="6" t="str">
        <f ca="1">IFERROR(__xludf.DUMMYFUNCTION("""COMPUTED_VALUE"""),"")</f>
        <v/>
      </c>
      <c r="B392" s="6" t="str">
        <f ca="1">IFERROR(__xludf.DUMMYFUNCTION("""COMPUTED_VALUE"""),"")</f>
        <v/>
      </c>
      <c r="C392" s="6" t="str">
        <f ca="1">IFERROR(__xludf.DUMMYFUNCTION("""COMPUTED_VALUE"""),"")</f>
        <v/>
      </c>
      <c r="D392" s="6" t="str">
        <f ca="1">IFERROR(__xludf.DUMMYFUNCTION("""COMPUTED_VALUE"""),"")</f>
        <v/>
      </c>
      <c r="E392" s="6" t="str">
        <f ca="1">IFERROR(__xludf.DUMMYFUNCTION("""COMPUTED_VALUE"""),"")</f>
        <v/>
      </c>
      <c r="F392" s="6" t="str">
        <f ca="1">IFERROR(__xludf.DUMMYFUNCTION("""COMPUTED_VALUE"""),"")</f>
        <v/>
      </c>
      <c r="G392" s="6" t="str">
        <f ca="1">IFERROR(__xludf.DUMMYFUNCTION("""COMPUTED_VALUE"""),"")</f>
        <v/>
      </c>
      <c r="H392" s="6" t="str">
        <f ca="1">IFERROR(__xludf.DUMMYFUNCTION("""COMPUTED_VALUE"""),"")</f>
        <v/>
      </c>
      <c r="I392" s="6" t="str">
        <f ca="1">IFERROR(__xludf.DUMMYFUNCTION("""COMPUTED_VALUE"""),"")</f>
        <v/>
      </c>
      <c r="J392" s="6" t="str">
        <f ca="1">IFERROR(__xludf.DUMMYFUNCTION("""COMPUTED_VALUE"""),"")</f>
        <v/>
      </c>
    </row>
    <row r="393" spans="1:10" x14ac:dyDescent="0.2">
      <c r="A393" s="6" t="str">
        <f ca="1">IFERROR(__xludf.DUMMYFUNCTION("""COMPUTED_VALUE"""),"")</f>
        <v/>
      </c>
      <c r="B393" s="6" t="str">
        <f ca="1">IFERROR(__xludf.DUMMYFUNCTION("""COMPUTED_VALUE"""),"")</f>
        <v/>
      </c>
      <c r="C393" s="6" t="str">
        <f ca="1">IFERROR(__xludf.DUMMYFUNCTION("""COMPUTED_VALUE"""),"")</f>
        <v/>
      </c>
      <c r="D393" s="6" t="str">
        <f ca="1">IFERROR(__xludf.DUMMYFUNCTION("""COMPUTED_VALUE"""),"")</f>
        <v/>
      </c>
      <c r="E393" s="6" t="str">
        <f ca="1">IFERROR(__xludf.DUMMYFUNCTION("""COMPUTED_VALUE"""),"")</f>
        <v/>
      </c>
      <c r="F393" s="6" t="str">
        <f ca="1">IFERROR(__xludf.DUMMYFUNCTION("""COMPUTED_VALUE"""),"")</f>
        <v/>
      </c>
      <c r="G393" s="6" t="str">
        <f ca="1">IFERROR(__xludf.DUMMYFUNCTION("""COMPUTED_VALUE"""),"")</f>
        <v/>
      </c>
      <c r="H393" s="6" t="str">
        <f ca="1">IFERROR(__xludf.DUMMYFUNCTION("""COMPUTED_VALUE"""),"")</f>
        <v/>
      </c>
      <c r="I393" s="6" t="str">
        <f ca="1">IFERROR(__xludf.DUMMYFUNCTION("""COMPUTED_VALUE"""),"")</f>
        <v/>
      </c>
      <c r="J393" s="6" t="str">
        <f ca="1">IFERROR(__xludf.DUMMYFUNCTION("""COMPUTED_VALUE"""),"")</f>
        <v/>
      </c>
    </row>
    <row r="394" spans="1:10" x14ac:dyDescent="0.2">
      <c r="A394" s="6" t="str">
        <f ca="1">IFERROR(__xludf.DUMMYFUNCTION("""COMPUTED_VALUE"""),"")</f>
        <v/>
      </c>
      <c r="B394" s="6" t="str">
        <f ca="1">IFERROR(__xludf.DUMMYFUNCTION("""COMPUTED_VALUE"""),"")</f>
        <v/>
      </c>
      <c r="C394" s="6" t="str">
        <f ca="1">IFERROR(__xludf.DUMMYFUNCTION("""COMPUTED_VALUE"""),"")</f>
        <v/>
      </c>
      <c r="D394" s="6" t="str">
        <f ca="1">IFERROR(__xludf.DUMMYFUNCTION("""COMPUTED_VALUE"""),"")</f>
        <v/>
      </c>
      <c r="E394" s="6" t="str">
        <f ca="1">IFERROR(__xludf.DUMMYFUNCTION("""COMPUTED_VALUE"""),"")</f>
        <v/>
      </c>
      <c r="F394" s="6" t="str">
        <f ca="1">IFERROR(__xludf.DUMMYFUNCTION("""COMPUTED_VALUE"""),"")</f>
        <v/>
      </c>
      <c r="G394" s="6" t="str">
        <f ca="1">IFERROR(__xludf.DUMMYFUNCTION("""COMPUTED_VALUE"""),"")</f>
        <v/>
      </c>
      <c r="H394" s="6" t="str">
        <f ca="1">IFERROR(__xludf.DUMMYFUNCTION("""COMPUTED_VALUE"""),"")</f>
        <v/>
      </c>
      <c r="I394" s="6" t="str">
        <f ca="1">IFERROR(__xludf.DUMMYFUNCTION("""COMPUTED_VALUE"""),"")</f>
        <v/>
      </c>
      <c r="J394" s="6" t="str">
        <f ca="1">IFERROR(__xludf.DUMMYFUNCTION("""COMPUTED_VALUE"""),"")</f>
        <v/>
      </c>
    </row>
    <row r="395" spans="1:10" x14ac:dyDescent="0.2">
      <c r="A395" s="6" t="str">
        <f ca="1">IFERROR(__xludf.DUMMYFUNCTION("""COMPUTED_VALUE"""),"")</f>
        <v/>
      </c>
      <c r="B395" s="6" t="str">
        <f ca="1">IFERROR(__xludf.DUMMYFUNCTION("""COMPUTED_VALUE"""),"")</f>
        <v/>
      </c>
      <c r="C395" s="6" t="str">
        <f ca="1">IFERROR(__xludf.DUMMYFUNCTION("""COMPUTED_VALUE"""),"")</f>
        <v/>
      </c>
      <c r="D395" s="6" t="str">
        <f ca="1">IFERROR(__xludf.DUMMYFUNCTION("""COMPUTED_VALUE"""),"")</f>
        <v/>
      </c>
      <c r="E395" s="6" t="str">
        <f ca="1">IFERROR(__xludf.DUMMYFUNCTION("""COMPUTED_VALUE"""),"")</f>
        <v/>
      </c>
      <c r="F395" s="6" t="str">
        <f ca="1">IFERROR(__xludf.DUMMYFUNCTION("""COMPUTED_VALUE"""),"")</f>
        <v/>
      </c>
      <c r="G395" s="6" t="str">
        <f ca="1">IFERROR(__xludf.DUMMYFUNCTION("""COMPUTED_VALUE"""),"")</f>
        <v/>
      </c>
      <c r="H395" s="6" t="str">
        <f ca="1">IFERROR(__xludf.DUMMYFUNCTION("""COMPUTED_VALUE"""),"")</f>
        <v/>
      </c>
      <c r="I395" s="6" t="str">
        <f ca="1">IFERROR(__xludf.DUMMYFUNCTION("""COMPUTED_VALUE"""),"")</f>
        <v/>
      </c>
      <c r="J395" s="6" t="str">
        <f ca="1">IFERROR(__xludf.DUMMYFUNCTION("""COMPUTED_VALUE"""),"")</f>
        <v/>
      </c>
    </row>
    <row r="396" spans="1:10" x14ac:dyDescent="0.2">
      <c r="A396" s="6" t="str">
        <f ca="1">IFERROR(__xludf.DUMMYFUNCTION("""COMPUTED_VALUE"""),"")</f>
        <v/>
      </c>
      <c r="B396" s="6" t="str">
        <f ca="1">IFERROR(__xludf.DUMMYFUNCTION("""COMPUTED_VALUE"""),"")</f>
        <v/>
      </c>
      <c r="C396" s="6" t="str">
        <f ca="1">IFERROR(__xludf.DUMMYFUNCTION("""COMPUTED_VALUE"""),"")</f>
        <v/>
      </c>
      <c r="D396" s="6" t="str">
        <f ca="1">IFERROR(__xludf.DUMMYFUNCTION("""COMPUTED_VALUE"""),"")</f>
        <v/>
      </c>
      <c r="E396" s="6" t="str">
        <f ca="1">IFERROR(__xludf.DUMMYFUNCTION("""COMPUTED_VALUE"""),"")</f>
        <v/>
      </c>
      <c r="F396" s="6" t="str">
        <f ca="1">IFERROR(__xludf.DUMMYFUNCTION("""COMPUTED_VALUE"""),"")</f>
        <v/>
      </c>
      <c r="G396" s="6" t="str">
        <f ca="1">IFERROR(__xludf.DUMMYFUNCTION("""COMPUTED_VALUE"""),"")</f>
        <v/>
      </c>
      <c r="H396" s="6" t="str">
        <f ca="1">IFERROR(__xludf.DUMMYFUNCTION("""COMPUTED_VALUE"""),"")</f>
        <v/>
      </c>
      <c r="I396" s="6" t="str">
        <f ca="1">IFERROR(__xludf.DUMMYFUNCTION("""COMPUTED_VALUE"""),"")</f>
        <v/>
      </c>
      <c r="J396" s="6" t="str">
        <f ca="1">IFERROR(__xludf.DUMMYFUNCTION("""COMPUTED_VALUE"""),"")</f>
        <v/>
      </c>
    </row>
    <row r="397" spans="1:10" x14ac:dyDescent="0.2">
      <c r="A397" s="6" t="str">
        <f ca="1">IFERROR(__xludf.DUMMYFUNCTION("""COMPUTED_VALUE"""),"")</f>
        <v/>
      </c>
      <c r="B397" s="6" t="str">
        <f ca="1">IFERROR(__xludf.DUMMYFUNCTION("""COMPUTED_VALUE"""),"")</f>
        <v/>
      </c>
      <c r="C397" s="6" t="str">
        <f ca="1">IFERROR(__xludf.DUMMYFUNCTION("""COMPUTED_VALUE"""),"")</f>
        <v/>
      </c>
      <c r="D397" s="6" t="str">
        <f ca="1">IFERROR(__xludf.DUMMYFUNCTION("""COMPUTED_VALUE"""),"")</f>
        <v/>
      </c>
      <c r="E397" s="6" t="str">
        <f ca="1">IFERROR(__xludf.DUMMYFUNCTION("""COMPUTED_VALUE"""),"")</f>
        <v/>
      </c>
      <c r="F397" s="6" t="str">
        <f ca="1">IFERROR(__xludf.DUMMYFUNCTION("""COMPUTED_VALUE"""),"")</f>
        <v/>
      </c>
      <c r="G397" s="6" t="str">
        <f ca="1">IFERROR(__xludf.DUMMYFUNCTION("""COMPUTED_VALUE"""),"")</f>
        <v/>
      </c>
      <c r="H397" s="6" t="str">
        <f ca="1">IFERROR(__xludf.DUMMYFUNCTION("""COMPUTED_VALUE"""),"")</f>
        <v/>
      </c>
      <c r="I397" s="6" t="str">
        <f ca="1">IFERROR(__xludf.DUMMYFUNCTION("""COMPUTED_VALUE"""),"")</f>
        <v/>
      </c>
      <c r="J397" s="6" t="str">
        <f ca="1">IFERROR(__xludf.DUMMYFUNCTION("""COMPUTED_VALUE"""),"")</f>
        <v/>
      </c>
    </row>
    <row r="398" spans="1:10" x14ac:dyDescent="0.2">
      <c r="A398" s="6" t="str">
        <f ca="1">IFERROR(__xludf.DUMMYFUNCTION("""COMPUTED_VALUE"""),"")</f>
        <v/>
      </c>
      <c r="B398" s="6" t="str">
        <f ca="1">IFERROR(__xludf.DUMMYFUNCTION("""COMPUTED_VALUE"""),"")</f>
        <v/>
      </c>
      <c r="C398" s="6" t="str">
        <f ca="1">IFERROR(__xludf.DUMMYFUNCTION("""COMPUTED_VALUE"""),"")</f>
        <v/>
      </c>
      <c r="D398" s="6" t="str">
        <f ca="1">IFERROR(__xludf.DUMMYFUNCTION("""COMPUTED_VALUE"""),"")</f>
        <v/>
      </c>
      <c r="E398" s="6" t="str">
        <f ca="1">IFERROR(__xludf.DUMMYFUNCTION("""COMPUTED_VALUE"""),"")</f>
        <v/>
      </c>
      <c r="F398" s="6" t="str">
        <f ca="1">IFERROR(__xludf.DUMMYFUNCTION("""COMPUTED_VALUE"""),"")</f>
        <v/>
      </c>
      <c r="G398" s="6" t="str">
        <f ca="1">IFERROR(__xludf.DUMMYFUNCTION("""COMPUTED_VALUE"""),"")</f>
        <v/>
      </c>
      <c r="H398" s="6" t="str">
        <f ca="1">IFERROR(__xludf.DUMMYFUNCTION("""COMPUTED_VALUE"""),"")</f>
        <v/>
      </c>
      <c r="I398" s="6" t="str">
        <f ca="1">IFERROR(__xludf.DUMMYFUNCTION("""COMPUTED_VALUE"""),"")</f>
        <v/>
      </c>
      <c r="J398" s="6" t="str">
        <f ca="1">IFERROR(__xludf.DUMMYFUNCTION("""COMPUTED_VALUE"""),"")</f>
        <v/>
      </c>
    </row>
    <row r="399" spans="1:10" x14ac:dyDescent="0.2">
      <c r="A399" s="6" t="str">
        <f ca="1">IFERROR(__xludf.DUMMYFUNCTION("""COMPUTED_VALUE"""),"")</f>
        <v/>
      </c>
      <c r="B399" s="6" t="str">
        <f ca="1">IFERROR(__xludf.DUMMYFUNCTION("""COMPUTED_VALUE"""),"")</f>
        <v/>
      </c>
      <c r="C399" s="6" t="str">
        <f ca="1">IFERROR(__xludf.DUMMYFUNCTION("""COMPUTED_VALUE"""),"")</f>
        <v/>
      </c>
      <c r="D399" s="6" t="str">
        <f ca="1">IFERROR(__xludf.DUMMYFUNCTION("""COMPUTED_VALUE"""),"")</f>
        <v/>
      </c>
      <c r="E399" s="6" t="str">
        <f ca="1">IFERROR(__xludf.DUMMYFUNCTION("""COMPUTED_VALUE"""),"")</f>
        <v/>
      </c>
      <c r="F399" s="6" t="str">
        <f ca="1">IFERROR(__xludf.DUMMYFUNCTION("""COMPUTED_VALUE"""),"")</f>
        <v/>
      </c>
      <c r="G399" s="6" t="str">
        <f ca="1">IFERROR(__xludf.DUMMYFUNCTION("""COMPUTED_VALUE"""),"")</f>
        <v/>
      </c>
      <c r="H399" s="6" t="str">
        <f ca="1">IFERROR(__xludf.DUMMYFUNCTION("""COMPUTED_VALUE"""),"")</f>
        <v/>
      </c>
      <c r="I399" s="6" t="str">
        <f ca="1">IFERROR(__xludf.DUMMYFUNCTION("""COMPUTED_VALUE"""),"")</f>
        <v/>
      </c>
      <c r="J399" s="6" t="str">
        <f ca="1">IFERROR(__xludf.DUMMYFUNCTION("""COMPUTED_VALUE"""),"")</f>
        <v/>
      </c>
    </row>
    <row r="400" spans="1:10" x14ac:dyDescent="0.2">
      <c r="A400" s="6" t="str">
        <f ca="1">IFERROR(__xludf.DUMMYFUNCTION("""COMPUTED_VALUE"""),"")</f>
        <v/>
      </c>
      <c r="B400" s="6" t="str">
        <f ca="1">IFERROR(__xludf.DUMMYFUNCTION("""COMPUTED_VALUE"""),"")</f>
        <v/>
      </c>
      <c r="C400" s="6" t="str">
        <f ca="1">IFERROR(__xludf.DUMMYFUNCTION("""COMPUTED_VALUE"""),"")</f>
        <v/>
      </c>
      <c r="D400" s="6" t="str">
        <f ca="1">IFERROR(__xludf.DUMMYFUNCTION("""COMPUTED_VALUE"""),"")</f>
        <v/>
      </c>
      <c r="E400" s="6" t="str">
        <f ca="1">IFERROR(__xludf.DUMMYFUNCTION("""COMPUTED_VALUE"""),"")</f>
        <v/>
      </c>
      <c r="F400" s="6" t="str">
        <f ca="1">IFERROR(__xludf.DUMMYFUNCTION("""COMPUTED_VALUE"""),"")</f>
        <v/>
      </c>
      <c r="G400" s="6" t="str">
        <f ca="1">IFERROR(__xludf.DUMMYFUNCTION("""COMPUTED_VALUE"""),"")</f>
        <v/>
      </c>
      <c r="H400" s="6" t="str">
        <f ca="1">IFERROR(__xludf.DUMMYFUNCTION("""COMPUTED_VALUE"""),"")</f>
        <v/>
      </c>
      <c r="I400" s="6" t="str">
        <f ca="1">IFERROR(__xludf.DUMMYFUNCTION("""COMPUTED_VALUE"""),"")</f>
        <v/>
      </c>
      <c r="J400" s="6" t="str">
        <f ca="1">IFERROR(__xludf.DUMMYFUNCTION("""COMPUTED_VALUE"""),"")</f>
        <v/>
      </c>
    </row>
    <row r="401" spans="1:10" x14ac:dyDescent="0.2">
      <c r="A401" s="6" t="str">
        <f ca="1">IFERROR(__xludf.DUMMYFUNCTION("""COMPUTED_VALUE"""),"")</f>
        <v/>
      </c>
      <c r="B401" s="6" t="str">
        <f ca="1">IFERROR(__xludf.DUMMYFUNCTION("""COMPUTED_VALUE"""),"")</f>
        <v/>
      </c>
      <c r="C401" s="6" t="str">
        <f ca="1">IFERROR(__xludf.DUMMYFUNCTION("""COMPUTED_VALUE"""),"")</f>
        <v/>
      </c>
      <c r="D401" s="6" t="str">
        <f ca="1">IFERROR(__xludf.DUMMYFUNCTION("""COMPUTED_VALUE"""),"")</f>
        <v/>
      </c>
      <c r="E401" s="6" t="str">
        <f ca="1">IFERROR(__xludf.DUMMYFUNCTION("""COMPUTED_VALUE"""),"")</f>
        <v/>
      </c>
      <c r="F401" s="6" t="str">
        <f ca="1">IFERROR(__xludf.DUMMYFUNCTION("""COMPUTED_VALUE"""),"")</f>
        <v/>
      </c>
      <c r="G401" s="6" t="str">
        <f ca="1">IFERROR(__xludf.DUMMYFUNCTION("""COMPUTED_VALUE"""),"")</f>
        <v/>
      </c>
      <c r="H401" s="6" t="str">
        <f ca="1">IFERROR(__xludf.DUMMYFUNCTION("""COMPUTED_VALUE"""),"")</f>
        <v/>
      </c>
      <c r="I401" s="6" t="str">
        <f ca="1">IFERROR(__xludf.DUMMYFUNCTION("""COMPUTED_VALUE"""),"")</f>
        <v/>
      </c>
      <c r="J401" s="6" t="str">
        <f ca="1">IFERROR(__xludf.DUMMYFUNCTION("""COMPUTED_VALUE"""),"")</f>
        <v/>
      </c>
    </row>
    <row r="402" spans="1:10" x14ac:dyDescent="0.2">
      <c r="A402" s="6" t="str">
        <f ca="1">IFERROR(__xludf.DUMMYFUNCTION("""COMPUTED_VALUE"""),"")</f>
        <v/>
      </c>
      <c r="B402" s="6" t="str">
        <f ca="1">IFERROR(__xludf.DUMMYFUNCTION("""COMPUTED_VALUE"""),"")</f>
        <v/>
      </c>
      <c r="C402" s="6" t="str">
        <f ca="1">IFERROR(__xludf.DUMMYFUNCTION("""COMPUTED_VALUE"""),"")</f>
        <v/>
      </c>
      <c r="D402" s="6" t="str">
        <f ca="1">IFERROR(__xludf.DUMMYFUNCTION("""COMPUTED_VALUE"""),"")</f>
        <v/>
      </c>
      <c r="E402" s="6" t="str">
        <f ca="1">IFERROR(__xludf.DUMMYFUNCTION("""COMPUTED_VALUE"""),"")</f>
        <v/>
      </c>
      <c r="F402" s="6" t="str">
        <f ca="1">IFERROR(__xludf.DUMMYFUNCTION("""COMPUTED_VALUE"""),"")</f>
        <v/>
      </c>
      <c r="G402" s="6" t="str">
        <f ca="1">IFERROR(__xludf.DUMMYFUNCTION("""COMPUTED_VALUE"""),"")</f>
        <v/>
      </c>
      <c r="H402" s="6" t="str">
        <f ca="1">IFERROR(__xludf.DUMMYFUNCTION("""COMPUTED_VALUE"""),"")</f>
        <v/>
      </c>
      <c r="I402" s="6" t="str">
        <f ca="1">IFERROR(__xludf.DUMMYFUNCTION("""COMPUTED_VALUE"""),"")</f>
        <v/>
      </c>
      <c r="J402" s="6" t="str">
        <f ca="1">IFERROR(__xludf.DUMMYFUNCTION("""COMPUTED_VALUE"""),"")</f>
        <v/>
      </c>
    </row>
    <row r="403" spans="1:10" x14ac:dyDescent="0.2">
      <c r="A403" s="6" t="str">
        <f ca="1">IFERROR(__xludf.DUMMYFUNCTION("""COMPUTED_VALUE"""),"")</f>
        <v/>
      </c>
      <c r="B403" s="6" t="str">
        <f ca="1">IFERROR(__xludf.DUMMYFUNCTION("""COMPUTED_VALUE"""),"")</f>
        <v/>
      </c>
      <c r="C403" s="6" t="str">
        <f ca="1">IFERROR(__xludf.DUMMYFUNCTION("""COMPUTED_VALUE"""),"")</f>
        <v/>
      </c>
      <c r="D403" s="6" t="str">
        <f ca="1">IFERROR(__xludf.DUMMYFUNCTION("""COMPUTED_VALUE"""),"")</f>
        <v/>
      </c>
      <c r="E403" s="6" t="str">
        <f ca="1">IFERROR(__xludf.DUMMYFUNCTION("""COMPUTED_VALUE"""),"")</f>
        <v/>
      </c>
      <c r="F403" s="6" t="str">
        <f ca="1">IFERROR(__xludf.DUMMYFUNCTION("""COMPUTED_VALUE"""),"")</f>
        <v/>
      </c>
      <c r="G403" s="6" t="str">
        <f ca="1">IFERROR(__xludf.DUMMYFUNCTION("""COMPUTED_VALUE"""),"")</f>
        <v/>
      </c>
      <c r="H403" s="6" t="str">
        <f ca="1">IFERROR(__xludf.DUMMYFUNCTION("""COMPUTED_VALUE"""),"")</f>
        <v/>
      </c>
      <c r="I403" s="6" t="str">
        <f ca="1">IFERROR(__xludf.DUMMYFUNCTION("""COMPUTED_VALUE"""),"")</f>
        <v/>
      </c>
      <c r="J403" s="6" t="str">
        <f ca="1">IFERROR(__xludf.DUMMYFUNCTION("""COMPUTED_VALUE"""),"")</f>
        <v/>
      </c>
    </row>
    <row r="404" spans="1:10" x14ac:dyDescent="0.2">
      <c r="A404" s="6" t="str">
        <f ca="1">IFERROR(__xludf.DUMMYFUNCTION("""COMPUTED_VALUE"""),"")</f>
        <v/>
      </c>
      <c r="B404" s="6" t="str">
        <f ca="1">IFERROR(__xludf.DUMMYFUNCTION("""COMPUTED_VALUE"""),"")</f>
        <v/>
      </c>
      <c r="C404" s="6" t="str">
        <f ca="1">IFERROR(__xludf.DUMMYFUNCTION("""COMPUTED_VALUE"""),"")</f>
        <v/>
      </c>
      <c r="D404" s="6" t="str">
        <f ca="1">IFERROR(__xludf.DUMMYFUNCTION("""COMPUTED_VALUE"""),"")</f>
        <v/>
      </c>
      <c r="E404" s="6" t="str">
        <f ca="1">IFERROR(__xludf.DUMMYFUNCTION("""COMPUTED_VALUE"""),"")</f>
        <v/>
      </c>
      <c r="F404" s="6" t="str">
        <f ca="1">IFERROR(__xludf.DUMMYFUNCTION("""COMPUTED_VALUE"""),"")</f>
        <v/>
      </c>
      <c r="G404" s="6" t="str">
        <f ca="1">IFERROR(__xludf.DUMMYFUNCTION("""COMPUTED_VALUE"""),"")</f>
        <v/>
      </c>
      <c r="H404" s="6" t="str">
        <f ca="1">IFERROR(__xludf.DUMMYFUNCTION("""COMPUTED_VALUE"""),"")</f>
        <v/>
      </c>
      <c r="I404" s="6" t="str">
        <f ca="1">IFERROR(__xludf.DUMMYFUNCTION("""COMPUTED_VALUE"""),"")</f>
        <v/>
      </c>
      <c r="J404" s="6" t="str">
        <f ca="1">IFERROR(__xludf.DUMMYFUNCTION("""COMPUTED_VALUE"""),"")</f>
        <v/>
      </c>
    </row>
    <row r="405" spans="1:10" x14ac:dyDescent="0.2">
      <c r="A405" s="6" t="str">
        <f ca="1">IFERROR(__xludf.DUMMYFUNCTION("""COMPUTED_VALUE"""),"")</f>
        <v/>
      </c>
      <c r="B405" s="6" t="str">
        <f ca="1">IFERROR(__xludf.DUMMYFUNCTION("""COMPUTED_VALUE"""),"")</f>
        <v/>
      </c>
      <c r="C405" s="6" t="str">
        <f ca="1">IFERROR(__xludf.DUMMYFUNCTION("""COMPUTED_VALUE"""),"")</f>
        <v/>
      </c>
      <c r="D405" s="6" t="str">
        <f ca="1">IFERROR(__xludf.DUMMYFUNCTION("""COMPUTED_VALUE"""),"")</f>
        <v/>
      </c>
      <c r="E405" s="6" t="str">
        <f ca="1">IFERROR(__xludf.DUMMYFUNCTION("""COMPUTED_VALUE"""),"")</f>
        <v/>
      </c>
      <c r="F405" s="6" t="str">
        <f ca="1">IFERROR(__xludf.DUMMYFUNCTION("""COMPUTED_VALUE"""),"")</f>
        <v/>
      </c>
      <c r="G405" s="6" t="str">
        <f ca="1">IFERROR(__xludf.DUMMYFUNCTION("""COMPUTED_VALUE"""),"")</f>
        <v/>
      </c>
      <c r="H405" s="6" t="str">
        <f ca="1">IFERROR(__xludf.DUMMYFUNCTION("""COMPUTED_VALUE"""),"")</f>
        <v/>
      </c>
      <c r="I405" s="6" t="str">
        <f ca="1">IFERROR(__xludf.DUMMYFUNCTION("""COMPUTED_VALUE"""),"")</f>
        <v/>
      </c>
      <c r="J405" s="6" t="str">
        <f ca="1">IFERROR(__xludf.DUMMYFUNCTION("""COMPUTED_VALUE"""),"")</f>
        <v/>
      </c>
    </row>
    <row r="406" spans="1:10" x14ac:dyDescent="0.2">
      <c r="A406" s="6" t="str">
        <f ca="1">IFERROR(__xludf.DUMMYFUNCTION("""COMPUTED_VALUE"""),"")</f>
        <v/>
      </c>
      <c r="B406" s="6" t="str">
        <f ca="1">IFERROR(__xludf.DUMMYFUNCTION("""COMPUTED_VALUE"""),"")</f>
        <v/>
      </c>
      <c r="C406" s="6" t="str">
        <f ca="1">IFERROR(__xludf.DUMMYFUNCTION("""COMPUTED_VALUE"""),"")</f>
        <v/>
      </c>
      <c r="D406" s="6" t="str">
        <f ca="1">IFERROR(__xludf.DUMMYFUNCTION("""COMPUTED_VALUE"""),"")</f>
        <v/>
      </c>
      <c r="E406" s="6" t="str">
        <f ca="1">IFERROR(__xludf.DUMMYFUNCTION("""COMPUTED_VALUE"""),"")</f>
        <v/>
      </c>
      <c r="F406" s="6" t="str">
        <f ca="1">IFERROR(__xludf.DUMMYFUNCTION("""COMPUTED_VALUE"""),"")</f>
        <v/>
      </c>
      <c r="G406" s="6" t="str">
        <f ca="1">IFERROR(__xludf.DUMMYFUNCTION("""COMPUTED_VALUE"""),"")</f>
        <v/>
      </c>
      <c r="H406" s="6" t="str">
        <f ca="1">IFERROR(__xludf.DUMMYFUNCTION("""COMPUTED_VALUE"""),"")</f>
        <v/>
      </c>
      <c r="I406" s="6" t="str">
        <f ca="1">IFERROR(__xludf.DUMMYFUNCTION("""COMPUTED_VALUE"""),"")</f>
        <v/>
      </c>
      <c r="J406" s="6" t="str">
        <f ca="1">IFERROR(__xludf.DUMMYFUNCTION("""COMPUTED_VALUE"""),"")</f>
        <v/>
      </c>
    </row>
    <row r="407" spans="1:10" x14ac:dyDescent="0.2">
      <c r="A407" s="6" t="str">
        <f ca="1">IFERROR(__xludf.DUMMYFUNCTION("""COMPUTED_VALUE"""),"")</f>
        <v/>
      </c>
      <c r="B407" s="6" t="str">
        <f ca="1">IFERROR(__xludf.DUMMYFUNCTION("""COMPUTED_VALUE"""),"")</f>
        <v/>
      </c>
      <c r="C407" s="6" t="str">
        <f ca="1">IFERROR(__xludf.DUMMYFUNCTION("""COMPUTED_VALUE"""),"")</f>
        <v/>
      </c>
      <c r="D407" s="6" t="str">
        <f ca="1">IFERROR(__xludf.DUMMYFUNCTION("""COMPUTED_VALUE"""),"")</f>
        <v/>
      </c>
      <c r="E407" s="6" t="str">
        <f ca="1">IFERROR(__xludf.DUMMYFUNCTION("""COMPUTED_VALUE"""),"")</f>
        <v/>
      </c>
      <c r="F407" s="6" t="str">
        <f ca="1">IFERROR(__xludf.DUMMYFUNCTION("""COMPUTED_VALUE"""),"")</f>
        <v/>
      </c>
      <c r="G407" s="6" t="str">
        <f ca="1">IFERROR(__xludf.DUMMYFUNCTION("""COMPUTED_VALUE"""),"")</f>
        <v/>
      </c>
      <c r="H407" s="6" t="str">
        <f ca="1">IFERROR(__xludf.DUMMYFUNCTION("""COMPUTED_VALUE"""),"")</f>
        <v/>
      </c>
      <c r="I407" s="6" t="str">
        <f ca="1">IFERROR(__xludf.DUMMYFUNCTION("""COMPUTED_VALUE"""),"")</f>
        <v/>
      </c>
      <c r="J407" s="6" t="str">
        <f ca="1">IFERROR(__xludf.DUMMYFUNCTION("""COMPUTED_VALUE"""),"")</f>
        <v/>
      </c>
    </row>
    <row r="408" spans="1:10" x14ac:dyDescent="0.2">
      <c r="A408" s="6" t="str">
        <f ca="1">IFERROR(__xludf.DUMMYFUNCTION("""COMPUTED_VALUE"""),"")</f>
        <v/>
      </c>
      <c r="B408" s="6" t="str">
        <f ca="1">IFERROR(__xludf.DUMMYFUNCTION("""COMPUTED_VALUE"""),"")</f>
        <v/>
      </c>
      <c r="C408" s="6" t="str">
        <f ca="1">IFERROR(__xludf.DUMMYFUNCTION("""COMPUTED_VALUE"""),"")</f>
        <v/>
      </c>
      <c r="D408" s="6" t="str">
        <f ca="1">IFERROR(__xludf.DUMMYFUNCTION("""COMPUTED_VALUE"""),"")</f>
        <v/>
      </c>
      <c r="E408" s="6" t="str">
        <f ca="1">IFERROR(__xludf.DUMMYFUNCTION("""COMPUTED_VALUE"""),"")</f>
        <v/>
      </c>
      <c r="F408" s="6" t="str">
        <f ca="1">IFERROR(__xludf.DUMMYFUNCTION("""COMPUTED_VALUE"""),"")</f>
        <v/>
      </c>
      <c r="G408" s="6" t="str">
        <f ca="1">IFERROR(__xludf.DUMMYFUNCTION("""COMPUTED_VALUE"""),"")</f>
        <v/>
      </c>
      <c r="H408" s="6" t="str">
        <f ca="1">IFERROR(__xludf.DUMMYFUNCTION("""COMPUTED_VALUE"""),"")</f>
        <v/>
      </c>
      <c r="I408" s="6" t="str">
        <f ca="1">IFERROR(__xludf.DUMMYFUNCTION("""COMPUTED_VALUE"""),"")</f>
        <v/>
      </c>
      <c r="J408" s="6" t="str">
        <f ca="1">IFERROR(__xludf.DUMMYFUNCTION("""COMPUTED_VALUE"""),"")</f>
        <v/>
      </c>
    </row>
    <row r="409" spans="1:10" x14ac:dyDescent="0.2">
      <c r="A409" s="6" t="str">
        <f ca="1">IFERROR(__xludf.DUMMYFUNCTION("""COMPUTED_VALUE"""),"")</f>
        <v/>
      </c>
      <c r="B409" s="6" t="str">
        <f ca="1">IFERROR(__xludf.DUMMYFUNCTION("""COMPUTED_VALUE"""),"")</f>
        <v/>
      </c>
      <c r="C409" s="6" t="str">
        <f ca="1">IFERROR(__xludf.DUMMYFUNCTION("""COMPUTED_VALUE"""),"")</f>
        <v/>
      </c>
      <c r="D409" s="6" t="str">
        <f ca="1">IFERROR(__xludf.DUMMYFUNCTION("""COMPUTED_VALUE"""),"")</f>
        <v/>
      </c>
      <c r="E409" s="6" t="str">
        <f ca="1">IFERROR(__xludf.DUMMYFUNCTION("""COMPUTED_VALUE"""),"")</f>
        <v/>
      </c>
      <c r="F409" s="6" t="str">
        <f ca="1">IFERROR(__xludf.DUMMYFUNCTION("""COMPUTED_VALUE"""),"")</f>
        <v/>
      </c>
      <c r="G409" s="6" t="str">
        <f ca="1">IFERROR(__xludf.DUMMYFUNCTION("""COMPUTED_VALUE"""),"")</f>
        <v/>
      </c>
      <c r="H409" s="6" t="str">
        <f ca="1">IFERROR(__xludf.DUMMYFUNCTION("""COMPUTED_VALUE"""),"")</f>
        <v/>
      </c>
      <c r="I409" s="6" t="str">
        <f ca="1">IFERROR(__xludf.DUMMYFUNCTION("""COMPUTED_VALUE"""),"")</f>
        <v/>
      </c>
      <c r="J409" s="6" t="str">
        <f ca="1">IFERROR(__xludf.DUMMYFUNCTION("""COMPUTED_VALUE"""),"")</f>
        <v/>
      </c>
    </row>
    <row r="410" spans="1:10" x14ac:dyDescent="0.2">
      <c r="A410" s="6" t="str">
        <f ca="1">IFERROR(__xludf.DUMMYFUNCTION("""COMPUTED_VALUE"""),"")</f>
        <v/>
      </c>
      <c r="B410" s="6" t="str">
        <f ca="1">IFERROR(__xludf.DUMMYFUNCTION("""COMPUTED_VALUE"""),"")</f>
        <v/>
      </c>
      <c r="C410" s="6" t="str">
        <f ca="1">IFERROR(__xludf.DUMMYFUNCTION("""COMPUTED_VALUE"""),"")</f>
        <v/>
      </c>
      <c r="D410" s="6" t="str">
        <f ca="1">IFERROR(__xludf.DUMMYFUNCTION("""COMPUTED_VALUE"""),"")</f>
        <v/>
      </c>
      <c r="E410" s="6" t="str">
        <f ca="1">IFERROR(__xludf.DUMMYFUNCTION("""COMPUTED_VALUE"""),"")</f>
        <v/>
      </c>
      <c r="F410" s="6" t="str">
        <f ca="1">IFERROR(__xludf.DUMMYFUNCTION("""COMPUTED_VALUE"""),"")</f>
        <v/>
      </c>
      <c r="G410" s="6" t="str">
        <f ca="1">IFERROR(__xludf.DUMMYFUNCTION("""COMPUTED_VALUE"""),"")</f>
        <v/>
      </c>
      <c r="H410" s="6" t="str">
        <f ca="1">IFERROR(__xludf.DUMMYFUNCTION("""COMPUTED_VALUE"""),"")</f>
        <v/>
      </c>
      <c r="I410" s="6" t="str">
        <f ca="1">IFERROR(__xludf.DUMMYFUNCTION("""COMPUTED_VALUE"""),"")</f>
        <v/>
      </c>
      <c r="J410" s="6" t="str">
        <f ca="1">IFERROR(__xludf.DUMMYFUNCTION("""COMPUTED_VALUE"""),"")</f>
        <v/>
      </c>
    </row>
    <row r="411" spans="1:10" x14ac:dyDescent="0.2">
      <c r="A411" s="6" t="str">
        <f ca="1">IFERROR(__xludf.DUMMYFUNCTION("""COMPUTED_VALUE"""),"")</f>
        <v/>
      </c>
      <c r="B411" s="6" t="str">
        <f ca="1">IFERROR(__xludf.DUMMYFUNCTION("""COMPUTED_VALUE"""),"")</f>
        <v/>
      </c>
      <c r="C411" s="6" t="str">
        <f ca="1">IFERROR(__xludf.DUMMYFUNCTION("""COMPUTED_VALUE"""),"")</f>
        <v/>
      </c>
      <c r="D411" s="6" t="str">
        <f ca="1">IFERROR(__xludf.DUMMYFUNCTION("""COMPUTED_VALUE"""),"")</f>
        <v/>
      </c>
      <c r="E411" s="6" t="str">
        <f ca="1">IFERROR(__xludf.DUMMYFUNCTION("""COMPUTED_VALUE"""),"")</f>
        <v/>
      </c>
      <c r="F411" s="6" t="str">
        <f ca="1">IFERROR(__xludf.DUMMYFUNCTION("""COMPUTED_VALUE"""),"")</f>
        <v/>
      </c>
      <c r="G411" s="6" t="str">
        <f ca="1">IFERROR(__xludf.DUMMYFUNCTION("""COMPUTED_VALUE"""),"")</f>
        <v/>
      </c>
      <c r="H411" s="6" t="str">
        <f ca="1">IFERROR(__xludf.DUMMYFUNCTION("""COMPUTED_VALUE"""),"")</f>
        <v/>
      </c>
      <c r="I411" s="6" t="str">
        <f ca="1">IFERROR(__xludf.DUMMYFUNCTION("""COMPUTED_VALUE"""),"")</f>
        <v/>
      </c>
      <c r="J411" s="6" t="str">
        <f ca="1">IFERROR(__xludf.DUMMYFUNCTION("""COMPUTED_VALUE"""),"")</f>
        <v/>
      </c>
    </row>
    <row r="412" spans="1:10" x14ac:dyDescent="0.2">
      <c r="A412" s="6" t="str">
        <f ca="1">IFERROR(__xludf.DUMMYFUNCTION("""COMPUTED_VALUE"""),"")</f>
        <v/>
      </c>
      <c r="B412" s="6" t="str">
        <f ca="1">IFERROR(__xludf.DUMMYFUNCTION("""COMPUTED_VALUE"""),"")</f>
        <v/>
      </c>
      <c r="C412" s="6" t="str">
        <f ca="1">IFERROR(__xludf.DUMMYFUNCTION("""COMPUTED_VALUE"""),"")</f>
        <v/>
      </c>
      <c r="D412" s="6" t="str">
        <f ca="1">IFERROR(__xludf.DUMMYFUNCTION("""COMPUTED_VALUE"""),"")</f>
        <v/>
      </c>
      <c r="E412" s="6" t="str">
        <f ca="1">IFERROR(__xludf.DUMMYFUNCTION("""COMPUTED_VALUE"""),"")</f>
        <v/>
      </c>
      <c r="F412" s="6" t="str">
        <f ca="1">IFERROR(__xludf.DUMMYFUNCTION("""COMPUTED_VALUE"""),"")</f>
        <v/>
      </c>
      <c r="G412" s="6" t="str">
        <f ca="1">IFERROR(__xludf.DUMMYFUNCTION("""COMPUTED_VALUE"""),"")</f>
        <v/>
      </c>
      <c r="H412" s="6" t="str">
        <f ca="1">IFERROR(__xludf.DUMMYFUNCTION("""COMPUTED_VALUE"""),"")</f>
        <v/>
      </c>
      <c r="I412" s="6" t="str">
        <f ca="1">IFERROR(__xludf.DUMMYFUNCTION("""COMPUTED_VALUE"""),"")</f>
        <v/>
      </c>
      <c r="J412" s="6" t="str">
        <f ca="1">IFERROR(__xludf.DUMMYFUNCTION("""COMPUTED_VALUE"""),"")</f>
        <v/>
      </c>
    </row>
    <row r="413" spans="1:10" x14ac:dyDescent="0.2">
      <c r="A413" s="6" t="str">
        <f ca="1">IFERROR(__xludf.DUMMYFUNCTION("""COMPUTED_VALUE"""),"")</f>
        <v/>
      </c>
      <c r="B413" s="6" t="str">
        <f ca="1">IFERROR(__xludf.DUMMYFUNCTION("""COMPUTED_VALUE"""),"")</f>
        <v/>
      </c>
      <c r="C413" s="6" t="str">
        <f ca="1">IFERROR(__xludf.DUMMYFUNCTION("""COMPUTED_VALUE"""),"")</f>
        <v/>
      </c>
      <c r="D413" s="6" t="str">
        <f ca="1">IFERROR(__xludf.DUMMYFUNCTION("""COMPUTED_VALUE"""),"")</f>
        <v/>
      </c>
      <c r="E413" s="6" t="str">
        <f ca="1">IFERROR(__xludf.DUMMYFUNCTION("""COMPUTED_VALUE"""),"")</f>
        <v/>
      </c>
      <c r="F413" s="6" t="str">
        <f ca="1">IFERROR(__xludf.DUMMYFUNCTION("""COMPUTED_VALUE"""),"")</f>
        <v/>
      </c>
      <c r="G413" s="6" t="str">
        <f ca="1">IFERROR(__xludf.DUMMYFUNCTION("""COMPUTED_VALUE"""),"")</f>
        <v/>
      </c>
      <c r="H413" s="6" t="str">
        <f ca="1">IFERROR(__xludf.DUMMYFUNCTION("""COMPUTED_VALUE"""),"")</f>
        <v/>
      </c>
      <c r="I413" s="6" t="str">
        <f ca="1">IFERROR(__xludf.DUMMYFUNCTION("""COMPUTED_VALUE"""),"")</f>
        <v/>
      </c>
      <c r="J413" s="6" t="str">
        <f ca="1">IFERROR(__xludf.DUMMYFUNCTION("""COMPUTED_VALUE"""),"")</f>
        <v/>
      </c>
    </row>
    <row r="414" spans="1:10" x14ac:dyDescent="0.2">
      <c r="A414" s="6" t="str">
        <f ca="1">IFERROR(__xludf.DUMMYFUNCTION("""COMPUTED_VALUE"""),"")</f>
        <v/>
      </c>
      <c r="B414" s="6" t="str">
        <f ca="1">IFERROR(__xludf.DUMMYFUNCTION("""COMPUTED_VALUE"""),"")</f>
        <v/>
      </c>
      <c r="C414" s="6" t="str">
        <f ca="1">IFERROR(__xludf.DUMMYFUNCTION("""COMPUTED_VALUE"""),"")</f>
        <v/>
      </c>
      <c r="D414" s="6" t="str">
        <f ca="1">IFERROR(__xludf.DUMMYFUNCTION("""COMPUTED_VALUE"""),"")</f>
        <v/>
      </c>
      <c r="E414" s="6" t="str">
        <f ca="1">IFERROR(__xludf.DUMMYFUNCTION("""COMPUTED_VALUE"""),"")</f>
        <v/>
      </c>
      <c r="F414" s="6" t="str">
        <f ca="1">IFERROR(__xludf.DUMMYFUNCTION("""COMPUTED_VALUE"""),"")</f>
        <v/>
      </c>
      <c r="G414" s="6" t="str">
        <f ca="1">IFERROR(__xludf.DUMMYFUNCTION("""COMPUTED_VALUE"""),"")</f>
        <v/>
      </c>
      <c r="H414" s="6" t="str">
        <f ca="1">IFERROR(__xludf.DUMMYFUNCTION("""COMPUTED_VALUE"""),"")</f>
        <v/>
      </c>
      <c r="I414" s="6" t="str">
        <f ca="1">IFERROR(__xludf.DUMMYFUNCTION("""COMPUTED_VALUE"""),"")</f>
        <v/>
      </c>
      <c r="J414" s="6" t="str">
        <f ca="1">IFERROR(__xludf.DUMMYFUNCTION("""COMPUTED_VALUE"""),"")</f>
        <v/>
      </c>
    </row>
    <row r="415" spans="1:10" x14ac:dyDescent="0.2">
      <c r="A415" s="6" t="str">
        <f ca="1">IFERROR(__xludf.DUMMYFUNCTION("""COMPUTED_VALUE"""),"")</f>
        <v/>
      </c>
      <c r="B415" s="6" t="str">
        <f ca="1">IFERROR(__xludf.DUMMYFUNCTION("""COMPUTED_VALUE"""),"")</f>
        <v/>
      </c>
      <c r="C415" s="6" t="str">
        <f ca="1">IFERROR(__xludf.DUMMYFUNCTION("""COMPUTED_VALUE"""),"")</f>
        <v/>
      </c>
      <c r="D415" s="6" t="str">
        <f ca="1">IFERROR(__xludf.DUMMYFUNCTION("""COMPUTED_VALUE"""),"")</f>
        <v/>
      </c>
      <c r="E415" s="6" t="str">
        <f ca="1">IFERROR(__xludf.DUMMYFUNCTION("""COMPUTED_VALUE"""),"")</f>
        <v/>
      </c>
      <c r="F415" s="6" t="str">
        <f ca="1">IFERROR(__xludf.DUMMYFUNCTION("""COMPUTED_VALUE"""),"")</f>
        <v/>
      </c>
      <c r="G415" s="6" t="str">
        <f ca="1">IFERROR(__xludf.DUMMYFUNCTION("""COMPUTED_VALUE"""),"")</f>
        <v/>
      </c>
      <c r="H415" s="6" t="str">
        <f ca="1">IFERROR(__xludf.DUMMYFUNCTION("""COMPUTED_VALUE"""),"")</f>
        <v/>
      </c>
      <c r="I415" s="6" t="str">
        <f ca="1">IFERROR(__xludf.DUMMYFUNCTION("""COMPUTED_VALUE"""),"")</f>
        <v/>
      </c>
      <c r="J415" s="6" t="str">
        <f ca="1">IFERROR(__xludf.DUMMYFUNCTION("""COMPUTED_VALUE"""),"")</f>
        <v/>
      </c>
    </row>
    <row r="416" spans="1:10" x14ac:dyDescent="0.2">
      <c r="A416" s="6" t="str">
        <f ca="1">IFERROR(__xludf.DUMMYFUNCTION("""COMPUTED_VALUE"""),"")</f>
        <v/>
      </c>
      <c r="B416" s="6" t="str">
        <f ca="1">IFERROR(__xludf.DUMMYFUNCTION("""COMPUTED_VALUE"""),"")</f>
        <v/>
      </c>
      <c r="C416" s="6" t="str">
        <f ca="1">IFERROR(__xludf.DUMMYFUNCTION("""COMPUTED_VALUE"""),"")</f>
        <v/>
      </c>
      <c r="D416" s="6" t="str">
        <f ca="1">IFERROR(__xludf.DUMMYFUNCTION("""COMPUTED_VALUE"""),"")</f>
        <v/>
      </c>
      <c r="E416" s="6" t="str">
        <f ca="1">IFERROR(__xludf.DUMMYFUNCTION("""COMPUTED_VALUE"""),"")</f>
        <v/>
      </c>
      <c r="F416" s="6" t="str">
        <f ca="1">IFERROR(__xludf.DUMMYFUNCTION("""COMPUTED_VALUE"""),"")</f>
        <v/>
      </c>
      <c r="G416" s="6" t="str">
        <f ca="1">IFERROR(__xludf.DUMMYFUNCTION("""COMPUTED_VALUE"""),"")</f>
        <v/>
      </c>
      <c r="H416" s="6" t="str">
        <f ca="1">IFERROR(__xludf.DUMMYFUNCTION("""COMPUTED_VALUE"""),"")</f>
        <v/>
      </c>
      <c r="I416" s="6" t="str">
        <f ca="1">IFERROR(__xludf.DUMMYFUNCTION("""COMPUTED_VALUE"""),"")</f>
        <v/>
      </c>
      <c r="J416" s="6" t="str">
        <f ca="1">IFERROR(__xludf.DUMMYFUNCTION("""COMPUTED_VALUE"""),"")</f>
        <v/>
      </c>
    </row>
    <row r="417" spans="1:10" x14ac:dyDescent="0.2">
      <c r="A417" s="6" t="str">
        <f ca="1">IFERROR(__xludf.DUMMYFUNCTION("""COMPUTED_VALUE"""),"")</f>
        <v/>
      </c>
      <c r="B417" s="6" t="str">
        <f ca="1">IFERROR(__xludf.DUMMYFUNCTION("""COMPUTED_VALUE"""),"")</f>
        <v/>
      </c>
      <c r="C417" s="6" t="str">
        <f ca="1">IFERROR(__xludf.DUMMYFUNCTION("""COMPUTED_VALUE"""),"")</f>
        <v/>
      </c>
      <c r="D417" s="6" t="str">
        <f ca="1">IFERROR(__xludf.DUMMYFUNCTION("""COMPUTED_VALUE"""),"")</f>
        <v/>
      </c>
      <c r="E417" s="6" t="str">
        <f ca="1">IFERROR(__xludf.DUMMYFUNCTION("""COMPUTED_VALUE"""),"")</f>
        <v/>
      </c>
      <c r="F417" s="6" t="str">
        <f ca="1">IFERROR(__xludf.DUMMYFUNCTION("""COMPUTED_VALUE"""),"")</f>
        <v/>
      </c>
      <c r="G417" s="6" t="str">
        <f ca="1">IFERROR(__xludf.DUMMYFUNCTION("""COMPUTED_VALUE"""),"")</f>
        <v/>
      </c>
      <c r="H417" s="6" t="str">
        <f ca="1">IFERROR(__xludf.DUMMYFUNCTION("""COMPUTED_VALUE"""),"")</f>
        <v/>
      </c>
      <c r="I417" s="6" t="str">
        <f ca="1">IFERROR(__xludf.DUMMYFUNCTION("""COMPUTED_VALUE"""),"")</f>
        <v/>
      </c>
      <c r="J417" s="6" t="str">
        <f ca="1">IFERROR(__xludf.DUMMYFUNCTION("""COMPUTED_VALUE"""),"")</f>
        <v/>
      </c>
    </row>
    <row r="418" spans="1:10" x14ac:dyDescent="0.2">
      <c r="A418" s="6" t="str">
        <f ca="1">IFERROR(__xludf.DUMMYFUNCTION("""COMPUTED_VALUE"""),"")</f>
        <v/>
      </c>
      <c r="B418" s="6" t="str">
        <f ca="1">IFERROR(__xludf.DUMMYFUNCTION("""COMPUTED_VALUE"""),"")</f>
        <v/>
      </c>
      <c r="C418" s="6" t="str">
        <f ca="1">IFERROR(__xludf.DUMMYFUNCTION("""COMPUTED_VALUE"""),"")</f>
        <v/>
      </c>
      <c r="D418" s="6" t="str">
        <f ca="1">IFERROR(__xludf.DUMMYFUNCTION("""COMPUTED_VALUE"""),"")</f>
        <v/>
      </c>
      <c r="E418" s="6" t="str">
        <f ca="1">IFERROR(__xludf.DUMMYFUNCTION("""COMPUTED_VALUE"""),"")</f>
        <v/>
      </c>
      <c r="F418" s="6" t="str">
        <f ca="1">IFERROR(__xludf.DUMMYFUNCTION("""COMPUTED_VALUE"""),"")</f>
        <v/>
      </c>
      <c r="G418" s="6" t="str">
        <f ca="1">IFERROR(__xludf.DUMMYFUNCTION("""COMPUTED_VALUE"""),"")</f>
        <v/>
      </c>
      <c r="H418" s="6" t="str">
        <f ca="1">IFERROR(__xludf.DUMMYFUNCTION("""COMPUTED_VALUE"""),"")</f>
        <v/>
      </c>
      <c r="I418" s="6" t="str">
        <f ca="1">IFERROR(__xludf.DUMMYFUNCTION("""COMPUTED_VALUE"""),"")</f>
        <v/>
      </c>
      <c r="J418" s="6" t="str">
        <f ca="1">IFERROR(__xludf.DUMMYFUNCTION("""COMPUTED_VALUE"""),"")</f>
        <v/>
      </c>
    </row>
    <row r="419" spans="1:10" x14ac:dyDescent="0.2">
      <c r="A419" s="6" t="str">
        <f ca="1">IFERROR(__xludf.DUMMYFUNCTION("""COMPUTED_VALUE"""),"")</f>
        <v/>
      </c>
      <c r="B419" s="6" t="str">
        <f ca="1">IFERROR(__xludf.DUMMYFUNCTION("""COMPUTED_VALUE"""),"")</f>
        <v/>
      </c>
      <c r="C419" s="6" t="str">
        <f ca="1">IFERROR(__xludf.DUMMYFUNCTION("""COMPUTED_VALUE"""),"")</f>
        <v/>
      </c>
      <c r="D419" s="6" t="str">
        <f ca="1">IFERROR(__xludf.DUMMYFUNCTION("""COMPUTED_VALUE"""),"")</f>
        <v/>
      </c>
      <c r="E419" s="6" t="str">
        <f ca="1">IFERROR(__xludf.DUMMYFUNCTION("""COMPUTED_VALUE"""),"")</f>
        <v/>
      </c>
      <c r="F419" s="6" t="str">
        <f ca="1">IFERROR(__xludf.DUMMYFUNCTION("""COMPUTED_VALUE"""),"")</f>
        <v/>
      </c>
      <c r="G419" s="6" t="str">
        <f ca="1">IFERROR(__xludf.DUMMYFUNCTION("""COMPUTED_VALUE"""),"")</f>
        <v/>
      </c>
      <c r="H419" s="6" t="str">
        <f ca="1">IFERROR(__xludf.DUMMYFUNCTION("""COMPUTED_VALUE"""),"")</f>
        <v/>
      </c>
      <c r="I419" s="6" t="str">
        <f ca="1">IFERROR(__xludf.DUMMYFUNCTION("""COMPUTED_VALUE"""),"")</f>
        <v/>
      </c>
      <c r="J419" s="6" t="str">
        <f ca="1">IFERROR(__xludf.DUMMYFUNCTION("""COMPUTED_VALUE"""),"")</f>
        <v/>
      </c>
    </row>
    <row r="420" spans="1:10" x14ac:dyDescent="0.2">
      <c r="A420" s="6" t="str">
        <f ca="1">IFERROR(__xludf.DUMMYFUNCTION("""COMPUTED_VALUE"""),"")</f>
        <v/>
      </c>
      <c r="B420" s="6" t="str">
        <f ca="1">IFERROR(__xludf.DUMMYFUNCTION("""COMPUTED_VALUE"""),"")</f>
        <v/>
      </c>
      <c r="C420" s="6" t="str">
        <f ca="1">IFERROR(__xludf.DUMMYFUNCTION("""COMPUTED_VALUE"""),"")</f>
        <v/>
      </c>
      <c r="D420" s="6" t="str">
        <f ca="1">IFERROR(__xludf.DUMMYFUNCTION("""COMPUTED_VALUE"""),"")</f>
        <v/>
      </c>
      <c r="E420" s="6" t="str">
        <f ca="1">IFERROR(__xludf.DUMMYFUNCTION("""COMPUTED_VALUE"""),"")</f>
        <v/>
      </c>
      <c r="F420" s="6" t="str">
        <f ca="1">IFERROR(__xludf.DUMMYFUNCTION("""COMPUTED_VALUE"""),"")</f>
        <v/>
      </c>
      <c r="G420" s="6" t="str">
        <f ca="1">IFERROR(__xludf.DUMMYFUNCTION("""COMPUTED_VALUE"""),"")</f>
        <v/>
      </c>
      <c r="H420" s="6" t="str">
        <f ca="1">IFERROR(__xludf.DUMMYFUNCTION("""COMPUTED_VALUE"""),"")</f>
        <v/>
      </c>
      <c r="I420" s="6" t="str">
        <f ca="1">IFERROR(__xludf.DUMMYFUNCTION("""COMPUTED_VALUE"""),"")</f>
        <v/>
      </c>
      <c r="J420" s="6" t="str">
        <f ca="1">IFERROR(__xludf.DUMMYFUNCTION("""COMPUTED_VALUE"""),"")</f>
        <v/>
      </c>
    </row>
    <row r="421" spans="1:10" x14ac:dyDescent="0.2">
      <c r="A421" s="6" t="str">
        <f ca="1">IFERROR(__xludf.DUMMYFUNCTION("""COMPUTED_VALUE"""),"")</f>
        <v/>
      </c>
      <c r="B421" s="6" t="str">
        <f ca="1">IFERROR(__xludf.DUMMYFUNCTION("""COMPUTED_VALUE"""),"")</f>
        <v/>
      </c>
      <c r="C421" s="6" t="str">
        <f ca="1">IFERROR(__xludf.DUMMYFUNCTION("""COMPUTED_VALUE"""),"")</f>
        <v/>
      </c>
      <c r="D421" s="6" t="str">
        <f ca="1">IFERROR(__xludf.DUMMYFUNCTION("""COMPUTED_VALUE"""),"")</f>
        <v/>
      </c>
      <c r="E421" s="6" t="str">
        <f ca="1">IFERROR(__xludf.DUMMYFUNCTION("""COMPUTED_VALUE"""),"")</f>
        <v/>
      </c>
      <c r="F421" s="6" t="str">
        <f ca="1">IFERROR(__xludf.DUMMYFUNCTION("""COMPUTED_VALUE"""),"")</f>
        <v/>
      </c>
      <c r="G421" s="6" t="str">
        <f ca="1">IFERROR(__xludf.DUMMYFUNCTION("""COMPUTED_VALUE"""),"")</f>
        <v/>
      </c>
      <c r="H421" s="6" t="str">
        <f ca="1">IFERROR(__xludf.DUMMYFUNCTION("""COMPUTED_VALUE"""),"")</f>
        <v/>
      </c>
      <c r="I421" s="6" t="str">
        <f ca="1">IFERROR(__xludf.DUMMYFUNCTION("""COMPUTED_VALUE"""),"")</f>
        <v/>
      </c>
      <c r="J421" s="6" t="str">
        <f ca="1">IFERROR(__xludf.DUMMYFUNCTION("""COMPUTED_VALUE"""),"")</f>
        <v/>
      </c>
    </row>
    <row r="422" spans="1:10" x14ac:dyDescent="0.2">
      <c r="A422" s="6" t="str">
        <f ca="1">IFERROR(__xludf.DUMMYFUNCTION("""COMPUTED_VALUE"""),"")</f>
        <v/>
      </c>
      <c r="B422" s="6" t="str">
        <f ca="1">IFERROR(__xludf.DUMMYFUNCTION("""COMPUTED_VALUE"""),"")</f>
        <v/>
      </c>
      <c r="C422" s="6" t="str">
        <f ca="1">IFERROR(__xludf.DUMMYFUNCTION("""COMPUTED_VALUE"""),"")</f>
        <v/>
      </c>
      <c r="D422" s="6" t="str">
        <f ca="1">IFERROR(__xludf.DUMMYFUNCTION("""COMPUTED_VALUE"""),"")</f>
        <v/>
      </c>
      <c r="E422" s="6" t="str">
        <f ca="1">IFERROR(__xludf.DUMMYFUNCTION("""COMPUTED_VALUE"""),"")</f>
        <v/>
      </c>
      <c r="F422" s="6" t="str">
        <f ca="1">IFERROR(__xludf.DUMMYFUNCTION("""COMPUTED_VALUE"""),"")</f>
        <v/>
      </c>
      <c r="G422" s="6" t="str">
        <f ca="1">IFERROR(__xludf.DUMMYFUNCTION("""COMPUTED_VALUE"""),"")</f>
        <v/>
      </c>
      <c r="H422" s="6" t="str">
        <f ca="1">IFERROR(__xludf.DUMMYFUNCTION("""COMPUTED_VALUE"""),"")</f>
        <v/>
      </c>
      <c r="I422" s="6" t="str">
        <f ca="1">IFERROR(__xludf.DUMMYFUNCTION("""COMPUTED_VALUE"""),"")</f>
        <v/>
      </c>
      <c r="J422" s="6" t="str">
        <f ca="1">IFERROR(__xludf.DUMMYFUNCTION("""COMPUTED_VALUE"""),"")</f>
        <v/>
      </c>
    </row>
    <row r="423" spans="1:10" x14ac:dyDescent="0.2">
      <c r="A423" s="6" t="str">
        <f ca="1">IFERROR(__xludf.DUMMYFUNCTION("""COMPUTED_VALUE"""),"")</f>
        <v/>
      </c>
      <c r="B423" s="6" t="str">
        <f ca="1">IFERROR(__xludf.DUMMYFUNCTION("""COMPUTED_VALUE"""),"")</f>
        <v/>
      </c>
      <c r="C423" s="6" t="str">
        <f ca="1">IFERROR(__xludf.DUMMYFUNCTION("""COMPUTED_VALUE"""),"")</f>
        <v/>
      </c>
      <c r="D423" s="6" t="str">
        <f ca="1">IFERROR(__xludf.DUMMYFUNCTION("""COMPUTED_VALUE"""),"")</f>
        <v/>
      </c>
      <c r="E423" s="6" t="str">
        <f ca="1">IFERROR(__xludf.DUMMYFUNCTION("""COMPUTED_VALUE"""),"")</f>
        <v/>
      </c>
      <c r="F423" s="6" t="str">
        <f ca="1">IFERROR(__xludf.DUMMYFUNCTION("""COMPUTED_VALUE"""),"")</f>
        <v/>
      </c>
      <c r="G423" s="6" t="str">
        <f ca="1">IFERROR(__xludf.DUMMYFUNCTION("""COMPUTED_VALUE"""),"")</f>
        <v/>
      </c>
      <c r="H423" s="6" t="str">
        <f ca="1">IFERROR(__xludf.DUMMYFUNCTION("""COMPUTED_VALUE"""),"")</f>
        <v/>
      </c>
      <c r="I423" s="6" t="str">
        <f ca="1">IFERROR(__xludf.DUMMYFUNCTION("""COMPUTED_VALUE"""),"")</f>
        <v/>
      </c>
      <c r="J423" s="6" t="str">
        <f ca="1">IFERROR(__xludf.DUMMYFUNCTION("""COMPUTED_VALUE"""),"")</f>
        <v/>
      </c>
    </row>
    <row r="424" spans="1:10" x14ac:dyDescent="0.2">
      <c r="A424" s="6" t="str">
        <f ca="1">IFERROR(__xludf.DUMMYFUNCTION("""COMPUTED_VALUE"""),"")</f>
        <v/>
      </c>
      <c r="B424" s="6" t="str">
        <f ca="1">IFERROR(__xludf.DUMMYFUNCTION("""COMPUTED_VALUE"""),"")</f>
        <v/>
      </c>
      <c r="C424" s="6" t="str">
        <f ca="1">IFERROR(__xludf.DUMMYFUNCTION("""COMPUTED_VALUE"""),"")</f>
        <v/>
      </c>
      <c r="D424" s="6" t="str">
        <f ca="1">IFERROR(__xludf.DUMMYFUNCTION("""COMPUTED_VALUE"""),"")</f>
        <v/>
      </c>
      <c r="E424" s="6" t="str">
        <f ca="1">IFERROR(__xludf.DUMMYFUNCTION("""COMPUTED_VALUE"""),"")</f>
        <v/>
      </c>
      <c r="F424" s="6" t="str">
        <f ca="1">IFERROR(__xludf.DUMMYFUNCTION("""COMPUTED_VALUE"""),"")</f>
        <v/>
      </c>
      <c r="G424" s="6" t="str">
        <f ca="1">IFERROR(__xludf.DUMMYFUNCTION("""COMPUTED_VALUE"""),"")</f>
        <v/>
      </c>
      <c r="H424" s="6" t="str">
        <f ca="1">IFERROR(__xludf.DUMMYFUNCTION("""COMPUTED_VALUE"""),"")</f>
        <v/>
      </c>
      <c r="I424" s="6" t="str">
        <f ca="1">IFERROR(__xludf.DUMMYFUNCTION("""COMPUTED_VALUE"""),"")</f>
        <v/>
      </c>
      <c r="J424" s="6" t="str">
        <f ca="1">IFERROR(__xludf.DUMMYFUNCTION("""COMPUTED_VALUE"""),"")</f>
        <v/>
      </c>
    </row>
    <row r="425" spans="1:10" x14ac:dyDescent="0.2">
      <c r="A425" s="6" t="str">
        <f ca="1">IFERROR(__xludf.DUMMYFUNCTION("""COMPUTED_VALUE"""),"")</f>
        <v/>
      </c>
      <c r="B425" s="6" t="str">
        <f ca="1">IFERROR(__xludf.DUMMYFUNCTION("""COMPUTED_VALUE"""),"")</f>
        <v/>
      </c>
      <c r="C425" s="6" t="str">
        <f ca="1">IFERROR(__xludf.DUMMYFUNCTION("""COMPUTED_VALUE"""),"")</f>
        <v/>
      </c>
      <c r="D425" s="6" t="str">
        <f ca="1">IFERROR(__xludf.DUMMYFUNCTION("""COMPUTED_VALUE"""),"")</f>
        <v/>
      </c>
      <c r="E425" s="6" t="str">
        <f ca="1">IFERROR(__xludf.DUMMYFUNCTION("""COMPUTED_VALUE"""),"")</f>
        <v/>
      </c>
      <c r="F425" s="6" t="str">
        <f ca="1">IFERROR(__xludf.DUMMYFUNCTION("""COMPUTED_VALUE"""),"")</f>
        <v/>
      </c>
      <c r="G425" s="6" t="str">
        <f ca="1">IFERROR(__xludf.DUMMYFUNCTION("""COMPUTED_VALUE"""),"")</f>
        <v/>
      </c>
      <c r="H425" s="6" t="str">
        <f ca="1">IFERROR(__xludf.DUMMYFUNCTION("""COMPUTED_VALUE"""),"")</f>
        <v/>
      </c>
      <c r="I425" s="6" t="str">
        <f ca="1">IFERROR(__xludf.DUMMYFUNCTION("""COMPUTED_VALUE"""),"")</f>
        <v/>
      </c>
      <c r="J425" s="6" t="str">
        <f ca="1">IFERROR(__xludf.DUMMYFUNCTION("""COMPUTED_VALUE"""),"")</f>
        <v/>
      </c>
    </row>
    <row r="426" spans="1:10" x14ac:dyDescent="0.2">
      <c r="A426" s="6" t="str">
        <f ca="1">IFERROR(__xludf.DUMMYFUNCTION("""COMPUTED_VALUE"""),"")</f>
        <v/>
      </c>
      <c r="B426" s="6" t="str">
        <f ca="1">IFERROR(__xludf.DUMMYFUNCTION("""COMPUTED_VALUE"""),"")</f>
        <v/>
      </c>
      <c r="C426" s="6" t="str">
        <f ca="1">IFERROR(__xludf.DUMMYFUNCTION("""COMPUTED_VALUE"""),"")</f>
        <v/>
      </c>
      <c r="D426" s="6" t="str">
        <f ca="1">IFERROR(__xludf.DUMMYFUNCTION("""COMPUTED_VALUE"""),"")</f>
        <v/>
      </c>
      <c r="E426" s="6" t="str">
        <f ca="1">IFERROR(__xludf.DUMMYFUNCTION("""COMPUTED_VALUE"""),"")</f>
        <v/>
      </c>
      <c r="F426" s="6" t="str">
        <f ca="1">IFERROR(__xludf.DUMMYFUNCTION("""COMPUTED_VALUE"""),"")</f>
        <v/>
      </c>
      <c r="G426" s="6" t="str">
        <f ca="1">IFERROR(__xludf.DUMMYFUNCTION("""COMPUTED_VALUE"""),"")</f>
        <v/>
      </c>
      <c r="H426" s="6" t="str">
        <f ca="1">IFERROR(__xludf.DUMMYFUNCTION("""COMPUTED_VALUE"""),"")</f>
        <v/>
      </c>
      <c r="I426" s="6" t="str">
        <f ca="1">IFERROR(__xludf.DUMMYFUNCTION("""COMPUTED_VALUE"""),"")</f>
        <v/>
      </c>
      <c r="J426" s="6" t="str">
        <f ca="1">IFERROR(__xludf.DUMMYFUNCTION("""COMPUTED_VALUE"""),"")</f>
        <v/>
      </c>
    </row>
    <row r="427" spans="1:10" x14ac:dyDescent="0.2">
      <c r="A427" s="6" t="str">
        <f ca="1">IFERROR(__xludf.DUMMYFUNCTION("""COMPUTED_VALUE"""),"")</f>
        <v/>
      </c>
      <c r="B427" s="6" t="str">
        <f ca="1">IFERROR(__xludf.DUMMYFUNCTION("""COMPUTED_VALUE"""),"")</f>
        <v/>
      </c>
      <c r="C427" s="6" t="str">
        <f ca="1">IFERROR(__xludf.DUMMYFUNCTION("""COMPUTED_VALUE"""),"")</f>
        <v/>
      </c>
      <c r="D427" s="6" t="str">
        <f ca="1">IFERROR(__xludf.DUMMYFUNCTION("""COMPUTED_VALUE"""),"")</f>
        <v/>
      </c>
      <c r="E427" s="6" t="str">
        <f ca="1">IFERROR(__xludf.DUMMYFUNCTION("""COMPUTED_VALUE"""),"")</f>
        <v/>
      </c>
      <c r="F427" s="6" t="str">
        <f ca="1">IFERROR(__xludf.DUMMYFUNCTION("""COMPUTED_VALUE"""),"")</f>
        <v/>
      </c>
      <c r="G427" s="6" t="str">
        <f ca="1">IFERROR(__xludf.DUMMYFUNCTION("""COMPUTED_VALUE"""),"")</f>
        <v/>
      </c>
      <c r="H427" s="6" t="str">
        <f ca="1">IFERROR(__xludf.DUMMYFUNCTION("""COMPUTED_VALUE"""),"")</f>
        <v/>
      </c>
      <c r="I427" s="6" t="str">
        <f ca="1">IFERROR(__xludf.DUMMYFUNCTION("""COMPUTED_VALUE"""),"")</f>
        <v/>
      </c>
      <c r="J427" s="6" t="str">
        <f ca="1">IFERROR(__xludf.DUMMYFUNCTION("""COMPUTED_VALUE"""),"")</f>
        <v/>
      </c>
    </row>
    <row r="428" spans="1:10" x14ac:dyDescent="0.2">
      <c r="A428" s="6" t="str">
        <f ca="1">IFERROR(__xludf.DUMMYFUNCTION("""COMPUTED_VALUE"""),"")</f>
        <v/>
      </c>
      <c r="B428" s="6" t="str">
        <f ca="1">IFERROR(__xludf.DUMMYFUNCTION("""COMPUTED_VALUE"""),"")</f>
        <v/>
      </c>
      <c r="C428" s="6" t="str">
        <f ca="1">IFERROR(__xludf.DUMMYFUNCTION("""COMPUTED_VALUE"""),"")</f>
        <v/>
      </c>
      <c r="D428" s="6" t="str">
        <f ca="1">IFERROR(__xludf.DUMMYFUNCTION("""COMPUTED_VALUE"""),"")</f>
        <v/>
      </c>
      <c r="E428" s="6" t="str">
        <f ca="1">IFERROR(__xludf.DUMMYFUNCTION("""COMPUTED_VALUE"""),"")</f>
        <v/>
      </c>
      <c r="F428" s="6" t="str">
        <f ca="1">IFERROR(__xludf.DUMMYFUNCTION("""COMPUTED_VALUE"""),"")</f>
        <v/>
      </c>
      <c r="G428" s="6" t="str">
        <f ca="1">IFERROR(__xludf.DUMMYFUNCTION("""COMPUTED_VALUE"""),"")</f>
        <v/>
      </c>
      <c r="H428" s="6" t="str">
        <f ca="1">IFERROR(__xludf.DUMMYFUNCTION("""COMPUTED_VALUE"""),"")</f>
        <v/>
      </c>
      <c r="I428" s="6" t="str">
        <f ca="1">IFERROR(__xludf.DUMMYFUNCTION("""COMPUTED_VALUE"""),"")</f>
        <v/>
      </c>
      <c r="J428" s="6" t="str">
        <f ca="1">IFERROR(__xludf.DUMMYFUNCTION("""COMPUTED_VALUE"""),"")</f>
        <v/>
      </c>
    </row>
    <row r="429" spans="1:10" x14ac:dyDescent="0.2">
      <c r="A429" s="6" t="str">
        <f ca="1">IFERROR(__xludf.DUMMYFUNCTION("""COMPUTED_VALUE"""),"")</f>
        <v/>
      </c>
      <c r="B429" s="6" t="str">
        <f ca="1">IFERROR(__xludf.DUMMYFUNCTION("""COMPUTED_VALUE"""),"")</f>
        <v/>
      </c>
      <c r="C429" s="6" t="str">
        <f ca="1">IFERROR(__xludf.DUMMYFUNCTION("""COMPUTED_VALUE"""),"")</f>
        <v/>
      </c>
      <c r="D429" s="6" t="str">
        <f ca="1">IFERROR(__xludf.DUMMYFUNCTION("""COMPUTED_VALUE"""),"")</f>
        <v/>
      </c>
      <c r="E429" s="6" t="str">
        <f ca="1">IFERROR(__xludf.DUMMYFUNCTION("""COMPUTED_VALUE"""),"")</f>
        <v/>
      </c>
      <c r="F429" s="6" t="str">
        <f ca="1">IFERROR(__xludf.DUMMYFUNCTION("""COMPUTED_VALUE"""),"")</f>
        <v/>
      </c>
      <c r="G429" s="6" t="str">
        <f ca="1">IFERROR(__xludf.DUMMYFUNCTION("""COMPUTED_VALUE"""),"")</f>
        <v/>
      </c>
      <c r="H429" s="6" t="str">
        <f ca="1">IFERROR(__xludf.DUMMYFUNCTION("""COMPUTED_VALUE"""),"")</f>
        <v/>
      </c>
      <c r="I429" s="6" t="str">
        <f ca="1">IFERROR(__xludf.DUMMYFUNCTION("""COMPUTED_VALUE"""),"")</f>
        <v/>
      </c>
      <c r="J429" s="6" t="str">
        <f ca="1">IFERROR(__xludf.DUMMYFUNCTION("""COMPUTED_VALUE"""),"")</f>
        <v/>
      </c>
    </row>
    <row r="430" spans="1:10" x14ac:dyDescent="0.2">
      <c r="A430" s="6" t="str">
        <f ca="1">IFERROR(__xludf.DUMMYFUNCTION("""COMPUTED_VALUE"""),"")</f>
        <v/>
      </c>
      <c r="B430" s="6" t="str">
        <f ca="1">IFERROR(__xludf.DUMMYFUNCTION("""COMPUTED_VALUE"""),"")</f>
        <v/>
      </c>
      <c r="C430" s="6" t="str">
        <f ca="1">IFERROR(__xludf.DUMMYFUNCTION("""COMPUTED_VALUE"""),"")</f>
        <v/>
      </c>
      <c r="D430" s="6" t="str">
        <f ca="1">IFERROR(__xludf.DUMMYFUNCTION("""COMPUTED_VALUE"""),"")</f>
        <v/>
      </c>
      <c r="E430" s="6" t="str">
        <f ca="1">IFERROR(__xludf.DUMMYFUNCTION("""COMPUTED_VALUE"""),"")</f>
        <v/>
      </c>
      <c r="F430" s="6" t="str">
        <f ca="1">IFERROR(__xludf.DUMMYFUNCTION("""COMPUTED_VALUE"""),"")</f>
        <v/>
      </c>
      <c r="G430" s="6" t="str">
        <f ca="1">IFERROR(__xludf.DUMMYFUNCTION("""COMPUTED_VALUE"""),"")</f>
        <v/>
      </c>
      <c r="H430" s="6" t="str">
        <f ca="1">IFERROR(__xludf.DUMMYFUNCTION("""COMPUTED_VALUE"""),"")</f>
        <v/>
      </c>
      <c r="I430" s="6" t="str">
        <f ca="1">IFERROR(__xludf.DUMMYFUNCTION("""COMPUTED_VALUE"""),"")</f>
        <v/>
      </c>
      <c r="J430" s="6" t="str">
        <f ca="1">IFERROR(__xludf.DUMMYFUNCTION("""COMPUTED_VALUE"""),"")</f>
        <v/>
      </c>
    </row>
    <row r="431" spans="1:10" x14ac:dyDescent="0.2">
      <c r="A431" s="6" t="str">
        <f ca="1">IFERROR(__xludf.DUMMYFUNCTION("""COMPUTED_VALUE"""),"")</f>
        <v/>
      </c>
      <c r="B431" s="6" t="str">
        <f ca="1">IFERROR(__xludf.DUMMYFUNCTION("""COMPUTED_VALUE"""),"")</f>
        <v/>
      </c>
      <c r="C431" s="6" t="str">
        <f ca="1">IFERROR(__xludf.DUMMYFUNCTION("""COMPUTED_VALUE"""),"")</f>
        <v/>
      </c>
      <c r="D431" s="6" t="str">
        <f ca="1">IFERROR(__xludf.DUMMYFUNCTION("""COMPUTED_VALUE"""),"")</f>
        <v/>
      </c>
      <c r="E431" s="6" t="str">
        <f ca="1">IFERROR(__xludf.DUMMYFUNCTION("""COMPUTED_VALUE"""),"")</f>
        <v/>
      </c>
      <c r="F431" s="6" t="str">
        <f ca="1">IFERROR(__xludf.DUMMYFUNCTION("""COMPUTED_VALUE"""),"")</f>
        <v/>
      </c>
      <c r="G431" s="6" t="str">
        <f ca="1">IFERROR(__xludf.DUMMYFUNCTION("""COMPUTED_VALUE"""),"")</f>
        <v/>
      </c>
      <c r="H431" s="6" t="str">
        <f ca="1">IFERROR(__xludf.DUMMYFUNCTION("""COMPUTED_VALUE"""),"")</f>
        <v/>
      </c>
      <c r="I431" s="6" t="str">
        <f ca="1">IFERROR(__xludf.DUMMYFUNCTION("""COMPUTED_VALUE"""),"")</f>
        <v/>
      </c>
      <c r="J431" s="6" t="str">
        <f ca="1">IFERROR(__xludf.DUMMYFUNCTION("""COMPUTED_VALUE"""),"")</f>
        <v/>
      </c>
    </row>
    <row r="432" spans="1:10" x14ac:dyDescent="0.2">
      <c r="A432" s="6" t="str">
        <f ca="1">IFERROR(__xludf.DUMMYFUNCTION("""COMPUTED_VALUE"""),"")</f>
        <v/>
      </c>
      <c r="B432" s="6" t="str">
        <f ca="1">IFERROR(__xludf.DUMMYFUNCTION("""COMPUTED_VALUE"""),"")</f>
        <v/>
      </c>
      <c r="C432" s="6" t="str">
        <f ca="1">IFERROR(__xludf.DUMMYFUNCTION("""COMPUTED_VALUE"""),"")</f>
        <v/>
      </c>
      <c r="D432" s="6" t="str">
        <f ca="1">IFERROR(__xludf.DUMMYFUNCTION("""COMPUTED_VALUE"""),"")</f>
        <v/>
      </c>
      <c r="E432" s="6" t="str">
        <f ca="1">IFERROR(__xludf.DUMMYFUNCTION("""COMPUTED_VALUE"""),"")</f>
        <v/>
      </c>
      <c r="F432" s="6" t="str">
        <f ca="1">IFERROR(__xludf.DUMMYFUNCTION("""COMPUTED_VALUE"""),"")</f>
        <v/>
      </c>
      <c r="G432" s="6" t="str">
        <f ca="1">IFERROR(__xludf.DUMMYFUNCTION("""COMPUTED_VALUE"""),"")</f>
        <v/>
      </c>
      <c r="H432" s="6" t="str">
        <f ca="1">IFERROR(__xludf.DUMMYFUNCTION("""COMPUTED_VALUE"""),"")</f>
        <v/>
      </c>
      <c r="I432" s="6" t="str">
        <f ca="1">IFERROR(__xludf.DUMMYFUNCTION("""COMPUTED_VALUE"""),"")</f>
        <v/>
      </c>
      <c r="J432" s="6" t="str">
        <f ca="1">IFERROR(__xludf.DUMMYFUNCTION("""COMPUTED_VALUE"""),"")</f>
        <v/>
      </c>
    </row>
    <row r="433" spans="1:10" x14ac:dyDescent="0.2">
      <c r="A433" s="6" t="str">
        <f ca="1">IFERROR(__xludf.DUMMYFUNCTION("""COMPUTED_VALUE"""),"")</f>
        <v/>
      </c>
      <c r="B433" s="6" t="str">
        <f ca="1">IFERROR(__xludf.DUMMYFUNCTION("""COMPUTED_VALUE"""),"")</f>
        <v/>
      </c>
      <c r="C433" s="6" t="str">
        <f ca="1">IFERROR(__xludf.DUMMYFUNCTION("""COMPUTED_VALUE"""),"")</f>
        <v/>
      </c>
      <c r="D433" s="6" t="str">
        <f ca="1">IFERROR(__xludf.DUMMYFUNCTION("""COMPUTED_VALUE"""),"")</f>
        <v/>
      </c>
      <c r="E433" s="6" t="str">
        <f ca="1">IFERROR(__xludf.DUMMYFUNCTION("""COMPUTED_VALUE"""),"")</f>
        <v/>
      </c>
      <c r="F433" s="6" t="str">
        <f ca="1">IFERROR(__xludf.DUMMYFUNCTION("""COMPUTED_VALUE"""),"")</f>
        <v/>
      </c>
      <c r="G433" s="6" t="str">
        <f ca="1">IFERROR(__xludf.DUMMYFUNCTION("""COMPUTED_VALUE"""),"")</f>
        <v/>
      </c>
      <c r="H433" s="6" t="str">
        <f ca="1">IFERROR(__xludf.DUMMYFUNCTION("""COMPUTED_VALUE"""),"")</f>
        <v/>
      </c>
      <c r="I433" s="6" t="str">
        <f ca="1">IFERROR(__xludf.DUMMYFUNCTION("""COMPUTED_VALUE"""),"")</f>
        <v/>
      </c>
      <c r="J433" s="6" t="str">
        <f ca="1">IFERROR(__xludf.DUMMYFUNCTION("""COMPUTED_VALUE"""),"")</f>
        <v/>
      </c>
    </row>
    <row r="434" spans="1:10" x14ac:dyDescent="0.2">
      <c r="A434" s="6" t="str">
        <f ca="1">IFERROR(__xludf.DUMMYFUNCTION("""COMPUTED_VALUE"""),"")</f>
        <v/>
      </c>
      <c r="B434" s="6" t="str">
        <f ca="1">IFERROR(__xludf.DUMMYFUNCTION("""COMPUTED_VALUE"""),"")</f>
        <v/>
      </c>
      <c r="C434" s="6" t="str">
        <f ca="1">IFERROR(__xludf.DUMMYFUNCTION("""COMPUTED_VALUE"""),"")</f>
        <v/>
      </c>
      <c r="D434" s="6" t="str">
        <f ca="1">IFERROR(__xludf.DUMMYFUNCTION("""COMPUTED_VALUE"""),"")</f>
        <v/>
      </c>
      <c r="E434" s="6" t="str">
        <f ca="1">IFERROR(__xludf.DUMMYFUNCTION("""COMPUTED_VALUE"""),"")</f>
        <v/>
      </c>
      <c r="F434" s="6" t="str">
        <f ca="1">IFERROR(__xludf.DUMMYFUNCTION("""COMPUTED_VALUE"""),"")</f>
        <v/>
      </c>
      <c r="G434" s="6" t="str">
        <f ca="1">IFERROR(__xludf.DUMMYFUNCTION("""COMPUTED_VALUE"""),"")</f>
        <v/>
      </c>
      <c r="H434" s="6" t="str">
        <f ca="1">IFERROR(__xludf.DUMMYFUNCTION("""COMPUTED_VALUE"""),"")</f>
        <v/>
      </c>
      <c r="I434" s="6" t="str">
        <f ca="1">IFERROR(__xludf.DUMMYFUNCTION("""COMPUTED_VALUE"""),"")</f>
        <v/>
      </c>
      <c r="J434" s="6" t="str">
        <f ca="1">IFERROR(__xludf.DUMMYFUNCTION("""COMPUTED_VALUE"""),"")</f>
        <v/>
      </c>
    </row>
    <row r="435" spans="1:10" x14ac:dyDescent="0.2">
      <c r="A435" s="6" t="str">
        <f ca="1">IFERROR(__xludf.DUMMYFUNCTION("""COMPUTED_VALUE"""),"")</f>
        <v/>
      </c>
      <c r="B435" s="6" t="str">
        <f ca="1">IFERROR(__xludf.DUMMYFUNCTION("""COMPUTED_VALUE"""),"")</f>
        <v/>
      </c>
      <c r="C435" s="6" t="str">
        <f ca="1">IFERROR(__xludf.DUMMYFUNCTION("""COMPUTED_VALUE"""),"")</f>
        <v/>
      </c>
      <c r="D435" s="6" t="str">
        <f ca="1">IFERROR(__xludf.DUMMYFUNCTION("""COMPUTED_VALUE"""),"")</f>
        <v/>
      </c>
      <c r="E435" s="6" t="str">
        <f ca="1">IFERROR(__xludf.DUMMYFUNCTION("""COMPUTED_VALUE"""),"")</f>
        <v/>
      </c>
      <c r="F435" s="6" t="str">
        <f ca="1">IFERROR(__xludf.DUMMYFUNCTION("""COMPUTED_VALUE"""),"")</f>
        <v/>
      </c>
      <c r="G435" s="6" t="str">
        <f ca="1">IFERROR(__xludf.DUMMYFUNCTION("""COMPUTED_VALUE"""),"")</f>
        <v/>
      </c>
      <c r="H435" s="6" t="str">
        <f ca="1">IFERROR(__xludf.DUMMYFUNCTION("""COMPUTED_VALUE"""),"")</f>
        <v/>
      </c>
      <c r="I435" s="6" t="str">
        <f ca="1">IFERROR(__xludf.DUMMYFUNCTION("""COMPUTED_VALUE"""),"")</f>
        <v/>
      </c>
      <c r="J435" s="6" t="str">
        <f ca="1">IFERROR(__xludf.DUMMYFUNCTION("""COMPUTED_VALUE"""),"")</f>
        <v/>
      </c>
    </row>
    <row r="436" spans="1:10" x14ac:dyDescent="0.2">
      <c r="A436" s="6" t="str">
        <f ca="1">IFERROR(__xludf.DUMMYFUNCTION("""COMPUTED_VALUE"""),"")</f>
        <v/>
      </c>
      <c r="B436" s="6" t="str">
        <f ca="1">IFERROR(__xludf.DUMMYFUNCTION("""COMPUTED_VALUE"""),"")</f>
        <v/>
      </c>
      <c r="C436" s="6" t="str">
        <f ca="1">IFERROR(__xludf.DUMMYFUNCTION("""COMPUTED_VALUE"""),"")</f>
        <v/>
      </c>
      <c r="D436" s="6" t="str">
        <f ca="1">IFERROR(__xludf.DUMMYFUNCTION("""COMPUTED_VALUE"""),"")</f>
        <v/>
      </c>
      <c r="E436" s="6" t="str">
        <f ca="1">IFERROR(__xludf.DUMMYFUNCTION("""COMPUTED_VALUE"""),"")</f>
        <v/>
      </c>
      <c r="F436" s="6" t="str">
        <f ca="1">IFERROR(__xludf.DUMMYFUNCTION("""COMPUTED_VALUE"""),"")</f>
        <v/>
      </c>
      <c r="G436" s="6" t="str">
        <f ca="1">IFERROR(__xludf.DUMMYFUNCTION("""COMPUTED_VALUE"""),"")</f>
        <v/>
      </c>
      <c r="H436" s="6" t="str">
        <f ca="1">IFERROR(__xludf.DUMMYFUNCTION("""COMPUTED_VALUE"""),"")</f>
        <v/>
      </c>
      <c r="I436" s="6" t="str">
        <f ca="1">IFERROR(__xludf.DUMMYFUNCTION("""COMPUTED_VALUE"""),"")</f>
        <v/>
      </c>
      <c r="J436" s="6" t="str">
        <f ca="1">IFERROR(__xludf.DUMMYFUNCTION("""COMPUTED_VALUE"""),"")</f>
        <v/>
      </c>
    </row>
    <row r="437" spans="1:10" x14ac:dyDescent="0.2">
      <c r="A437" s="6" t="str">
        <f ca="1">IFERROR(__xludf.DUMMYFUNCTION("""COMPUTED_VALUE"""),"")</f>
        <v/>
      </c>
      <c r="B437" s="6" t="str">
        <f ca="1">IFERROR(__xludf.DUMMYFUNCTION("""COMPUTED_VALUE"""),"")</f>
        <v/>
      </c>
      <c r="C437" s="6" t="str">
        <f ca="1">IFERROR(__xludf.DUMMYFUNCTION("""COMPUTED_VALUE"""),"")</f>
        <v/>
      </c>
      <c r="D437" s="6" t="str">
        <f ca="1">IFERROR(__xludf.DUMMYFUNCTION("""COMPUTED_VALUE"""),"")</f>
        <v/>
      </c>
      <c r="E437" s="6" t="str">
        <f ca="1">IFERROR(__xludf.DUMMYFUNCTION("""COMPUTED_VALUE"""),"")</f>
        <v/>
      </c>
      <c r="F437" s="6" t="str">
        <f ca="1">IFERROR(__xludf.DUMMYFUNCTION("""COMPUTED_VALUE"""),"")</f>
        <v/>
      </c>
      <c r="G437" s="6" t="str">
        <f ca="1">IFERROR(__xludf.DUMMYFUNCTION("""COMPUTED_VALUE"""),"")</f>
        <v/>
      </c>
      <c r="H437" s="6" t="str">
        <f ca="1">IFERROR(__xludf.DUMMYFUNCTION("""COMPUTED_VALUE"""),"")</f>
        <v/>
      </c>
      <c r="I437" s="6" t="str">
        <f ca="1">IFERROR(__xludf.DUMMYFUNCTION("""COMPUTED_VALUE"""),"")</f>
        <v/>
      </c>
      <c r="J437" s="6" t="str">
        <f ca="1">IFERROR(__xludf.DUMMYFUNCTION("""COMPUTED_VALUE"""),"")</f>
        <v/>
      </c>
    </row>
    <row r="438" spans="1:10" x14ac:dyDescent="0.2">
      <c r="A438" s="6" t="str">
        <f ca="1">IFERROR(__xludf.DUMMYFUNCTION("""COMPUTED_VALUE"""),"")</f>
        <v/>
      </c>
      <c r="B438" s="6" t="str">
        <f ca="1">IFERROR(__xludf.DUMMYFUNCTION("""COMPUTED_VALUE"""),"")</f>
        <v/>
      </c>
      <c r="C438" s="6" t="str">
        <f ca="1">IFERROR(__xludf.DUMMYFUNCTION("""COMPUTED_VALUE"""),"")</f>
        <v/>
      </c>
      <c r="D438" s="6" t="str">
        <f ca="1">IFERROR(__xludf.DUMMYFUNCTION("""COMPUTED_VALUE"""),"")</f>
        <v/>
      </c>
      <c r="E438" s="6" t="str">
        <f ca="1">IFERROR(__xludf.DUMMYFUNCTION("""COMPUTED_VALUE"""),"")</f>
        <v/>
      </c>
      <c r="F438" s="6" t="str">
        <f ca="1">IFERROR(__xludf.DUMMYFUNCTION("""COMPUTED_VALUE"""),"")</f>
        <v/>
      </c>
      <c r="G438" s="6" t="str">
        <f ca="1">IFERROR(__xludf.DUMMYFUNCTION("""COMPUTED_VALUE"""),"")</f>
        <v/>
      </c>
      <c r="H438" s="6" t="str">
        <f ca="1">IFERROR(__xludf.DUMMYFUNCTION("""COMPUTED_VALUE"""),"")</f>
        <v/>
      </c>
      <c r="I438" s="6" t="str">
        <f ca="1">IFERROR(__xludf.DUMMYFUNCTION("""COMPUTED_VALUE"""),"")</f>
        <v/>
      </c>
      <c r="J438" s="6" t="str">
        <f ca="1">IFERROR(__xludf.DUMMYFUNCTION("""COMPUTED_VALUE"""),"")</f>
        <v/>
      </c>
    </row>
    <row r="439" spans="1:10" x14ac:dyDescent="0.2">
      <c r="A439" s="6" t="str">
        <f ca="1">IFERROR(__xludf.DUMMYFUNCTION("""COMPUTED_VALUE"""),"")</f>
        <v/>
      </c>
      <c r="B439" s="6" t="str">
        <f ca="1">IFERROR(__xludf.DUMMYFUNCTION("""COMPUTED_VALUE"""),"")</f>
        <v/>
      </c>
      <c r="C439" s="6" t="str">
        <f ca="1">IFERROR(__xludf.DUMMYFUNCTION("""COMPUTED_VALUE"""),"")</f>
        <v/>
      </c>
      <c r="D439" s="6" t="str">
        <f ca="1">IFERROR(__xludf.DUMMYFUNCTION("""COMPUTED_VALUE"""),"")</f>
        <v/>
      </c>
      <c r="E439" s="6" t="str">
        <f ca="1">IFERROR(__xludf.DUMMYFUNCTION("""COMPUTED_VALUE"""),"")</f>
        <v/>
      </c>
      <c r="F439" s="6" t="str">
        <f ca="1">IFERROR(__xludf.DUMMYFUNCTION("""COMPUTED_VALUE"""),"")</f>
        <v/>
      </c>
      <c r="G439" s="6" t="str">
        <f ca="1">IFERROR(__xludf.DUMMYFUNCTION("""COMPUTED_VALUE"""),"")</f>
        <v/>
      </c>
      <c r="H439" s="6" t="str">
        <f ca="1">IFERROR(__xludf.DUMMYFUNCTION("""COMPUTED_VALUE"""),"")</f>
        <v/>
      </c>
      <c r="I439" s="6" t="str">
        <f ca="1">IFERROR(__xludf.DUMMYFUNCTION("""COMPUTED_VALUE"""),"")</f>
        <v/>
      </c>
      <c r="J439" s="6" t="str">
        <f ca="1">IFERROR(__xludf.DUMMYFUNCTION("""COMPUTED_VALUE"""),"")</f>
        <v/>
      </c>
    </row>
    <row r="440" spans="1:10" x14ac:dyDescent="0.2">
      <c r="A440" s="6" t="str">
        <f ca="1">IFERROR(__xludf.DUMMYFUNCTION("""COMPUTED_VALUE"""),"")</f>
        <v/>
      </c>
      <c r="B440" s="6" t="str">
        <f ca="1">IFERROR(__xludf.DUMMYFUNCTION("""COMPUTED_VALUE"""),"")</f>
        <v/>
      </c>
      <c r="C440" s="6" t="str">
        <f ca="1">IFERROR(__xludf.DUMMYFUNCTION("""COMPUTED_VALUE"""),"")</f>
        <v/>
      </c>
      <c r="D440" s="6" t="str">
        <f ca="1">IFERROR(__xludf.DUMMYFUNCTION("""COMPUTED_VALUE"""),"")</f>
        <v/>
      </c>
      <c r="E440" s="6" t="str">
        <f ca="1">IFERROR(__xludf.DUMMYFUNCTION("""COMPUTED_VALUE"""),"")</f>
        <v/>
      </c>
      <c r="F440" s="6" t="str">
        <f ca="1">IFERROR(__xludf.DUMMYFUNCTION("""COMPUTED_VALUE"""),"")</f>
        <v/>
      </c>
      <c r="G440" s="6" t="str">
        <f ca="1">IFERROR(__xludf.DUMMYFUNCTION("""COMPUTED_VALUE"""),"")</f>
        <v/>
      </c>
      <c r="H440" s="6" t="str">
        <f ca="1">IFERROR(__xludf.DUMMYFUNCTION("""COMPUTED_VALUE"""),"")</f>
        <v/>
      </c>
      <c r="I440" s="6" t="str">
        <f ca="1">IFERROR(__xludf.DUMMYFUNCTION("""COMPUTED_VALUE"""),"")</f>
        <v/>
      </c>
      <c r="J440" s="6" t="str">
        <f ca="1">IFERROR(__xludf.DUMMYFUNCTION("""COMPUTED_VALUE"""),"")</f>
        <v/>
      </c>
    </row>
    <row r="441" spans="1:10" x14ac:dyDescent="0.2">
      <c r="A441" s="6" t="str">
        <f ca="1">IFERROR(__xludf.DUMMYFUNCTION("""COMPUTED_VALUE"""),"")</f>
        <v/>
      </c>
      <c r="B441" s="6" t="str">
        <f ca="1">IFERROR(__xludf.DUMMYFUNCTION("""COMPUTED_VALUE"""),"")</f>
        <v/>
      </c>
      <c r="C441" s="6" t="str">
        <f ca="1">IFERROR(__xludf.DUMMYFUNCTION("""COMPUTED_VALUE"""),"")</f>
        <v/>
      </c>
      <c r="D441" s="6" t="str">
        <f ca="1">IFERROR(__xludf.DUMMYFUNCTION("""COMPUTED_VALUE"""),"")</f>
        <v/>
      </c>
      <c r="E441" s="6" t="str">
        <f ca="1">IFERROR(__xludf.DUMMYFUNCTION("""COMPUTED_VALUE"""),"")</f>
        <v/>
      </c>
      <c r="F441" s="6" t="str">
        <f ca="1">IFERROR(__xludf.DUMMYFUNCTION("""COMPUTED_VALUE"""),"")</f>
        <v/>
      </c>
      <c r="G441" s="6" t="str">
        <f ca="1">IFERROR(__xludf.DUMMYFUNCTION("""COMPUTED_VALUE"""),"")</f>
        <v/>
      </c>
      <c r="H441" s="6" t="str">
        <f ca="1">IFERROR(__xludf.DUMMYFUNCTION("""COMPUTED_VALUE"""),"")</f>
        <v/>
      </c>
      <c r="I441" s="6" t="str">
        <f ca="1">IFERROR(__xludf.DUMMYFUNCTION("""COMPUTED_VALUE"""),"")</f>
        <v/>
      </c>
      <c r="J441" s="6" t="str">
        <f ca="1">IFERROR(__xludf.DUMMYFUNCTION("""COMPUTED_VALUE"""),"")</f>
        <v/>
      </c>
    </row>
    <row r="442" spans="1:10" x14ac:dyDescent="0.2">
      <c r="A442" s="6" t="str">
        <f ca="1">IFERROR(__xludf.DUMMYFUNCTION("""COMPUTED_VALUE"""),"")</f>
        <v/>
      </c>
      <c r="B442" s="6" t="str">
        <f ca="1">IFERROR(__xludf.DUMMYFUNCTION("""COMPUTED_VALUE"""),"")</f>
        <v/>
      </c>
      <c r="C442" s="6" t="str">
        <f ca="1">IFERROR(__xludf.DUMMYFUNCTION("""COMPUTED_VALUE"""),"")</f>
        <v/>
      </c>
      <c r="D442" s="6" t="str">
        <f ca="1">IFERROR(__xludf.DUMMYFUNCTION("""COMPUTED_VALUE"""),"")</f>
        <v/>
      </c>
      <c r="E442" s="6" t="str">
        <f ca="1">IFERROR(__xludf.DUMMYFUNCTION("""COMPUTED_VALUE"""),"")</f>
        <v/>
      </c>
      <c r="F442" s="6" t="str">
        <f ca="1">IFERROR(__xludf.DUMMYFUNCTION("""COMPUTED_VALUE"""),"")</f>
        <v/>
      </c>
      <c r="G442" s="6" t="str">
        <f ca="1">IFERROR(__xludf.DUMMYFUNCTION("""COMPUTED_VALUE"""),"")</f>
        <v/>
      </c>
      <c r="H442" s="6" t="str">
        <f ca="1">IFERROR(__xludf.DUMMYFUNCTION("""COMPUTED_VALUE"""),"")</f>
        <v/>
      </c>
      <c r="I442" s="6" t="str">
        <f ca="1">IFERROR(__xludf.DUMMYFUNCTION("""COMPUTED_VALUE"""),"")</f>
        <v/>
      </c>
      <c r="J442" s="6" t="str">
        <f ca="1">IFERROR(__xludf.DUMMYFUNCTION("""COMPUTED_VALUE"""),"")</f>
        <v/>
      </c>
    </row>
    <row r="443" spans="1:10" x14ac:dyDescent="0.2">
      <c r="A443" s="6" t="str">
        <f ca="1">IFERROR(__xludf.DUMMYFUNCTION("""COMPUTED_VALUE"""),"")</f>
        <v/>
      </c>
      <c r="B443" s="6" t="str">
        <f ca="1">IFERROR(__xludf.DUMMYFUNCTION("""COMPUTED_VALUE"""),"")</f>
        <v/>
      </c>
      <c r="C443" s="6" t="str">
        <f ca="1">IFERROR(__xludf.DUMMYFUNCTION("""COMPUTED_VALUE"""),"")</f>
        <v/>
      </c>
      <c r="D443" s="6" t="str">
        <f ca="1">IFERROR(__xludf.DUMMYFUNCTION("""COMPUTED_VALUE"""),"")</f>
        <v/>
      </c>
      <c r="E443" s="6" t="str">
        <f ca="1">IFERROR(__xludf.DUMMYFUNCTION("""COMPUTED_VALUE"""),"")</f>
        <v/>
      </c>
      <c r="F443" s="6" t="str">
        <f ca="1">IFERROR(__xludf.DUMMYFUNCTION("""COMPUTED_VALUE"""),"")</f>
        <v/>
      </c>
      <c r="G443" s="6" t="str">
        <f ca="1">IFERROR(__xludf.DUMMYFUNCTION("""COMPUTED_VALUE"""),"")</f>
        <v/>
      </c>
      <c r="H443" s="6" t="str">
        <f ca="1">IFERROR(__xludf.DUMMYFUNCTION("""COMPUTED_VALUE"""),"")</f>
        <v/>
      </c>
      <c r="I443" s="6" t="str">
        <f ca="1">IFERROR(__xludf.DUMMYFUNCTION("""COMPUTED_VALUE"""),"")</f>
        <v/>
      </c>
      <c r="J443" s="6" t="str">
        <f ca="1">IFERROR(__xludf.DUMMYFUNCTION("""COMPUTED_VALUE"""),"")</f>
        <v/>
      </c>
    </row>
    <row r="444" spans="1:10" x14ac:dyDescent="0.2">
      <c r="A444" s="6" t="str">
        <f ca="1">IFERROR(__xludf.DUMMYFUNCTION("""COMPUTED_VALUE"""),"")</f>
        <v/>
      </c>
      <c r="B444" s="6" t="str">
        <f ca="1">IFERROR(__xludf.DUMMYFUNCTION("""COMPUTED_VALUE"""),"")</f>
        <v/>
      </c>
      <c r="C444" s="6" t="str">
        <f ca="1">IFERROR(__xludf.DUMMYFUNCTION("""COMPUTED_VALUE"""),"")</f>
        <v/>
      </c>
      <c r="D444" s="6" t="str">
        <f ca="1">IFERROR(__xludf.DUMMYFUNCTION("""COMPUTED_VALUE"""),"")</f>
        <v/>
      </c>
      <c r="E444" s="6" t="str">
        <f ca="1">IFERROR(__xludf.DUMMYFUNCTION("""COMPUTED_VALUE"""),"")</f>
        <v/>
      </c>
      <c r="F444" s="6" t="str">
        <f ca="1">IFERROR(__xludf.DUMMYFUNCTION("""COMPUTED_VALUE"""),"")</f>
        <v/>
      </c>
      <c r="G444" s="6" t="str">
        <f ca="1">IFERROR(__xludf.DUMMYFUNCTION("""COMPUTED_VALUE"""),"")</f>
        <v/>
      </c>
      <c r="H444" s="6" t="str">
        <f ca="1">IFERROR(__xludf.DUMMYFUNCTION("""COMPUTED_VALUE"""),"")</f>
        <v/>
      </c>
      <c r="I444" s="6" t="str">
        <f ca="1">IFERROR(__xludf.DUMMYFUNCTION("""COMPUTED_VALUE"""),"")</f>
        <v/>
      </c>
      <c r="J444" s="6" t="str">
        <f ca="1">IFERROR(__xludf.DUMMYFUNCTION("""COMPUTED_VALUE"""),"")</f>
        <v/>
      </c>
    </row>
    <row r="445" spans="1:10" x14ac:dyDescent="0.2">
      <c r="A445" s="6" t="str">
        <f ca="1">IFERROR(__xludf.DUMMYFUNCTION("""COMPUTED_VALUE"""),"")</f>
        <v/>
      </c>
      <c r="B445" s="6" t="str">
        <f ca="1">IFERROR(__xludf.DUMMYFUNCTION("""COMPUTED_VALUE"""),"")</f>
        <v/>
      </c>
      <c r="C445" s="6" t="str">
        <f ca="1">IFERROR(__xludf.DUMMYFUNCTION("""COMPUTED_VALUE"""),"")</f>
        <v/>
      </c>
      <c r="D445" s="6" t="str">
        <f ca="1">IFERROR(__xludf.DUMMYFUNCTION("""COMPUTED_VALUE"""),"")</f>
        <v/>
      </c>
      <c r="E445" s="6" t="str">
        <f ca="1">IFERROR(__xludf.DUMMYFUNCTION("""COMPUTED_VALUE"""),"")</f>
        <v/>
      </c>
      <c r="F445" s="6" t="str">
        <f ca="1">IFERROR(__xludf.DUMMYFUNCTION("""COMPUTED_VALUE"""),"")</f>
        <v/>
      </c>
      <c r="G445" s="6" t="str">
        <f ca="1">IFERROR(__xludf.DUMMYFUNCTION("""COMPUTED_VALUE"""),"")</f>
        <v/>
      </c>
      <c r="H445" s="6" t="str">
        <f ca="1">IFERROR(__xludf.DUMMYFUNCTION("""COMPUTED_VALUE"""),"")</f>
        <v/>
      </c>
      <c r="I445" s="6" t="str">
        <f ca="1">IFERROR(__xludf.DUMMYFUNCTION("""COMPUTED_VALUE"""),"")</f>
        <v/>
      </c>
      <c r="J445" s="6" t="str">
        <f ca="1">IFERROR(__xludf.DUMMYFUNCTION("""COMPUTED_VALUE"""),"")</f>
        <v/>
      </c>
    </row>
    <row r="446" spans="1:10" x14ac:dyDescent="0.2">
      <c r="A446" s="6" t="str">
        <f ca="1">IFERROR(__xludf.DUMMYFUNCTION("""COMPUTED_VALUE"""),"")</f>
        <v/>
      </c>
      <c r="B446" s="6" t="str">
        <f ca="1">IFERROR(__xludf.DUMMYFUNCTION("""COMPUTED_VALUE"""),"")</f>
        <v/>
      </c>
      <c r="C446" s="6" t="str">
        <f ca="1">IFERROR(__xludf.DUMMYFUNCTION("""COMPUTED_VALUE"""),"")</f>
        <v/>
      </c>
      <c r="D446" s="6" t="str">
        <f ca="1">IFERROR(__xludf.DUMMYFUNCTION("""COMPUTED_VALUE"""),"")</f>
        <v/>
      </c>
      <c r="E446" s="6" t="str">
        <f ca="1">IFERROR(__xludf.DUMMYFUNCTION("""COMPUTED_VALUE"""),"")</f>
        <v/>
      </c>
      <c r="F446" s="6" t="str">
        <f ca="1">IFERROR(__xludf.DUMMYFUNCTION("""COMPUTED_VALUE"""),"")</f>
        <v/>
      </c>
      <c r="G446" s="6" t="str">
        <f ca="1">IFERROR(__xludf.DUMMYFUNCTION("""COMPUTED_VALUE"""),"")</f>
        <v/>
      </c>
      <c r="H446" s="6" t="str">
        <f ca="1">IFERROR(__xludf.DUMMYFUNCTION("""COMPUTED_VALUE"""),"")</f>
        <v/>
      </c>
      <c r="I446" s="6" t="str">
        <f ca="1">IFERROR(__xludf.DUMMYFUNCTION("""COMPUTED_VALUE"""),"")</f>
        <v/>
      </c>
      <c r="J446" s="6" t="str">
        <f ca="1">IFERROR(__xludf.DUMMYFUNCTION("""COMPUTED_VALUE"""),"")</f>
        <v/>
      </c>
    </row>
    <row r="447" spans="1:10" x14ac:dyDescent="0.2">
      <c r="A447" s="6" t="str">
        <f ca="1">IFERROR(__xludf.DUMMYFUNCTION("""COMPUTED_VALUE"""),"")</f>
        <v/>
      </c>
      <c r="B447" s="6" t="str">
        <f ca="1">IFERROR(__xludf.DUMMYFUNCTION("""COMPUTED_VALUE"""),"")</f>
        <v/>
      </c>
      <c r="C447" s="6" t="str">
        <f ca="1">IFERROR(__xludf.DUMMYFUNCTION("""COMPUTED_VALUE"""),"")</f>
        <v/>
      </c>
      <c r="D447" s="6" t="str">
        <f ca="1">IFERROR(__xludf.DUMMYFUNCTION("""COMPUTED_VALUE"""),"")</f>
        <v/>
      </c>
      <c r="E447" s="6" t="str">
        <f ca="1">IFERROR(__xludf.DUMMYFUNCTION("""COMPUTED_VALUE"""),"")</f>
        <v/>
      </c>
      <c r="F447" s="6" t="str">
        <f ca="1">IFERROR(__xludf.DUMMYFUNCTION("""COMPUTED_VALUE"""),"")</f>
        <v/>
      </c>
      <c r="G447" s="6" t="str">
        <f ca="1">IFERROR(__xludf.DUMMYFUNCTION("""COMPUTED_VALUE"""),"")</f>
        <v/>
      </c>
      <c r="H447" s="6" t="str">
        <f ca="1">IFERROR(__xludf.DUMMYFUNCTION("""COMPUTED_VALUE"""),"")</f>
        <v/>
      </c>
      <c r="I447" s="6" t="str">
        <f ca="1">IFERROR(__xludf.DUMMYFUNCTION("""COMPUTED_VALUE"""),"")</f>
        <v/>
      </c>
      <c r="J447" s="6" t="str">
        <f ca="1">IFERROR(__xludf.DUMMYFUNCTION("""COMPUTED_VALUE"""),"")</f>
        <v/>
      </c>
    </row>
    <row r="448" spans="1:10" x14ac:dyDescent="0.2">
      <c r="A448" s="6" t="str">
        <f ca="1">IFERROR(__xludf.DUMMYFUNCTION("""COMPUTED_VALUE"""),"")</f>
        <v/>
      </c>
      <c r="B448" s="6" t="str">
        <f ca="1">IFERROR(__xludf.DUMMYFUNCTION("""COMPUTED_VALUE"""),"")</f>
        <v/>
      </c>
      <c r="C448" s="6" t="str">
        <f ca="1">IFERROR(__xludf.DUMMYFUNCTION("""COMPUTED_VALUE"""),"")</f>
        <v/>
      </c>
      <c r="D448" s="6" t="str">
        <f ca="1">IFERROR(__xludf.DUMMYFUNCTION("""COMPUTED_VALUE"""),"")</f>
        <v/>
      </c>
      <c r="E448" s="6" t="str">
        <f ca="1">IFERROR(__xludf.DUMMYFUNCTION("""COMPUTED_VALUE"""),"")</f>
        <v/>
      </c>
      <c r="F448" s="6" t="str">
        <f ca="1">IFERROR(__xludf.DUMMYFUNCTION("""COMPUTED_VALUE"""),"")</f>
        <v/>
      </c>
      <c r="G448" s="6" t="str">
        <f ca="1">IFERROR(__xludf.DUMMYFUNCTION("""COMPUTED_VALUE"""),"")</f>
        <v/>
      </c>
      <c r="H448" s="6" t="str">
        <f ca="1">IFERROR(__xludf.DUMMYFUNCTION("""COMPUTED_VALUE"""),"")</f>
        <v/>
      </c>
      <c r="I448" s="6" t="str">
        <f ca="1">IFERROR(__xludf.DUMMYFUNCTION("""COMPUTED_VALUE"""),"")</f>
        <v/>
      </c>
      <c r="J448" s="6" t="str">
        <f ca="1">IFERROR(__xludf.DUMMYFUNCTION("""COMPUTED_VALUE"""),"")</f>
        <v/>
      </c>
    </row>
    <row r="449" spans="1:10" x14ac:dyDescent="0.2">
      <c r="A449" s="6" t="str">
        <f ca="1">IFERROR(__xludf.DUMMYFUNCTION("""COMPUTED_VALUE"""),"")</f>
        <v/>
      </c>
      <c r="B449" s="6" t="str">
        <f ca="1">IFERROR(__xludf.DUMMYFUNCTION("""COMPUTED_VALUE"""),"")</f>
        <v/>
      </c>
      <c r="C449" s="6" t="str">
        <f ca="1">IFERROR(__xludf.DUMMYFUNCTION("""COMPUTED_VALUE"""),"")</f>
        <v/>
      </c>
      <c r="D449" s="6" t="str">
        <f ca="1">IFERROR(__xludf.DUMMYFUNCTION("""COMPUTED_VALUE"""),"")</f>
        <v/>
      </c>
      <c r="E449" s="6" t="str">
        <f ca="1">IFERROR(__xludf.DUMMYFUNCTION("""COMPUTED_VALUE"""),"")</f>
        <v/>
      </c>
      <c r="F449" s="6" t="str">
        <f ca="1">IFERROR(__xludf.DUMMYFUNCTION("""COMPUTED_VALUE"""),"")</f>
        <v/>
      </c>
      <c r="G449" s="6" t="str">
        <f ca="1">IFERROR(__xludf.DUMMYFUNCTION("""COMPUTED_VALUE"""),"")</f>
        <v/>
      </c>
      <c r="H449" s="6" t="str">
        <f ca="1">IFERROR(__xludf.DUMMYFUNCTION("""COMPUTED_VALUE"""),"")</f>
        <v/>
      </c>
      <c r="I449" s="6" t="str">
        <f ca="1">IFERROR(__xludf.DUMMYFUNCTION("""COMPUTED_VALUE"""),"")</f>
        <v/>
      </c>
      <c r="J449" s="6" t="str">
        <f ca="1">IFERROR(__xludf.DUMMYFUNCTION("""COMPUTED_VALUE"""),"")</f>
        <v/>
      </c>
    </row>
    <row r="450" spans="1:10" x14ac:dyDescent="0.2">
      <c r="A450" s="6" t="str">
        <f ca="1">IFERROR(__xludf.DUMMYFUNCTION("""COMPUTED_VALUE"""),"")</f>
        <v/>
      </c>
      <c r="B450" s="6" t="str">
        <f ca="1">IFERROR(__xludf.DUMMYFUNCTION("""COMPUTED_VALUE"""),"")</f>
        <v/>
      </c>
      <c r="C450" s="6" t="str">
        <f ca="1">IFERROR(__xludf.DUMMYFUNCTION("""COMPUTED_VALUE"""),"")</f>
        <v/>
      </c>
      <c r="D450" s="6" t="str">
        <f ca="1">IFERROR(__xludf.DUMMYFUNCTION("""COMPUTED_VALUE"""),"")</f>
        <v/>
      </c>
      <c r="E450" s="6" t="str">
        <f ca="1">IFERROR(__xludf.DUMMYFUNCTION("""COMPUTED_VALUE"""),"")</f>
        <v/>
      </c>
      <c r="F450" s="6" t="str">
        <f ca="1">IFERROR(__xludf.DUMMYFUNCTION("""COMPUTED_VALUE"""),"")</f>
        <v/>
      </c>
      <c r="G450" s="6" t="str">
        <f ca="1">IFERROR(__xludf.DUMMYFUNCTION("""COMPUTED_VALUE"""),"")</f>
        <v/>
      </c>
      <c r="H450" s="6" t="str">
        <f ca="1">IFERROR(__xludf.DUMMYFUNCTION("""COMPUTED_VALUE"""),"")</f>
        <v/>
      </c>
      <c r="I450" s="6" t="str">
        <f ca="1">IFERROR(__xludf.DUMMYFUNCTION("""COMPUTED_VALUE"""),"")</f>
        <v/>
      </c>
      <c r="J450" s="6" t="str">
        <f ca="1">IFERROR(__xludf.DUMMYFUNCTION("""COMPUTED_VALUE"""),"")</f>
        <v/>
      </c>
    </row>
    <row r="451" spans="1:10" x14ac:dyDescent="0.2">
      <c r="A451" s="6" t="str">
        <f ca="1">IFERROR(__xludf.DUMMYFUNCTION("""COMPUTED_VALUE"""),"")</f>
        <v/>
      </c>
      <c r="B451" s="6" t="str">
        <f ca="1">IFERROR(__xludf.DUMMYFUNCTION("""COMPUTED_VALUE"""),"")</f>
        <v/>
      </c>
      <c r="C451" s="6" t="str">
        <f ca="1">IFERROR(__xludf.DUMMYFUNCTION("""COMPUTED_VALUE"""),"")</f>
        <v/>
      </c>
      <c r="D451" s="6" t="str">
        <f ca="1">IFERROR(__xludf.DUMMYFUNCTION("""COMPUTED_VALUE"""),"")</f>
        <v/>
      </c>
      <c r="E451" s="6" t="str">
        <f ca="1">IFERROR(__xludf.DUMMYFUNCTION("""COMPUTED_VALUE"""),"")</f>
        <v/>
      </c>
      <c r="F451" s="6" t="str">
        <f ca="1">IFERROR(__xludf.DUMMYFUNCTION("""COMPUTED_VALUE"""),"")</f>
        <v/>
      </c>
      <c r="G451" s="6" t="str">
        <f ca="1">IFERROR(__xludf.DUMMYFUNCTION("""COMPUTED_VALUE"""),"")</f>
        <v/>
      </c>
      <c r="H451" s="6" t="str">
        <f ca="1">IFERROR(__xludf.DUMMYFUNCTION("""COMPUTED_VALUE"""),"")</f>
        <v/>
      </c>
      <c r="I451" s="6" t="str">
        <f ca="1">IFERROR(__xludf.DUMMYFUNCTION("""COMPUTED_VALUE"""),"")</f>
        <v/>
      </c>
      <c r="J451" s="6" t="str">
        <f ca="1">IFERROR(__xludf.DUMMYFUNCTION("""COMPUTED_VALUE"""),"")</f>
        <v/>
      </c>
    </row>
    <row r="452" spans="1:10" x14ac:dyDescent="0.2">
      <c r="A452" s="6" t="str">
        <f ca="1">IFERROR(__xludf.DUMMYFUNCTION("""COMPUTED_VALUE"""),"")</f>
        <v/>
      </c>
      <c r="B452" s="6" t="str">
        <f ca="1">IFERROR(__xludf.DUMMYFUNCTION("""COMPUTED_VALUE"""),"")</f>
        <v/>
      </c>
      <c r="C452" s="6" t="str">
        <f ca="1">IFERROR(__xludf.DUMMYFUNCTION("""COMPUTED_VALUE"""),"")</f>
        <v/>
      </c>
      <c r="D452" s="6" t="str">
        <f ca="1">IFERROR(__xludf.DUMMYFUNCTION("""COMPUTED_VALUE"""),"")</f>
        <v/>
      </c>
      <c r="E452" s="6" t="str">
        <f ca="1">IFERROR(__xludf.DUMMYFUNCTION("""COMPUTED_VALUE"""),"")</f>
        <v/>
      </c>
      <c r="F452" s="6" t="str">
        <f ca="1">IFERROR(__xludf.DUMMYFUNCTION("""COMPUTED_VALUE"""),"")</f>
        <v/>
      </c>
      <c r="G452" s="6" t="str">
        <f ca="1">IFERROR(__xludf.DUMMYFUNCTION("""COMPUTED_VALUE"""),"")</f>
        <v/>
      </c>
      <c r="H452" s="6" t="str">
        <f ca="1">IFERROR(__xludf.DUMMYFUNCTION("""COMPUTED_VALUE"""),"")</f>
        <v/>
      </c>
      <c r="I452" s="6" t="str">
        <f ca="1">IFERROR(__xludf.DUMMYFUNCTION("""COMPUTED_VALUE"""),"")</f>
        <v/>
      </c>
      <c r="J452" s="6" t="str">
        <f ca="1">IFERROR(__xludf.DUMMYFUNCTION("""COMPUTED_VALUE"""),"")</f>
        <v/>
      </c>
    </row>
    <row r="453" spans="1:10" x14ac:dyDescent="0.2">
      <c r="A453" s="6" t="str">
        <f ca="1">IFERROR(__xludf.DUMMYFUNCTION("""COMPUTED_VALUE"""),"")</f>
        <v/>
      </c>
      <c r="B453" s="6" t="str">
        <f ca="1">IFERROR(__xludf.DUMMYFUNCTION("""COMPUTED_VALUE"""),"")</f>
        <v/>
      </c>
      <c r="C453" s="6" t="str">
        <f ca="1">IFERROR(__xludf.DUMMYFUNCTION("""COMPUTED_VALUE"""),"")</f>
        <v/>
      </c>
      <c r="D453" s="6" t="str">
        <f ca="1">IFERROR(__xludf.DUMMYFUNCTION("""COMPUTED_VALUE"""),"")</f>
        <v/>
      </c>
      <c r="E453" s="6" t="str">
        <f ca="1">IFERROR(__xludf.DUMMYFUNCTION("""COMPUTED_VALUE"""),"")</f>
        <v/>
      </c>
      <c r="F453" s="6" t="str">
        <f ca="1">IFERROR(__xludf.DUMMYFUNCTION("""COMPUTED_VALUE"""),"")</f>
        <v/>
      </c>
      <c r="G453" s="6" t="str">
        <f ca="1">IFERROR(__xludf.DUMMYFUNCTION("""COMPUTED_VALUE"""),"")</f>
        <v/>
      </c>
      <c r="H453" s="6" t="str">
        <f ca="1">IFERROR(__xludf.DUMMYFUNCTION("""COMPUTED_VALUE"""),"")</f>
        <v/>
      </c>
      <c r="I453" s="6" t="str">
        <f ca="1">IFERROR(__xludf.DUMMYFUNCTION("""COMPUTED_VALUE"""),"")</f>
        <v/>
      </c>
      <c r="J453" s="6" t="str">
        <f ca="1">IFERROR(__xludf.DUMMYFUNCTION("""COMPUTED_VALUE"""),"")</f>
        <v/>
      </c>
    </row>
    <row r="454" spans="1:10" x14ac:dyDescent="0.2">
      <c r="A454" s="6" t="str">
        <f ca="1">IFERROR(__xludf.DUMMYFUNCTION("""COMPUTED_VALUE"""),"")</f>
        <v/>
      </c>
      <c r="B454" s="6" t="str">
        <f ca="1">IFERROR(__xludf.DUMMYFUNCTION("""COMPUTED_VALUE"""),"")</f>
        <v/>
      </c>
      <c r="C454" s="6" t="str">
        <f ca="1">IFERROR(__xludf.DUMMYFUNCTION("""COMPUTED_VALUE"""),"")</f>
        <v/>
      </c>
      <c r="D454" s="6" t="str">
        <f ca="1">IFERROR(__xludf.DUMMYFUNCTION("""COMPUTED_VALUE"""),"")</f>
        <v/>
      </c>
      <c r="E454" s="6" t="str">
        <f ca="1">IFERROR(__xludf.DUMMYFUNCTION("""COMPUTED_VALUE"""),"")</f>
        <v/>
      </c>
      <c r="F454" s="6" t="str">
        <f ca="1">IFERROR(__xludf.DUMMYFUNCTION("""COMPUTED_VALUE"""),"")</f>
        <v/>
      </c>
      <c r="G454" s="6" t="str">
        <f ca="1">IFERROR(__xludf.DUMMYFUNCTION("""COMPUTED_VALUE"""),"")</f>
        <v/>
      </c>
      <c r="H454" s="6" t="str">
        <f ca="1">IFERROR(__xludf.DUMMYFUNCTION("""COMPUTED_VALUE"""),"")</f>
        <v/>
      </c>
      <c r="I454" s="6" t="str">
        <f ca="1">IFERROR(__xludf.DUMMYFUNCTION("""COMPUTED_VALUE"""),"")</f>
        <v/>
      </c>
      <c r="J454" s="6" t="str">
        <f ca="1">IFERROR(__xludf.DUMMYFUNCTION("""COMPUTED_VALUE"""),"")</f>
        <v/>
      </c>
    </row>
    <row r="455" spans="1:10" x14ac:dyDescent="0.2">
      <c r="A455" s="6" t="str">
        <f ca="1">IFERROR(__xludf.DUMMYFUNCTION("""COMPUTED_VALUE"""),"")</f>
        <v/>
      </c>
      <c r="B455" s="6" t="str">
        <f ca="1">IFERROR(__xludf.DUMMYFUNCTION("""COMPUTED_VALUE"""),"")</f>
        <v/>
      </c>
      <c r="C455" s="6" t="str">
        <f ca="1">IFERROR(__xludf.DUMMYFUNCTION("""COMPUTED_VALUE"""),"")</f>
        <v/>
      </c>
      <c r="D455" s="6" t="str">
        <f ca="1">IFERROR(__xludf.DUMMYFUNCTION("""COMPUTED_VALUE"""),"")</f>
        <v/>
      </c>
      <c r="E455" s="6" t="str">
        <f ca="1">IFERROR(__xludf.DUMMYFUNCTION("""COMPUTED_VALUE"""),"")</f>
        <v/>
      </c>
      <c r="F455" s="6" t="str">
        <f ca="1">IFERROR(__xludf.DUMMYFUNCTION("""COMPUTED_VALUE"""),"")</f>
        <v/>
      </c>
      <c r="G455" s="6" t="str">
        <f ca="1">IFERROR(__xludf.DUMMYFUNCTION("""COMPUTED_VALUE"""),"")</f>
        <v/>
      </c>
      <c r="H455" s="6" t="str">
        <f ca="1">IFERROR(__xludf.DUMMYFUNCTION("""COMPUTED_VALUE"""),"")</f>
        <v/>
      </c>
      <c r="I455" s="6" t="str">
        <f ca="1">IFERROR(__xludf.DUMMYFUNCTION("""COMPUTED_VALUE"""),"")</f>
        <v/>
      </c>
      <c r="J455" s="6" t="str">
        <f ca="1">IFERROR(__xludf.DUMMYFUNCTION("""COMPUTED_VALUE"""),"")</f>
        <v/>
      </c>
    </row>
    <row r="456" spans="1:10" x14ac:dyDescent="0.2">
      <c r="A456" s="6" t="str">
        <f ca="1">IFERROR(__xludf.DUMMYFUNCTION("""COMPUTED_VALUE"""),"")</f>
        <v/>
      </c>
      <c r="B456" s="6" t="str">
        <f ca="1">IFERROR(__xludf.DUMMYFUNCTION("""COMPUTED_VALUE"""),"")</f>
        <v/>
      </c>
      <c r="C456" s="6" t="str">
        <f ca="1">IFERROR(__xludf.DUMMYFUNCTION("""COMPUTED_VALUE"""),"")</f>
        <v/>
      </c>
      <c r="D456" s="6" t="str">
        <f ca="1">IFERROR(__xludf.DUMMYFUNCTION("""COMPUTED_VALUE"""),"")</f>
        <v/>
      </c>
      <c r="E456" s="6" t="str">
        <f ca="1">IFERROR(__xludf.DUMMYFUNCTION("""COMPUTED_VALUE"""),"")</f>
        <v/>
      </c>
      <c r="F456" s="6" t="str">
        <f ca="1">IFERROR(__xludf.DUMMYFUNCTION("""COMPUTED_VALUE"""),"")</f>
        <v/>
      </c>
      <c r="G456" s="6" t="str">
        <f ca="1">IFERROR(__xludf.DUMMYFUNCTION("""COMPUTED_VALUE"""),"")</f>
        <v/>
      </c>
      <c r="H456" s="6" t="str">
        <f ca="1">IFERROR(__xludf.DUMMYFUNCTION("""COMPUTED_VALUE"""),"")</f>
        <v/>
      </c>
      <c r="I456" s="6" t="str">
        <f ca="1">IFERROR(__xludf.DUMMYFUNCTION("""COMPUTED_VALUE"""),"")</f>
        <v/>
      </c>
      <c r="J456" s="6" t="str">
        <f ca="1">IFERROR(__xludf.DUMMYFUNCTION("""COMPUTED_VALUE"""),"")</f>
        <v/>
      </c>
    </row>
    <row r="457" spans="1:10" x14ac:dyDescent="0.2">
      <c r="A457" s="6" t="str">
        <f ca="1">IFERROR(__xludf.DUMMYFUNCTION("""COMPUTED_VALUE"""),"")</f>
        <v/>
      </c>
      <c r="B457" s="6" t="str">
        <f ca="1">IFERROR(__xludf.DUMMYFUNCTION("""COMPUTED_VALUE"""),"")</f>
        <v/>
      </c>
      <c r="C457" s="6" t="str">
        <f ca="1">IFERROR(__xludf.DUMMYFUNCTION("""COMPUTED_VALUE"""),"")</f>
        <v/>
      </c>
      <c r="D457" s="6" t="str">
        <f ca="1">IFERROR(__xludf.DUMMYFUNCTION("""COMPUTED_VALUE"""),"")</f>
        <v/>
      </c>
      <c r="E457" s="6" t="str">
        <f ca="1">IFERROR(__xludf.DUMMYFUNCTION("""COMPUTED_VALUE"""),"")</f>
        <v/>
      </c>
      <c r="F457" s="6" t="str">
        <f ca="1">IFERROR(__xludf.DUMMYFUNCTION("""COMPUTED_VALUE"""),"")</f>
        <v/>
      </c>
      <c r="G457" s="6" t="str">
        <f ca="1">IFERROR(__xludf.DUMMYFUNCTION("""COMPUTED_VALUE"""),"")</f>
        <v/>
      </c>
      <c r="H457" s="6" t="str">
        <f ca="1">IFERROR(__xludf.DUMMYFUNCTION("""COMPUTED_VALUE"""),"")</f>
        <v/>
      </c>
      <c r="I457" s="6" t="str">
        <f ca="1">IFERROR(__xludf.DUMMYFUNCTION("""COMPUTED_VALUE"""),"")</f>
        <v/>
      </c>
      <c r="J457" s="6" t="str">
        <f ca="1">IFERROR(__xludf.DUMMYFUNCTION("""COMPUTED_VALUE"""),"")</f>
        <v/>
      </c>
    </row>
    <row r="458" spans="1:10" x14ac:dyDescent="0.2">
      <c r="A458" s="6" t="str">
        <f ca="1">IFERROR(__xludf.DUMMYFUNCTION("""COMPUTED_VALUE"""),"")</f>
        <v/>
      </c>
      <c r="B458" s="6" t="str">
        <f ca="1">IFERROR(__xludf.DUMMYFUNCTION("""COMPUTED_VALUE"""),"")</f>
        <v/>
      </c>
      <c r="C458" s="6" t="str">
        <f ca="1">IFERROR(__xludf.DUMMYFUNCTION("""COMPUTED_VALUE"""),"")</f>
        <v/>
      </c>
      <c r="D458" s="6" t="str">
        <f ca="1">IFERROR(__xludf.DUMMYFUNCTION("""COMPUTED_VALUE"""),"")</f>
        <v/>
      </c>
      <c r="E458" s="6" t="str">
        <f ca="1">IFERROR(__xludf.DUMMYFUNCTION("""COMPUTED_VALUE"""),"")</f>
        <v/>
      </c>
      <c r="F458" s="6" t="str">
        <f ca="1">IFERROR(__xludf.DUMMYFUNCTION("""COMPUTED_VALUE"""),"")</f>
        <v/>
      </c>
      <c r="G458" s="6" t="str">
        <f ca="1">IFERROR(__xludf.DUMMYFUNCTION("""COMPUTED_VALUE"""),"")</f>
        <v/>
      </c>
      <c r="H458" s="6" t="str">
        <f ca="1">IFERROR(__xludf.DUMMYFUNCTION("""COMPUTED_VALUE"""),"")</f>
        <v/>
      </c>
      <c r="I458" s="6" t="str">
        <f ca="1">IFERROR(__xludf.DUMMYFUNCTION("""COMPUTED_VALUE"""),"")</f>
        <v/>
      </c>
      <c r="J458" s="6" t="str">
        <f ca="1">IFERROR(__xludf.DUMMYFUNCTION("""COMPUTED_VALUE"""),"")</f>
        <v/>
      </c>
    </row>
    <row r="459" spans="1:10" x14ac:dyDescent="0.2">
      <c r="A459" s="6" t="str">
        <f ca="1">IFERROR(__xludf.DUMMYFUNCTION("""COMPUTED_VALUE"""),"")</f>
        <v/>
      </c>
      <c r="B459" s="6" t="str">
        <f ca="1">IFERROR(__xludf.DUMMYFUNCTION("""COMPUTED_VALUE"""),"")</f>
        <v/>
      </c>
      <c r="C459" s="6" t="str">
        <f ca="1">IFERROR(__xludf.DUMMYFUNCTION("""COMPUTED_VALUE"""),"")</f>
        <v/>
      </c>
      <c r="D459" s="6" t="str">
        <f ca="1">IFERROR(__xludf.DUMMYFUNCTION("""COMPUTED_VALUE"""),"")</f>
        <v/>
      </c>
      <c r="E459" s="6" t="str">
        <f ca="1">IFERROR(__xludf.DUMMYFUNCTION("""COMPUTED_VALUE"""),"")</f>
        <v/>
      </c>
      <c r="F459" s="6" t="str">
        <f ca="1">IFERROR(__xludf.DUMMYFUNCTION("""COMPUTED_VALUE"""),"")</f>
        <v/>
      </c>
      <c r="G459" s="6" t="str">
        <f ca="1">IFERROR(__xludf.DUMMYFUNCTION("""COMPUTED_VALUE"""),"")</f>
        <v/>
      </c>
      <c r="H459" s="6" t="str">
        <f ca="1">IFERROR(__xludf.DUMMYFUNCTION("""COMPUTED_VALUE"""),"")</f>
        <v/>
      </c>
      <c r="I459" s="6" t="str">
        <f ca="1">IFERROR(__xludf.DUMMYFUNCTION("""COMPUTED_VALUE"""),"")</f>
        <v/>
      </c>
      <c r="J459" s="6" t="str">
        <f ca="1">IFERROR(__xludf.DUMMYFUNCTION("""COMPUTED_VALUE"""),"")</f>
        <v/>
      </c>
    </row>
    <row r="460" spans="1:10" x14ac:dyDescent="0.2">
      <c r="A460" s="6" t="str">
        <f ca="1">IFERROR(__xludf.DUMMYFUNCTION("""COMPUTED_VALUE"""),"")</f>
        <v/>
      </c>
      <c r="B460" s="6" t="str">
        <f ca="1">IFERROR(__xludf.DUMMYFUNCTION("""COMPUTED_VALUE"""),"")</f>
        <v/>
      </c>
      <c r="C460" s="6" t="str">
        <f ca="1">IFERROR(__xludf.DUMMYFUNCTION("""COMPUTED_VALUE"""),"")</f>
        <v/>
      </c>
      <c r="D460" s="6" t="str">
        <f ca="1">IFERROR(__xludf.DUMMYFUNCTION("""COMPUTED_VALUE"""),"")</f>
        <v/>
      </c>
      <c r="E460" s="6" t="str">
        <f ca="1">IFERROR(__xludf.DUMMYFUNCTION("""COMPUTED_VALUE"""),"")</f>
        <v/>
      </c>
      <c r="F460" s="6" t="str">
        <f ca="1">IFERROR(__xludf.DUMMYFUNCTION("""COMPUTED_VALUE"""),"")</f>
        <v/>
      </c>
      <c r="G460" s="6" t="str">
        <f ca="1">IFERROR(__xludf.DUMMYFUNCTION("""COMPUTED_VALUE"""),"")</f>
        <v/>
      </c>
      <c r="H460" s="6" t="str">
        <f ca="1">IFERROR(__xludf.DUMMYFUNCTION("""COMPUTED_VALUE"""),"")</f>
        <v/>
      </c>
      <c r="I460" s="6" t="str">
        <f ca="1">IFERROR(__xludf.DUMMYFUNCTION("""COMPUTED_VALUE"""),"")</f>
        <v/>
      </c>
      <c r="J460" s="6" t="str">
        <f ca="1">IFERROR(__xludf.DUMMYFUNCTION("""COMPUTED_VALUE"""),"")</f>
        <v/>
      </c>
    </row>
    <row r="461" spans="1:10" x14ac:dyDescent="0.2">
      <c r="A461" s="6" t="str">
        <f ca="1">IFERROR(__xludf.DUMMYFUNCTION("""COMPUTED_VALUE"""),"")</f>
        <v/>
      </c>
      <c r="B461" s="6" t="str">
        <f ca="1">IFERROR(__xludf.DUMMYFUNCTION("""COMPUTED_VALUE"""),"")</f>
        <v/>
      </c>
      <c r="C461" s="6" t="str">
        <f ca="1">IFERROR(__xludf.DUMMYFUNCTION("""COMPUTED_VALUE"""),"")</f>
        <v/>
      </c>
      <c r="D461" s="6" t="str">
        <f ca="1">IFERROR(__xludf.DUMMYFUNCTION("""COMPUTED_VALUE"""),"")</f>
        <v/>
      </c>
      <c r="E461" s="6" t="str">
        <f ca="1">IFERROR(__xludf.DUMMYFUNCTION("""COMPUTED_VALUE"""),"")</f>
        <v/>
      </c>
      <c r="F461" s="6" t="str">
        <f ca="1">IFERROR(__xludf.DUMMYFUNCTION("""COMPUTED_VALUE"""),"")</f>
        <v/>
      </c>
      <c r="G461" s="6" t="str">
        <f ca="1">IFERROR(__xludf.DUMMYFUNCTION("""COMPUTED_VALUE"""),"")</f>
        <v/>
      </c>
      <c r="H461" s="6" t="str">
        <f ca="1">IFERROR(__xludf.DUMMYFUNCTION("""COMPUTED_VALUE"""),"")</f>
        <v/>
      </c>
      <c r="I461" s="6" t="str">
        <f ca="1">IFERROR(__xludf.DUMMYFUNCTION("""COMPUTED_VALUE"""),"")</f>
        <v/>
      </c>
      <c r="J461" s="6" t="str">
        <f ca="1">IFERROR(__xludf.DUMMYFUNCTION("""COMPUTED_VALUE"""),"")</f>
        <v/>
      </c>
    </row>
    <row r="462" spans="1:10" x14ac:dyDescent="0.2">
      <c r="A462" s="6" t="str">
        <f ca="1">IFERROR(__xludf.DUMMYFUNCTION("""COMPUTED_VALUE"""),"")</f>
        <v/>
      </c>
      <c r="B462" s="6" t="str">
        <f ca="1">IFERROR(__xludf.DUMMYFUNCTION("""COMPUTED_VALUE"""),"")</f>
        <v/>
      </c>
      <c r="C462" s="6" t="str">
        <f ca="1">IFERROR(__xludf.DUMMYFUNCTION("""COMPUTED_VALUE"""),"")</f>
        <v/>
      </c>
      <c r="D462" s="6" t="str">
        <f ca="1">IFERROR(__xludf.DUMMYFUNCTION("""COMPUTED_VALUE"""),"")</f>
        <v/>
      </c>
      <c r="E462" s="6" t="str">
        <f ca="1">IFERROR(__xludf.DUMMYFUNCTION("""COMPUTED_VALUE"""),"")</f>
        <v/>
      </c>
      <c r="F462" s="6" t="str">
        <f ca="1">IFERROR(__xludf.DUMMYFUNCTION("""COMPUTED_VALUE"""),"")</f>
        <v/>
      </c>
      <c r="G462" s="6" t="str">
        <f ca="1">IFERROR(__xludf.DUMMYFUNCTION("""COMPUTED_VALUE"""),"")</f>
        <v/>
      </c>
      <c r="H462" s="6" t="str">
        <f ca="1">IFERROR(__xludf.DUMMYFUNCTION("""COMPUTED_VALUE"""),"")</f>
        <v/>
      </c>
      <c r="I462" s="6" t="str">
        <f ca="1">IFERROR(__xludf.DUMMYFUNCTION("""COMPUTED_VALUE"""),"")</f>
        <v/>
      </c>
      <c r="J462" s="6" t="str">
        <f ca="1">IFERROR(__xludf.DUMMYFUNCTION("""COMPUTED_VALUE"""),"")</f>
        <v/>
      </c>
    </row>
    <row r="463" spans="1:10" x14ac:dyDescent="0.2">
      <c r="A463" s="6" t="str">
        <f ca="1">IFERROR(__xludf.DUMMYFUNCTION("""COMPUTED_VALUE"""),"")</f>
        <v/>
      </c>
      <c r="B463" s="6" t="str">
        <f ca="1">IFERROR(__xludf.DUMMYFUNCTION("""COMPUTED_VALUE"""),"")</f>
        <v/>
      </c>
      <c r="C463" s="6" t="str">
        <f ca="1">IFERROR(__xludf.DUMMYFUNCTION("""COMPUTED_VALUE"""),"")</f>
        <v/>
      </c>
      <c r="D463" s="6" t="str">
        <f ca="1">IFERROR(__xludf.DUMMYFUNCTION("""COMPUTED_VALUE"""),"")</f>
        <v/>
      </c>
      <c r="E463" s="6" t="str">
        <f ca="1">IFERROR(__xludf.DUMMYFUNCTION("""COMPUTED_VALUE"""),"")</f>
        <v/>
      </c>
      <c r="F463" s="6" t="str">
        <f ca="1">IFERROR(__xludf.DUMMYFUNCTION("""COMPUTED_VALUE"""),"")</f>
        <v/>
      </c>
      <c r="G463" s="6" t="str">
        <f ca="1">IFERROR(__xludf.DUMMYFUNCTION("""COMPUTED_VALUE"""),"")</f>
        <v/>
      </c>
      <c r="H463" s="6" t="str">
        <f ca="1">IFERROR(__xludf.DUMMYFUNCTION("""COMPUTED_VALUE"""),"")</f>
        <v/>
      </c>
      <c r="I463" s="6" t="str">
        <f ca="1">IFERROR(__xludf.DUMMYFUNCTION("""COMPUTED_VALUE"""),"")</f>
        <v/>
      </c>
      <c r="J463" s="6" t="str">
        <f ca="1">IFERROR(__xludf.DUMMYFUNCTION("""COMPUTED_VALUE"""),"")</f>
        <v/>
      </c>
    </row>
    <row r="464" spans="1:10" x14ac:dyDescent="0.2">
      <c r="A464" s="6" t="str">
        <f ca="1">IFERROR(__xludf.DUMMYFUNCTION("""COMPUTED_VALUE"""),"")</f>
        <v/>
      </c>
      <c r="B464" s="6" t="str">
        <f ca="1">IFERROR(__xludf.DUMMYFUNCTION("""COMPUTED_VALUE"""),"")</f>
        <v/>
      </c>
      <c r="C464" s="6" t="str">
        <f ca="1">IFERROR(__xludf.DUMMYFUNCTION("""COMPUTED_VALUE"""),"")</f>
        <v/>
      </c>
      <c r="D464" s="6" t="str">
        <f ca="1">IFERROR(__xludf.DUMMYFUNCTION("""COMPUTED_VALUE"""),"")</f>
        <v/>
      </c>
      <c r="E464" s="6" t="str">
        <f ca="1">IFERROR(__xludf.DUMMYFUNCTION("""COMPUTED_VALUE"""),"")</f>
        <v/>
      </c>
      <c r="F464" s="6" t="str">
        <f ca="1">IFERROR(__xludf.DUMMYFUNCTION("""COMPUTED_VALUE"""),"")</f>
        <v/>
      </c>
      <c r="G464" s="6" t="str">
        <f ca="1">IFERROR(__xludf.DUMMYFUNCTION("""COMPUTED_VALUE"""),"")</f>
        <v/>
      </c>
      <c r="H464" s="6" t="str">
        <f ca="1">IFERROR(__xludf.DUMMYFUNCTION("""COMPUTED_VALUE"""),"")</f>
        <v/>
      </c>
      <c r="I464" s="6" t="str">
        <f ca="1">IFERROR(__xludf.DUMMYFUNCTION("""COMPUTED_VALUE"""),"")</f>
        <v/>
      </c>
      <c r="J464" s="6" t="str">
        <f ca="1">IFERROR(__xludf.DUMMYFUNCTION("""COMPUTED_VALUE"""),"")</f>
        <v/>
      </c>
    </row>
    <row r="465" spans="1:10" x14ac:dyDescent="0.2">
      <c r="A465" s="6" t="str">
        <f ca="1">IFERROR(__xludf.DUMMYFUNCTION("""COMPUTED_VALUE"""),"")</f>
        <v/>
      </c>
      <c r="B465" s="6" t="str">
        <f ca="1">IFERROR(__xludf.DUMMYFUNCTION("""COMPUTED_VALUE"""),"")</f>
        <v/>
      </c>
      <c r="C465" s="6" t="str">
        <f ca="1">IFERROR(__xludf.DUMMYFUNCTION("""COMPUTED_VALUE"""),"")</f>
        <v/>
      </c>
      <c r="D465" s="6" t="str">
        <f ca="1">IFERROR(__xludf.DUMMYFUNCTION("""COMPUTED_VALUE"""),"")</f>
        <v/>
      </c>
      <c r="E465" s="6" t="str">
        <f ca="1">IFERROR(__xludf.DUMMYFUNCTION("""COMPUTED_VALUE"""),"")</f>
        <v/>
      </c>
      <c r="F465" s="6" t="str">
        <f ca="1">IFERROR(__xludf.DUMMYFUNCTION("""COMPUTED_VALUE"""),"")</f>
        <v/>
      </c>
      <c r="G465" s="6" t="str">
        <f ca="1">IFERROR(__xludf.DUMMYFUNCTION("""COMPUTED_VALUE"""),"")</f>
        <v/>
      </c>
      <c r="H465" s="6" t="str">
        <f ca="1">IFERROR(__xludf.DUMMYFUNCTION("""COMPUTED_VALUE"""),"")</f>
        <v/>
      </c>
      <c r="I465" s="6" t="str">
        <f ca="1">IFERROR(__xludf.DUMMYFUNCTION("""COMPUTED_VALUE"""),"")</f>
        <v/>
      </c>
      <c r="J465" s="6" t="str">
        <f ca="1">IFERROR(__xludf.DUMMYFUNCTION("""COMPUTED_VALUE"""),"")</f>
        <v/>
      </c>
    </row>
    <row r="466" spans="1:10" x14ac:dyDescent="0.2">
      <c r="A466" s="6" t="str">
        <f ca="1">IFERROR(__xludf.DUMMYFUNCTION("""COMPUTED_VALUE"""),"")</f>
        <v/>
      </c>
      <c r="B466" s="6" t="str">
        <f ca="1">IFERROR(__xludf.DUMMYFUNCTION("""COMPUTED_VALUE"""),"")</f>
        <v/>
      </c>
      <c r="C466" s="6" t="str">
        <f ca="1">IFERROR(__xludf.DUMMYFUNCTION("""COMPUTED_VALUE"""),"")</f>
        <v/>
      </c>
      <c r="D466" s="6" t="str">
        <f ca="1">IFERROR(__xludf.DUMMYFUNCTION("""COMPUTED_VALUE"""),"")</f>
        <v/>
      </c>
      <c r="E466" s="6" t="str">
        <f ca="1">IFERROR(__xludf.DUMMYFUNCTION("""COMPUTED_VALUE"""),"")</f>
        <v/>
      </c>
      <c r="F466" s="6" t="str">
        <f ca="1">IFERROR(__xludf.DUMMYFUNCTION("""COMPUTED_VALUE"""),"")</f>
        <v/>
      </c>
      <c r="G466" s="6" t="str">
        <f ca="1">IFERROR(__xludf.DUMMYFUNCTION("""COMPUTED_VALUE"""),"")</f>
        <v/>
      </c>
      <c r="H466" s="6" t="str">
        <f ca="1">IFERROR(__xludf.DUMMYFUNCTION("""COMPUTED_VALUE"""),"")</f>
        <v/>
      </c>
      <c r="I466" s="6" t="str">
        <f ca="1">IFERROR(__xludf.DUMMYFUNCTION("""COMPUTED_VALUE"""),"")</f>
        <v/>
      </c>
      <c r="J466" s="6" t="str">
        <f ca="1">IFERROR(__xludf.DUMMYFUNCTION("""COMPUTED_VALUE"""),"")</f>
        <v/>
      </c>
    </row>
    <row r="467" spans="1:10" x14ac:dyDescent="0.2">
      <c r="A467" s="6" t="str">
        <f ca="1">IFERROR(__xludf.DUMMYFUNCTION("""COMPUTED_VALUE"""),"")</f>
        <v/>
      </c>
      <c r="B467" s="6" t="str">
        <f ca="1">IFERROR(__xludf.DUMMYFUNCTION("""COMPUTED_VALUE"""),"")</f>
        <v/>
      </c>
      <c r="C467" s="6" t="str">
        <f ca="1">IFERROR(__xludf.DUMMYFUNCTION("""COMPUTED_VALUE"""),"")</f>
        <v/>
      </c>
      <c r="D467" s="6" t="str">
        <f ca="1">IFERROR(__xludf.DUMMYFUNCTION("""COMPUTED_VALUE"""),"")</f>
        <v/>
      </c>
      <c r="E467" s="6" t="str">
        <f ca="1">IFERROR(__xludf.DUMMYFUNCTION("""COMPUTED_VALUE"""),"")</f>
        <v/>
      </c>
      <c r="F467" s="6" t="str">
        <f ca="1">IFERROR(__xludf.DUMMYFUNCTION("""COMPUTED_VALUE"""),"")</f>
        <v/>
      </c>
      <c r="G467" s="6" t="str">
        <f ca="1">IFERROR(__xludf.DUMMYFUNCTION("""COMPUTED_VALUE"""),"")</f>
        <v/>
      </c>
      <c r="H467" s="6" t="str">
        <f ca="1">IFERROR(__xludf.DUMMYFUNCTION("""COMPUTED_VALUE"""),"")</f>
        <v/>
      </c>
      <c r="I467" s="6" t="str">
        <f ca="1">IFERROR(__xludf.DUMMYFUNCTION("""COMPUTED_VALUE"""),"")</f>
        <v/>
      </c>
      <c r="J467" s="6" t="str">
        <f ca="1">IFERROR(__xludf.DUMMYFUNCTION("""COMPUTED_VALUE"""),"")</f>
        <v/>
      </c>
    </row>
    <row r="468" spans="1:10" x14ac:dyDescent="0.2">
      <c r="A468" s="6" t="str">
        <f ca="1">IFERROR(__xludf.DUMMYFUNCTION("""COMPUTED_VALUE"""),"")</f>
        <v/>
      </c>
      <c r="B468" s="6" t="str">
        <f ca="1">IFERROR(__xludf.DUMMYFUNCTION("""COMPUTED_VALUE"""),"")</f>
        <v/>
      </c>
      <c r="C468" s="6" t="str">
        <f ca="1">IFERROR(__xludf.DUMMYFUNCTION("""COMPUTED_VALUE"""),"")</f>
        <v/>
      </c>
      <c r="D468" s="6" t="str">
        <f ca="1">IFERROR(__xludf.DUMMYFUNCTION("""COMPUTED_VALUE"""),"")</f>
        <v/>
      </c>
      <c r="E468" s="6" t="str">
        <f ca="1">IFERROR(__xludf.DUMMYFUNCTION("""COMPUTED_VALUE"""),"")</f>
        <v/>
      </c>
      <c r="F468" s="6" t="str">
        <f ca="1">IFERROR(__xludf.DUMMYFUNCTION("""COMPUTED_VALUE"""),"")</f>
        <v/>
      </c>
      <c r="G468" s="6" t="str">
        <f ca="1">IFERROR(__xludf.DUMMYFUNCTION("""COMPUTED_VALUE"""),"")</f>
        <v/>
      </c>
      <c r="H468" s="6" t="str">
        <f ca="1">IFERROR(__xludf.DUMMYFUNCTION("""COMPUTED_VALUE"""),"")</f>
        <v/>
      </c>
      <c r="I468" s="6" t="str">
        <f ca="1">IFERROR(__xludf.DUMMYFUNCTION("""COMPUTED_VALUE"""),"")</f>
        <v/>
      </c>
      <c r="J468" s="6" t="str">
        <f ca="1">IFERROR(__xludf.DUMMYFUNCTION("""COMPUTED_VALUE"""),"")</f>
        <v/>
      </c>
    </row>
    <row r="469" spans="1:10" x14ac:dyDescent="0.2">
      <c r="A469" s="6" t="str">
        <f ca="1">IFERROR(__xludf.DUMMYFUNCTION("""COMPUTED_VALUE"""),"")</f>
        <v/>
      </c>
      <c r="B469" s="6" t="str">
        <f ca="1">IFERROR(__xludf.DUMMYFUNCTION("""COMPUTED_VALUE"""),"")</f>
        <v/>
      </c>
      <c r="C469" s="6" t="str">
        <f ca="1">IFERROR(__xludf.DUMMYFUNCTION("""COMPUTED_VALUE"""),"")</f>
        <v/>
      </c>
      <c r="D469" s="6" t="str">
        <f ca="1">IFERROR(__xludf.DUMMYFUNCTION("""COMPUTED_VALUE"""),"")</f>
        <v/>
      </c>
      <c r="E469" s="6" t="str">
        <f ca="1">IFERROR(__xludf.DUMMYFUNCTION("""COMPUTED_VALUE"""),"")</f>
        <v/>
      </c>
      <c r="F469" s="6" t="str">
        <f ca="1">IFERROR(__xludf.DUMMYFUNCTION("""COMPUTED_VALUE"""),"")</f>
        <v/>
      </c>
      <c r="G469" s="6" t="str">
        <f ca="1">IFERROR(__xludf.DUMMYFUNCTION("""COMPUTED_VALUE"""),"")</f>
        <v/>
      </c>
      <c r="H469" s="6" t="str">
        <f ca="1">IFERROR(__xludf.DUMMYFUNCTION("""COMPUTED_VALUE"""),"")</f>
        <v/>
      </c>
      <c r="I469" s="6" t="str">
        <f ca="1">IFERROR(__xludf.DUMMYFUNCTION("""COMPUTED_VALUE"""),"")</f>
        <v/>
      </c>
      <c r="J469" s="6" t="str">
        <f ca="1">IFERROR(__xludf.DUMMYFUNCTION("""COMPUTED_VALUE"""),"")</f>
        <v/>
      </c>
    </row>
    <row r="470" spans="1:10" x14ac:dyDescent="0.2">
      <c r="A470" s="6" t="str">
        <f ca="1">IFERROR(__xludf.DUMMYFUNCTION("""COMPUTED_VALUE"""),"")</f>
        <v/>
      </c>
      <c r="B470" s="6" t="str">
        <f ca="1">IFERROR(__xludf.DUMMYFUNCTION("""COMPUTED_VALUE"""),"")</f>
        <v/>
      </c>
      <c r="C470" s="6" t="str">
        <f ca="1">IFERROR(__xludf.DUMMYFUNCTION("""COMPUTED_VALUE"""),"")</f>
        <v/>
      </c>
      <c r="D470" s="6" t="str">
        <f ca="1">IFERROR(__xludf.DUMMYFUNCTION("""COMPUTED_VALUE"""),"")</f>
        <v/>
      </c>
      <c r="E470" s="6" t="str">
        <f ca="1">IFERROR(__xludf.DUMMYFUNCTION("""COMPUTED_VALUE"""),"")</f>
        <v/>
      </c>
      <c r="F470" s="6" t="str">
        <f ca="1">IFERROR(__xludf.DUMMYFUNCTION("""COMPUTED_VALUE"""),"")</f>
        <v/>
      </c>
      <c r="G470" s="6" t="str">
        <f ca="1">IFERROR(__xludf.DUMMYFUNCTION("""COMPUTED_VALUE"""),"")</f>
        <v/>
      </c>
      <c r="H470" s="6" t="str">
        <f ca="1">IFERROR(__xludf.DUMMYFUNCTION("""COMPUTED_VALUE"""),"")</f>
        <v/>
      </c>
      <c r="I470" s="6" t="str">
        <f ca="1">IFERROR(__xludf.DUMMYFUNCTION("""COMPUTED_VALUE"""),"")</f>
        <v/>
      </c>
      <c r="J470" s="6" t="str">
        <f ca="1">IFERROR(__xludf.DUMMYFUNCTION("""COMPUTED_VALUE"""),"")</f>
        <v/>
      </c>
    </row>
    <row r="471" spans="1:10" x14ac:dyDescent="0.2">
      <c r="A471" s="6" t="str">
        <f ca="1">IFERROR(__xludf.DUMMYFUNCTION("""COMPUTED_VALUE"""),"")</f>
        <v/>
      </c>
      <c r="B471" s="6" t="str">
        <f ca="1">IFERROR(__xludf.DUMMYFUNCTION("""COMPUTED_VALUE"""),"")</f>
        <v/>
      </c>
      <c r="C471" s="6" t="str">
        <f ca="1">IFERROR(__xludf.DUMMYFUNCTION("""COMPUTED_VALUE"""),"")</f>
        <v/>
      </c>
      <c r="D471" s="6" t="str">
        <f ca="1">IFERROR(__xludf.DUMMYFUNCTION("""COMPUTED_VALUE"""),"")</f>
        <v/>
      </c>
      <c r="E471" s="6" t="str">
        <f ca="1">IFERROR(__xludf.DUMMYFUNCTION("""COMPUTED_VALUE"""),"")</f>
        <v/>
      </c>
      <c r="F471" s="6" t="str">
        <f ca="1">IFERROR(__xludf.DUMMYFUNCTION("""COMPUTED_VALUE"""),"")</f>
        <v/>
      </c>
      <c r="G471" s="6" t="str">
        <f ca="1">IFERROR(__xludf.DUMMYFUNCTION("""COMPUTED_VALUE"""),"")</f>
        <v/>
      </c>
      <c r="H471" s="6" t="str">
        <f ca="1">IFERROR(__xludf.DUMMYFUNCTION("""COMPUTED_VALUE"""),"")</f>
        <v/>
      </c>
      <c r="I471" s="6" t="str">
        <f ca="1">IFERROR(__xludf.DUMMYFUNCTION("""COMPUTED_VALUE"""),"")</f>
        <v/>
      </c>
      <c r="J471" s="6" t="str">
        <f ca="1">IFERROR(__xludf.DUMMYFUNCTION("""COMPUTED_VALUE"""),"")</f>
        <v/>
      </c>
    </row>
    <row r="472" spans="1:10" x14ac:dyDescent="0.2">
      <c r="A472" s="6" t="str">
        <f ca="1">IFERROR(__xludf.DUMMYFUNCTION("""COMPUTED_VALUE"""),"")</f>
        <v/>
      </c>
      <c r="B472" s="6" t="str">
        <f ca="1">IFERROR(__xludf.DUMMYFUNCTION("""COMPUTED_VALUE"""),"")</f>
        <v/>
      </c>
      <c r="C472" s="6" t="str">
        <f ca="1">IFERROR(__xludf.DUMMYFUNCTION("""COMPUTED_VALUE"""),"")</f>
        <v/>
      </c>
      <c r="D472" s="6" t="str">
        <f ca="1">IFERROR(__xludf.DUMMYFUNCTION("""COMPUTED_VALUE"""),"")</f>
        <v/>
      </c>
      <c r="E472" s="6" t="str">
        <f ca="1">IFERROR(__xludf.DUMMYFUNCTION("""COMPUTED_VALUE"""),"")</f>
        <v/>
      </c>
      <c r="F472" s="6" t="str">
        <f ca="1">IFERROR(__xludf.DUMMYFUNCTION("""COMPUTED_VALUE"""),"")</f>
        <v/>
      </c>
      <c r="G472" s="6" t="str">
        <f ca="1">IFERROR(__xludf.DUMMYFUNCTION("""COMPUTED_VALUE"""),"")</f>
        <v/>
      </c>
      <c r="H472" s="6" t="str">
        <f ca="1">IFERROR(__xludf.DUMMYFUNCTION("""COMPUTED_VALUE"""),"")</f>
        <v/>
      </c>
      <c r="I472" s="6" t="str">
        <f ca="1">IFERROR(__xludf.DUMMYFUNCTION("""COMPUTED_VALUE"""),"")</f>
        <v/>
      </c>
      <c r="J472" s="6" t="str">
        <f ca="1">IFERROR(__xludf.DUMMYFUNCTION("""COMPUTED_VALUE"""),"")</f>
        <v/>
      </c>
    </row>
    <row r="473" spans="1:10" x14ac:dyDescent="0.2">
      <c r="A473" s="6" t="str">
        <f ca="1">IFERROR(__xludf.DUMMYFUNCTION("""COMPUTED_VALUE"""),"")</f>
        <v/>
      </c>
      <c r="B473" s="6" t="str">
        <f ca="1">IFERROR(__xludf.DUMMYFUNCTION("""COMPUTED_VALUE"""),"")</f>
        <v/>
      </c>
      <c r="C473" s="6" t="str">
        <f ca="1">IFERROR(__xludf.DUMMYFUNCTION("""COMPUTED_VALUE"""),"")</f>
        <v/>
      </c>
      <c r="D473" s="6" t="str">
        <f ca="1">IFERROR(__xludf.DUMMYFUNCTION("""COMPUTED_VALUE"""),"")</f>
        <v/>
      </c>
      <c r="E473" s="6" t="str">
        <f ca="1">IFERROR(__xludf.DUMMYFUNCTION("""COMPUTED_VALUE"""),"")</f>
        <v/>
      </c>
      <c r="F473" s="6" t="str">
        <f ca="1">IFERROR(__xludf.DUMMYFUNCTION("""COMPUTED_VALUE"""),"")</f>
        <v/>
      </c>
      <c r="G473" s="6" t="str">
        <f ca="1">IFERROR(__xludf.DUMMYFUNCTION("""COMPUTED_VALUE"""),"")</f>
        <v/>
      </c>
      <c r="H473" s="6" t="str">
        <f ca="1">IFERROR(__xludf.DUMMYFUNCTION("""COMPUTED_VALUE"""),"")</f>
        <v/>
      </c>
      <c r="I473" s="6" t="str">
        <f ca="1">IFERROR(__xludf.DUMMYFUNCTION("""COMPUTED_VALUE"""),"")</f>
        <v/>
      </c>
      <c r="J473" s="6" t="str">
        <f ca="1">IFERROR(__xludf.DUMMYFUNCTION("""COMPUTED_VALUE"""),"")</f>
        <v/>
      </c>
    </row>
    <row r="474" spans="1:10" x14ac:dyDescent="0.2">
      <c r="A474" s="6" t="str">
        <f ca="1">IFERROR(__xludf.DUMMYFUNCTION("""COMPUTED_VALUE"""),"")</f>
        <v/>
      </c>
      <c r="B474" s="6" t="str">
        <f ca="1">IFERROR(__xludf.DUMMYFUNCTION("""COMPUTED_VALUE"""),"")</f>
        <v/>
      </c>
      <c r="C474" s="6" t="str">
        <f ca="1">IFERROR(__xludf.DUMMYFUNCTION("""COMPUTED_VALUE"""),"")</f>
        <v/>
      </c>
      <c r="D474" s="6" t="str">
        <f ca="1">IFERROR(__xludf.DUMMYFUNCTION("""COMPUTED_VALUE"""),"")</f>
        <v/>
      </c>
      <c r="E474" s="6" t="str">
        <f ca="1">IFERROR(__xludf.DUMMYFUNCTION("""COMPUTED_VALUE"""),"")</f>
        <v/>
      </c>
      <c r="F474" s="6" t="str">
        <f ca="1">IFERROR(__xludf.DUMMYFUNCTION("""COMPUTED_VALUE"""),"")</f>
        <v/>
      </c>
      <c r="G474" s="6" t="str">
        <f ca="1">IFERROR(__xludf.DUMMYFUNCTION("""COMPUTED_VALUE"""),"")</f>
        <v/>
      </c>
      <c r="H474" s="6" t="str">
        <f ca="1">IFERROR(__xludf.DUMMYFUNCTION("""COMPUTED_VALUE"""),"")</f>
        <v/>
      </c>
      <c r="I474" s="6" t="str">
        <f ca="1">IFERROR(__xludf.DUMMYFUNCTION("""COMPUTED_VALUE"""),"")</f>
        <v/>
      </c>
      <c r="J474" s="6" t="str">
        <f ca="1">IFERROR(__xludf.DUMMYFUNCTION("""COMPUTED_VALUE"""),"")</f>
        <v/>
      </c>
    </row>
    <row r="475" spans="1:10" x14ac:dyDescent="0.2">
      <c r="A475" s="6" t="str">
        <f ca="1">IFERROR(__xludf.DUMMYFUNCTION("""COMPUTED_VALUE"""),"")</f>
        <v/>
      </c>
      <c r="B475" s="6" t="str">
        <f ca="1">IFERROR(__xludf.DUMMYFUNCTION("""COMPUTED_VALUE"""),"")</f>
        <v/>
      </c>
      <c r="C475" s="6" t="str">
        <f ca="1">IFERROR(__xludf.DUMMYFUNCTION("""COMPUTED_VALUE"""),"")</f>
        <v/>
      </c>
      <c r="D475" s="6" t="str">
        <f ca="1">IFERROR(__xludf.DUMMYFUNCTION("""COMPUTED_VALUE"""),"")</f>
        <v/>
      </c>
      <c r="E475" s="6" t="str">
        <f ca="1">IFERROR(__xludf.DUMMYFUNCTION("""COMPUTED_VALUE"""),"")</f>
        <v/>
      </c>
      <c r="F475" s="6" t="str">
        <f ca="1">IFERROR(__xludf.DUMMYFUNCTION("""COMPUTED_VALUE"""),"")</f>
        <v/>
      </c>
      <c r="G475" s="6" t="str">
        <f ca="1">IFERROR(__xludf.DUMMYFUNCTION("""COMPUTED_VALUE"""),"")</f>
        <v/>
      </c>
      <c r="H475" s="6" t="str">
        <f ca="1">IFERROR(__xludf.DUMMYFUNCTION("""COMPUTED_VALUE"""),"")</f>
        <v/>
      </c>
      <c r="I475" s="6" t="str">
        <f ca="1">IFERROR(__xludf.DUMMYFUNCTION("""COMPUTED_VALUE"""),"")</f>
        <v/>
      </c>
      <c r="J475" s="6" t="str">
        <f ca="1">IFERROR(__xludf.DUMMYFUNCTION("""COMPUTED_VALUE"""),"")</f>
        <v/>
      </c>
    </row>
    <row r="476" spans="1:10" x14ac:dyDescent="0.2">
      <c r="A476" s="6" t="str">
        <f ca="1">IFERROR(__xludf.DUMMYFUNCTION("""COMPUTED_VALUE"""),"")</f>
        <v/>
      </c>
      <c r="B476" s="6" t="str">
        <f ca="1">IFERROR(__xludf.DUMMYFUNCTION("""COMPUTED_VALUE"""),"")</f>
        <v/>
      </c>
      <c r="C476" s="6" t="str">
        <f ca="1">IFERROR(__xludf.DUMMYFUNCTION("""COMPUTED_VALUE"""),"")</f>
        <v/>
      </c>
      <c r="D476" s="6" t="str">
        <f ca="1">IFERROR(__xludf.DUMMYFUNCTION("""COMPUTED_VALUE"""),"")</f>
        <v/>
      </c>
      <c r="E476" s="6" t="str">
        <f ca="1">IFERROR(__xludf.DUMMYFUNCTION("""COMPUTED_VALUE"""),"")</f>
        <v/>
      </c>
      <c r="F476" s="6" t="str">
        <f ca="1">IFERROR(__xludf.DUMMYFUNCTION("""COMPUTED_VALUE"""),"")</f>
        <v/>
      </c>
      <c r="G476" s="6" t="str">
        <f ca="1">IFERROR(__xludf.DUMMYFUNCTION("""COMPUTED_VALUE"""),"")</f>
        <v/>
      </c>
      <c r="H476" s="6" t="str">
        <f ca="1">IFERROR(__xludf.DUMMYFUNCTION("""COMPUTED_VALUE"""),"")</f>
        <v/>
      </c>
      <c r="I476" s="6" t="str">
        <f ca="1">IFERROR(__xludf.DUMMYFUNCTION("""COMPUTED_VALUE"""),"")</f>
        <v/>
      </c>
      <c r="J476" s="6" t="str">
        <f ca="1">IFERROR(__xludf.DUMMYFUNCTION("""COMPUTED_VALUE"""),"")</f>
        <v/>
      </c>
    </row>
    <row r="477" spans="1:10" x14ac:dyDescent="0.2">
      <c r="A477" s="6" t="str">
        <f ca="1">IFERROR(__xludf.DUMMYFUNCTION("""COMPUTED_VALUE"""),"")</f>
        <v/>
      </c>
      <c r="B477" s="6" t="str">
        <f ca="1">IFERROR(__xludf.DUMMYFUNCTION("""COMPUTED_VALUE"""),"")</f>
        <v/>
      </c>
      <c r="C477" s="6" t="str">
        <f ca="1">IFERROR(__xludf.DUMMYFUNCTION("""COMPUTED_VALUE"""),"")</f>
        <v/>
      </c>
      <c r="D477" s="6" t="str">
        <f ca="1">IFERROR(__xludf.DUMMYFUNCTION("""COMPUTED_VALUE"""),"")</f>
        <v/>
      </c>
      <c r="E477" s="6" t="str">
        <f ca="1">IFERROR(__xludf.DUMMYFUNCTION("""COMPUTED_VALUE"""),"")</f>
        <v/>
      </c>
      <c r="F477" s="6" t="str">
        <f ca="1">IFERROR(__xludf.DUMMYFUNCTION("""COMPUTED_VALUE"""),"")</f>
        <v/>
      </c>
      <c r="G477" s="6" t="str">
        <f ca="1">IFERROR(__xludf.DUMMYFUNCTION("""COMPUTED_VALUE"""),"")</f>
        <v/>
      </c>
      <c r="H477" s="6" t="str">
        <f ca="1">IFERROR(__xludf.DUMMYFUNCTION("""COMPUTED_VALUE"""),"")</f>
        <v/>
      </c>
      <c r="I477" s="6" t="str">
        <f ca="1">IFERROR(__xludf.DUMMYFUNCTION("""COMPUTED_VALUE"""),"")</f>
        <v/>
      </c>
      <c r="J477" s="6" t="str">
        <f ca="1">IFERROR(__xludf.DUMMYFUNCTION("""COMPUTED_VALUE"""),"")</f>
        <v/>
      </c>
    </row>
    <row r="478" spans="1:10" x14ac:dyDescent="0.2">
      <c r="A478" s="6" t="str">
        <f ca="1">IFERROR(__xludf.DUMMYFUNCTION("""COMPUTED_VALUE"""),"")</f>
        <v/>
      </c>
      <c r="B478" s="6" t="str">
        <f ca="1">IFERROR(__xludf.DUMMYFUNCTION("""COMPUTED_VALUE"""),"")</f>
        <v/>
      </c>
      <c r="C478" s="6" t="str">
        <f ca="1">IFERROR(__xludf.DUMMYFUNCTION("""COMPUTED_VALUE"""),"")</f>
        <v/>
      </c>
      <c r="D478" s="6" t="str">
        <f ca="1">IFERROR(__xludf.DUMMYFUNCTION("""COMPUTED_VALUE"""),"")</f>
        <v/>
      </c>
      <c r="E478" s="6" t="str">
        <f ca="1">IFERROR(__xludf.DUMMYFUNCTION("""COMPUTED_VALUE"""),"")</f>
        <v/>
      </c>
      <c r="F478" s="6" t="str">
        <f ca="1">IFERROR(__xludf.DUMMYFUNCTION("""COMPUTED_VALUE"""),"")</f>
        <v/>
      </c>
      <c r="G478" s="6" t="str">
        <f ca="1">IFERROR(__xludf.DUMMYFUNCTION("""COMPUTED_VALUE"""),"")</f>
        <v/>
      </c>
      <c r="H478" s="6" t="str">
        <f ca="1">IFERROR(__xludf.DUMMYFUNCTION("""COMPUTED_VALUE"""),"")</f>
        <v/>
      </c>
      <c r="I478" s="6" t="str">
        <f ca="1">IFERROR(__xludf.DUMMYFUNCTION("""COMPUTED_VALUE"""),"")</f>
        <v/>
      </c>
      <c r="J478" s="6" t="str">
        <f ca="1">IFERROR(__xludf.DUMMYFUNCTION("""COMPUTED_VALUE"""),"")</f>
        <v/>
      </c>
    </row>
    <row r="479" spans="1:10" x14ac:dyDescent="0.2">
      <c r="A479" s="6" t="str">
        <f ca="1">IFERROR(__xludf.DUMMYFUNCTION("""COMPUTED_VALUE"""),"")</f>
        <v/>
      </c>
      <c r="B479" s="6" t="str">
        <f ca="1">IFERROR(__xludf.DUMMYFUNCTION("""COMPUTED_VALUE"""),"")</f>
        <v/>
      </c>
      <c r="C479" s="6" t="str">
        <f ca="1">IFERROR(__xludf.DUMMYFUNCTION("""COMPUTED_VALUE"""),"")</f>
        <v/>
      </c>
      <c r="D479" s="6" t="str">
        <f ca="1">IFERROR(__xludf.DUMMYFUNCTION("""COMPUTED_VALUE"""),"")</f>
        <v/>
      </c>
      <c r="E479" s="6" t="str">
        <f ca="1">IFERROR(__xludf.DUMMYFUNCTION("""COMPUTED_VALUE"""),"")</f>
        <v/>
      </c>
      <c r="F479" s="6" t="str">
        <f ca="1">IFERROR(__xludf.DUMMYFUNCTION("""COMPUTED_VALUE"""),"")</f>
        <v/>
      </c>
      <c r="G479" s="6" t="str">
        <f ca="1">IFERROR(__xludf.DUMMYFUNCTION("""COMPUTED_VALUE"""),"")</f>
        <v/>
      </c>
      <c r="H479" s="6" t="str">
        <f ca="1">IFERROR(__xludf.DUMMYFUNCTION("""COMPUTED_VALUE"""),"")</f>
        <v/>
      </c>
      <c r="I479" s="6" t="str">
        <f ca="1">IFERROR(__xludf.DUMMYFUNCTION("""COMPUTED_VALUE"""),"")</f>
        <v/>
      </c>
      <c r="J479" s="6" t="str">
        <f ca="1">IFERROR(__xludf.DUMMYFUNCTION("""COMPUTED_VALUE"""),"")</f>
        <v/>
      </c>
    </row>
    <row r="480" spans="1:10" x14ac:dyDescent="0.2">
      <c r="A480" s="6" t="str">
        <f ca="1">IFERROR(__xludf.DUMMYFUNCTION("""COMPUTED_VALUE"""),"")</f>
        <v/>
      </c>
      <c r="B480" s="6" t="str">
        <f ca="1">IFERROR(__xludf.DUMMYFUNCTION("""COMPUTED_VALUE"""),"")</f>
        <v/>
      </c>
      <c r="C480" s="6" t="str">
        <f ca="1">IFERROR(__xludf.DUMMYFUNCTION("""COMPUTED_VALUE"""),"")</f>
        <v/>
      </c>
      <c r="D480" s="6" t="str">
        <f ca="1">IFERROR(__xludf.DUMMYFUNCTION("""COMPUTED_VALUE"""),"")</f>
        <v/>
      </c>
      <c r="E480" s="6" t="str">
        <f ca="1">IFERROR(__xludf.DUMMYFUNCTION("""COMPUTED_VALUE"""),"")</f>
        <v/>
      </c>
      <c r="F480" s="6" t="str">
        <f ca="1">IFERROR(__xludf.DUMMYFUNCTION("""COMPUTED_VALUE"""),"")</f>
        <v/>
      </c>
      <c r="G480" s="6" t="str">
        <f ca="1">IFERROR(__xludf.DUMMYFUNCTION("""COMPUTED_VALUE"""),"")</f>
        <v/>
      </c>
      <c r="H480" s="6" t="str">
        <f ca="1">IFERROR(__xludf.DUMMYFUNCTION("""COMPUTED_VALUE"""),"")</f>
        <v/>
      </c>
      <c r="I480" s="6" t="str">
        <f ca="1">IFERROR(__xludf.DUMMYFUNCTION("""COMPUTED_VALUE"""),"")</f>
        <v/>
      </c>
      <c r="J480" s="6" t="str">
        <f ca="1">IFERROR(__xludf.DUMMYFUNCTION("""COMPUTED_VALUE"""),"")</f>
        <v/>
      </c>
    </row>
    <row r="481" spans="1:10" x14ac:dyDescent="0.2">
      <c r="A481" s="6" t="str">
        <f ca="1">IFERROR(__xludf.DUMMYFUNCTION("""COMPUTED_VALUE"""),"")</f>
        <v/>
      </c>
      <c r="B481" s="6" t="str">
        <f ca="1">IFERROR(__xludf.DUMMYFUNCTION("""COMPUTED_VALUE"""),"")</f>
        <v/>
      </c>
      <c r="C481" s="6" t="str">
        <f ca="1">IFERROR(__xludf.DUMMYFUNCTION("""COMPUTED_VALUE"""),"")</f>
        <v/>
      </c>
      <c r="D481" s="6" t="str">
        <f ca="1">IFERROR(__xludf.DUMMYFUNCTION("""COMPUTED_VALUE"""),"")</f>
        <v/>
      </c>
      <c r="E481" s="6" t="str">
        <f ca="1">IFERROR(__xludf.DUMMYFUNCTION("""COMPUTED_VALUE"""),"")</f>
        <v/>
      </c>
      <c r="F481" s="6" t="str">
        <f ca="1">IFERROR(__xludf.DUMMYFUNCTION("""COMPUTED_VALUE"""),"")</f>
        <v/>
      </c>
      <c r="G481" s="6" t="str">
        <f ca="1">IFERROR(__xludf.DUMMYFUNCTION("""COMPUTED_VALUE"""),"")</f>
        <v/>
      </c>
      <c r="H481" s="6" t="str">
        <f ca="1">IFERROR(__xludf.DUMMYFUNCTION("""COMPUTED_VALUE"""),"")</f>
        <v/>
      </c>
      <c r="I481" s="6" t="str">
        <f ca="1">IFERROR(__xludf.DUMMYFUNCTION("""COMPUTED_VALUE"""),"")</f>
        <v/>
      </c>
      <c r="J481" s="6" t="str">
        <f ca="1">IFERROR(__xludf.DUMMYFUNCTION("""COMPUTED_VALUE"""),"")</f>
        <v/>
      </c>
    </row>
    <row r="482" spans="1:10" x14ac:dyDescent="0.2">
      <c r="A482" s="6" t="str">
        <f ca="1">IFERROR(__xludf.DUMMYFUNCTION("""COMPUTED_VALUE"""),"")</f>
        <v/>
      </c>
      <c r="B482" s="6" t="str">
        <f ca="1">IFERROR(__xludf.DUMMYFUNCTION("""COMPUTED_VALUE"""),"")</f>
        <v/>
      </c>
      <c r="C482" s="6" t="str">
        <f ca="1">IFERROR(__xludf.DUMMYFUNCTION("""COMPUTED_VALUE"""),"")</f>
        <v/>
      </c>
      <c r="D482" s="6" t="str">
        <f ca="1">IFERROR(__xludf.DUMMYFUNCTION("""COMPUTED_VALUE"""),"")</f>
        <v/>
      </c>
      <c r="E482" s="6" t="str">
        <f ca="1">IFERROR(__xludf.DUMMYFUNCTION("""COMPUTED_VALUE"""),"")</f>
        <v/>
      </c>
      <c r="F482" s="6" t="str">
        <f ca="1">IFERROR(__xludf.DUMMYFUNCTION("""COMPUTED_VALUE"""),"")</f>
        <v/>
      </c>
      <c r="G482" s="6" t="str">
        <f ca="1">IFERROR(__xludf.DUMMYFUNCTION("""COMPUTED_VALUE"""),"")</f>
        <v/>
      </c>
      <c r="H482" s="6" t="str">
        <f ca="1">IFERROR(__xludf.DUMMYFUNCTION("""COMPUTED_VALUE"""),"")</f>
        <v/>
      </c>
      <c r="I482" s="6" t="str">
        <f ca="1">IFERROR(__xludf.DUMMYFUNCTION("""COMPUTED_VALUE"""),"")</f>
        <v/>
      </c>
      <c r="J482" s="6" t="str">
        <f ca="1">IFERROR(__xludf.DUMMYFUNCTION("""COMPUTED_VALUE"""),"")</f>
        <v/>
      </c>
    </row>
    <row r="483" spans="1:10" x14ac:dyDescent="0.2">
      <c r="A483" s="6" t="str">
        <f ca="1">IFERROR(__xludf.DUMMYFUNCTION("""COMPUTED_VALUE"""),"")</f>
        <v/>
      </c>
      <c r="B483" s="6" t="str">
        <f ca="1">IFERROR(__xludf.DUMMYFUNCTION("""COMPUTED_VALUE"""),"")</f>
        <v/>
      </c>
      <c r="C483" s="6" t="str">
        <f ca="1">IFERROR(__xludf.DUMMYFUNCTION("""COMPUTED_VALUE"""),"")</f>
        <v/>
      </c>
      <c r="D483" s="6" t="str">
        <f ca="1">IFERROR(__xludf.DUMMYFUNCTION("""COMPUTED_VALUE"""),"")</f>
        <v/>
      </c>
      <c r="E483" s="6" t="str">
        <f ca="1">IFERROR(__xludf.DUMMYFUNCTION("""COMPUTED_VALUE"""),"")</f>
        <v/>
      </c>
      <c r="F483" s="6" t="str">
        <f ca="1">IFERROR(__xludf.DUMMYFUNCTION("""COMPUTED_VALUE"""),"")</f>
        <v/>
      </c>
      <c r="G483" s="6" t="str">
        <f ca="1">IFERROR(__xludf.DUMMYFUNCTION("""COMPUTED_VALUE"""),"")</f>
        <v/>
      </c>
      <c r="H483" s="6" t="str">
        <f ca="1">IFERROR(__xludf.DUMMYFUNCTION("""COMPUTED_VALUE"""),"")</f>
        <v/>
      </c>
      <c r="I483" s="6" t="str">
        <f ca="1">IFERROR(__xludf.DUMMYFUNCTION("""COMPUTED_VALUE"""),"")</f>
        <v/>
      </c>
      <c r="J483" s="6" t="str">
        <f ca="1">IFERROR(__xludf.DUMMYFUNCTION("""COMPUTED_VALUE"""),"")</f>
        <v/>
      </c>
    </row>
    <row r="484" spans="1:10" x14ac:dyDescent="0.2">
      <c r="A484" s="6" t="str">
        <f ca="1">IFERROR(__xludf.DUMMYFUNCTION("""COMPUTED_VALUE"""),"")</f>
        <v/>
      </c>
      <c r="B484" s="6" t="str">
        <f ca="1">IFERROR(__xludf.DUMMYFUNCTION("""COMPUTED_VALUE"""),"")</f>
        <v/>
      </c>
      <c r="C484" s="6" t="str">
        <f ca="1">IFERROR(__xludf.DUMMYFUNCTION("""COMPUTED_VALUE"""),"")</f>
        <v/>
      </c>
      <c r="D484" s="6" t="str">
        <f ca="1">IFERROR(__xludf.DUMMYFUNCTION("""COMPUTED_VALUE"""),"")</f>
        <v/>
      </c>
      <c r="E484" s="6" t="str">
        <f ca="1">IFERROR(__xludf.DUMMYFUNCTION("""COMPUTED_VALUE"""),"")</f>
        <v/>
      </c>
      <c r="F484" s="6" t="str">
        <f ca="1">IFERROR(__xludf.DUMMYFUNCTION("""COMPUTED_VALUE"""),"")</f>
        <v/>
      </c>
      <c r="G484" s="6" t="str">
        <f ca="1">IFERROR(__xludf.DUMMYFUNCTION("""COMPUTED_VALUE"""),"")</f>
        <v/>
      </c>
      <c r="H484" s="6" t="str">
        <f ca="1">IFERROR(__xludf.DUMMYFUNCTION("""COMPUTED_VALUE"""),"")</f>
        <v/>
      </c>
      <c r="I484" s="6" t="str">
        <f ca="1">IFERROR(__xludf.DUMMYFUNCTION("""COMPUTED_VALUE"""),"")</f>
        <v/>
      </c>
      <c r="J484" s="6" t="str">
        <f ca="1">IFERROR(__xludf.DUMMYFUNCTION("""COMPUTED_VALUE"""),"")</f>
        <v/>
      </c>
    </row>
    <row r="485" spans="1:10" x14ac:dyDescent="0.2">
      <c r="A485" s="6" t="str">
        <f ca="1">IFERROR(__xludf.DUMMYFUNCTION("""COMPUTED_VALUE"""),"")</f>
        <v/>
      </c>
      <c r="B485" s="6" t="str">
        <f ca="1">IFERROR(__xludf.DUMMYFUNCTION("""COMPUTED_VALUE"""),"")</f>
        <v/>
      </c>
      <c r="C485" s="6" t="str">
        <f ca="1">IFERROR(__xludf.DUMMYFUNCTION("""COMPUTED_VALUE"""),"")</f>
        <v/>
      </c>
      <c r="D485" s="6" t="str">
        <f ca="1">IFERROR(__xludf.DUMMYFUNCTION("""COMPUTED_VALUE"""),"")</f>
        <v/>
      </c>
      <c r="E485" s="6" t="str">
        <f ca="1">IFERROR(__xludf.DUMMYFUNCTION("""COMPUTED_VALUE"""),"")</f>
        <v/>
      </c>
      <c r="F485" s="6" t="str">
        <f ca="1">IFERROR(__xludf.DUMMYFUNCTION("""COMPUTED_VALUE"""),"")</f>
        <v/>
      </c>
      <c r="G485" s="6" t="str">
        <f ca="1">IFERROR(__xludf.DUMMYFUNCTION("""COMPUTED_VALUE"""),"")</f>
        <v/>
      </c>
      <c r="H485" s="6" t="str">
        <f ca="1">IFERROR(__xludf.DUMMYFUNCTION("""COMPUTED_VALUE"""),"")</f>
        <v/>
      </c>
      <c r="I485" s="6" t="str">
        <f ca="1">IFERROR(__xludf.DUMMYFUNCTION("""COMPUTED_VALUE"""),"")</f>
        <v/>
      </c>
      <c r="J485" s="6" t="str">
        <f ca="1">IFERROR(__xludf.DUMMYFUNCTION("""COMPUTED_VALUE"""),"")</f>
        <v/>
      </c>
    </row>
    <row r="486" spans="1:10" x14ac:dyDescent="0.2">
      <c r="A486" s="6" t="str">
        <f ca="1">IFERROR(__xludf.DUMMYFUNCTION("""COMPUTED_VALUE"""),"")</f>
        <v/>
      </c>
      <c r="B486" s="6" t="str">
        <f ca="1">IFERROR(__xludf.DUMMYFUNCTION("""COMPUTED_VALUE"""),"")</f>
        <v/>
      </c>
      <c r="C486" s="6" t="str">
        <f ca="1">IFERROR(__xludf.DUMMYFUNCTION("""COMPUTED_VALUE"""),"")</f>
        <v/>
      </c>
      <c r="D486" s="6" t="str">
        <f ca="1">IFERROR(__xludf.DUMMYFUNCTION("""COMPUTED_VALUE"""),"")</f>
        <v/>
      </c>
      <c r="E486" s="6" t="str">
        <f ca="1">IFERROR(__xludf.DUMMYFUNCTION("""COMPUTED_VALUE"""),"")</f>
        <v/>
      </c>
      <c r="F486" s="6" t="str">
        <f ca="1">IFERROR(__xludf.DUMMYFUNCTION("""COMPUTED_VALUE"""),"")</f>
        <v/>
      </c>
      <c r="G486" s="6" t="str">
        <f ca="1">IFERROR(__xludf.DUMMYFUNCTION("""COMPUTED_VALUE"""),"")</f>
        <v/>
      </c>
      <c r="H486" s="6" t="str">
        <f ca="1">IFERROR(__xludf.DUMMYFUNCTION("""COMPUTED_VALUE"""),"")</f>
        <v/>
      </c>
      <c r="I486" s="6" t="str">
        <f ca="1">IFERROR(__xludf.DUMMYFUNCTION("""COMPUTED_VALUE"""),"")</f>
        <v/>
      </c>
      <c r="J486" s="6" t="str">
        <f ca="1">IFERROR(__xludf.DUMMYFUNCTION("""COMPUTED_VALUE"""),"")</f>
        <v/>
      </c>
    </row>
    <row r="487" spans="1:10" x14ac:dyDescent="0.2">
      <c r="A487" s="6" t="str">
        <f ca="1">IFERROR(__xludf.DUMMYFUNCTION("""COMPUTED_VALUE"""),"")</f>
        <v/>
      </c>
      <c r="B487" s="6" t="str">
        <f ca="1">IFERROR(__xludf.DUMMYFUNCTION("""COMPUTED_VALUE"""),"")</f>
        <v/>
      </c>
      <c r="C487" s="6" t="str">
        <f ca="1">IFERROR(__xludf.DUMMYFUNCTION("""COMPUTED_VALUE"""),"")</f>
        <v/>
      </c>
      <c r="D487" s="6" t="str">
        <f ca="1">IFERROR(__xludf.DUMMYFUNCTION("""COMPUTED_VALUE"""),"")</f>
        <v/>
      </c>
      <c r="E487" s="6" t="str">
        <f ca="1">IFERROR(__xludf.DUMMYFUNCTION("""COMPUTED_VALUE"""),"")</f>
        <v/>
      </c>
      <c r="F487" s="6" t="str">
        <f ca="1">IFERROR(__xludf.DUMMYFUNCTION("""COMPUTED_VALUE"""),"")</f>
        <v/>
      </c>
      <c r="G487" s="6" t="str">
        <f ca="1">IFERROR(__xludf.DUMMYFUNCTION("""COMPUTED_VALUE"""),"")</f>
        <v/>
      </c>
      <c r="H487" s="6" t="str">
        <f ca="1">IFERROR(__xludf.DUMMYFUNCTION("""COMPUTED_VALUE"""),"")</f>
        <v/>
      </c>
      <c r="I487" s="6" t="str">
        <f ca="1">IFERROR(__xludf.DUMMYFUNCTION("""COMPUTED_VALUE"""),"")</f>
        <v/>
      </c>
      <c r="J487" s="6" t="str">
        <f ca="1">IFERROR(__xludf.DUMMYFUNCTION("""COMPUTED_VALUE"""),"")</f>
        <v/>
      </c>
    </row>
    <row r="488" spans="1:10" x14ac:dyDescent="0.2">
      <c r="A488" s="6" t="str">
        <f ca="1">IFERROR(__xludf.DUMMYFUNCTION("""COMPUTED_VALUE"""),"")</f>
        <v/>
      </c>
      <c r="B488" s="6" t="str">
        <f ca="1">IFERROR(__xludf.DUMMYFUNCTION("""COMPUTED_VALUE"""),"")</f>
        <v/>
      </c>
      <c r="C488" s="6" t="str">
        <f ca="1">IFERROR(__xludf.DUMMYFUNCTION("""COMPUTED_VALUE"""),"")</f>
        <v/>
      </c>
      <c r="D488" s="6" t="str">
        <f ca="1">IFERROR(__xludf.DUMMYFUNCTION("""COMPUTED_VALUE"""),"")</f>
        <v/>
      </c>
      <c r="E488" s="6" t="str">
        <f ca="1">IFERROR(__xludf.DUMMYFUNCTION("""COMPUTED_VALUE"""),"")</f>
        <v/>
      </c>
      <c r="F488" s="6" t="str">
        <f ca="1">IFERROR(__xludf.DUMMYFUNCTION("""COMPUTED_VALUE"""),"")</f>
        <v/>
      </c>
      <c r="G488" s="6" t="str">
        <f ca="1">IFERROR(__xludf.DUMMYFUNCTION("""COMPUTED_VALUE"""),"")</f>
        <v/>
      </c>
      <c r="H488" s="6" t="str">
        <f ca="1">IFERROR(__xludf.DUMMYFUNCTION("""COMPUTED_VALUE"""),"")</f>
        <v/>
      </c>
      <c r="I488" s="6" t="str">
        <f ca="1">IFERROR(__xludf.DUMMYFUNCTION("""COMPUTED_VALUE"""),"")</f>
        <v/>
      </c>
      <c r="J488" s="6" t="str">
        <f ca="1">IFERROR(__xludf.DUMMYFUNCTION("""COMPUTED_VALUE"""),"")</f>
        <v/>
      </c>
    </row>
    <row r="489" spans="1:10" x14ac:dyDescent="0.2">
      <c r="A489" s="6" t="str">
        <f ca="1">IFERROR(__xludf.DUMMYFUNCTION("""COMPUTED_VALUE"""),"")</f>
        <v/>
      </c>
      <c r="B489" s="6" t="str">
        <f ca="1">IFERROR(__xludf.DUMMYFUNCTION("""COMPUTED_VALUE"""),"")</f>
        <v/>
      </c>
      <c r="C489" s="6" t="str">
        <f ca="1">IFERROR(__xludf.DUMMYFUNCTION("""COMPUTED_VALUE"""),"")</f>
        <v/>
      </c>
      <c r="D489" s="6" t="str">
        <f ca="1">IFERROR(__xludf.DUMMYFUNCTION("""COMPUTED_VALUE"""),"")</f>
        <v/>
      </c>
      <c r="E489" s="6" t="str">
        <f ca="1">IFERROR(__xludf.DUMMYFUNCTION("""COMPUTED_VALUE"""),"")</f>
        <v/>
      </c>
      <c r="F489" s="6" t="str">
        <f ca="1">IFERROR(__xludf.DUMMYFUNCTION("""COMPUTED_VALUE"""),"")</f>
        <v/>
      </c>
      <c r="G489" s="6" t="str">
        <f ca="1">IFERROR(__xludf.DUMMYFUNCTION("""COMPUTED_VALUE"""),"")</f>
        <v/>
      </c>
      <c r="H489" s="6" t="str">
        <f ca="1">IFERROR(__xludf.DUMMYFUNCTION("""COMPUTED_VALUE"""),"")</f>
        <v/>
      </c>
      <c r="I489" s="6" t="str">
        <f ca="1">IFERROR(__xludf.DUMMYFUNCTION("""COMPUTED_VALUE"""),"")</f>
        <v/>
      </c>
      <c r="J489" s="6" t="str">
        <f ca="1">IFERROR(__xludf.DUMMYFUNCTION("""COMPUTED_VALUE"""),"")</f>
        <v/>
      </c>
    </row>
    <row r="490" spans="1:10" x14ac:dyDescent="0.2">
      <c r="A490" s="6" t="str">
        <f ca="1">IFERROR(__xludf.DUMMYFUNCTION("""COMPUTED_VALUE"""),"")</f>
        <v/>
      </c>
      <c r="B490" s="6" t="str">
        <f ca="1">IFERROR(__xludf.DUMMYFUNCTION("""COMPUTED_VALUE"""),"")</f>
        <v/>
      </c>
      <c r="C490" s="6" t="str">
        <f ca="1">IFERROR(__xludf.DUMMYFUNCTION("""COMPUTED_VALUE"""),"")</f>
        <v/>
      </c>
      <c r="D490" s="6" t="str">
        <f ca="1">IFERROR(__xludf.DUMMYFUNCTION("""COMPUTED_VALUE"""),"")</f>
        <v/>
      </c>
      <c r="E490" s="6" t="str">
        <f ca="1">IFERROR(__xludf.DUMMYFUNCTION("""COMPUTED_VALUE"""),"")</f>
        <v/>
      </c>
      <c r="F490" s="6" t="str">
        <f ca="1">IFERROR(__xludf.DUMMYFUNCTION("""COMPUTED_VALUE"""),"")</f>
        <v/>
      </c>
      <c r="G490" s="6" t="str">
        <f ca="1">IFERROR(__xludf.DUMMYFUNCTION("""COMPUTED_VALUE"""),"")</f>
        <v/>
      </c>
      <c r="H490" s="6" t="str">
        <f ca="1">IFERROR(__xludf.DUMMYFUNCTION("""COMPUTED_VALUE"""),"")</f>
        <v/>
      </c>
      <c r="I490" s="6" t="str">
        <f ca="1">IFERROR(__xludf.DUMMYFUNCTION("""COMPUTED_VALUE"""),"")</f>
        <v/>
      </c>
      <c r="J490" s="6" t="str">
        <f ca="1">IFERROR(__xludf.DUMMYFUNCTION("""COMPUTED_VALUE"""),"")</f>
        <v/>
      </c>
    </row>
    <row r="491" spans="1:10" x14ac:dyDescent="0.2">
      <c r="A491" s="6" t="str">
        <f ca="1">IFERROR(__xludf.DUMMYFUNCTION("""COMPUTED_VALUE"""),"")</f>
        <v/>
      </c>
      <c r="B491" s="6" t="str">
        <f ca="1">IFERROR(__xludf.DUMMYFUNCTION("""COMPUTED_VALUE"""),"")</f>
        <v/>
      </c>
      <c r="C491" s="6" t="str">
        <f ca="1">IFERROR(__xludf.DUMMYFUNCTION("""COMPUTED_VALUE"""),"")</f>
        <v/>
      </c>
      <c r="D491" s="6" t="str">
        <f ca="1">IFERROR(__xludf.DUMMYFUNCTION("""COMPUTED_VALUE"""),"")</f>
        <v/>
      </c>
      <c r="E491" s="6" t="str">
        <f ca="1">IFERROR(__xludf.DUMMYFUNCTION("""COMPUTED_VALUE"""),"")</f>
        <v/>
      </c>
      <c r="F491" s="6" t="str">
        <f ca="1">IFERROR(__xludf.DUMMYFUNCTION("""COMPUTED_VALUE"""),"")</f>
        <v/>
      </c>
      <c r="G491" s="6" t="str">
        <f ca="1">IFERROR(__xludf.DUMMYFUNCTION("""COMPUTED_VALUE"""),"")</f>
        <v/>
      </c>
      <c r="H491" s="6" t="str">
        <f ca="1">IFERROR(__xludf.DUMMYFUNCTION("""COMPUTED_VALUE"""),"")</f>
        <v/>
      </c>
      <c r="I491" s="6" t="str">
        <f ca="1">IFERROR(__xludf.DUMMYFUNCTION("""COMPUTED_VALUE"""),"")</f>
        <v/>
      </c>
      <c r="J491" s="6" t="str">
        <f ca="1">IFERROR(__xludf.DUMMYFUNCTION("""COMPUTED_VALUE"""),"")</f>
        <v/>
      </c>
    </row>
    <row r="492" spans="1:10" x14ac:dyDescent="0.2">
      <c r="A492" s="6" t="str">
        <f ca="1">IFERROR(__xludf.DUMMYFUNCTION("""COMPUTED_VALUE"""),"")</f>
        <v/>
      </c>
      <c r="B492" s="6" t="str">
        <f ca="1">IFERROR(__xludf.DUMMYFUNCTION("""COMPUTED_VALUE"""),"")</f>
        <v/>
      </c>
      <c r="C492" s="6" t="str">
        <f ca="1">IFERROR(__xludf.DUMMYFUNCTION("""COMPUTED_VALUE"""),"")</f>
        <v/>
      </c>
      <c r="D492" s="6" t="str">
        <f ca="1">IFERROR(__xludf.DUMMYFUNCTION("""COMPUTED_VALUE"""),"")</f>
        <v/>
      </c>
      <c r="E492" s="6" t="str">
        <f ca="1">IFERROR(__xludf.DUMMYFUNCTION("""COMPUTED_VALUE"""),"")</f>
        <v/>
      </c>
      <c r="F492" s="6" t="str">
        <f ca="1">IFERROR(__xludf.DUMMYFUNCTION("""COMPUTED_VALUE"""),"")</f>
        <v/>
      </c>
      <c r="G492" s="6" t="str">
        <f ca="1">IFERROR(__xludf.DUMMYFUNCTION("""COMPUTED_VALUE"""),"")</f>
        <v/>
      </c>
      <c r="H492" s="6" t="str">
        <f ca="1">IFERROR(__xludf.DUMMYFUNCTION("""COMPUTED_VALUE"""),"")</f>
        <v/>
      </c>
      <c r="I492" s="6" t="str">
        <f ca="1">IFERROR(__xludf.DUMMYFUNCTION("""COMPUTED_VALUE"""),"")</f>
        <v/>
      </c>
      <c r="J492" s="6" t="str">
        <f ca="1">IFERROR(__xludf.DUMMYFUNCTION("""COMPUTED_VALUE"""),"")</f>
        <v/>
      </c>
    </row>
    <row r="493" spans="1:10" x14ac:dyDescent="0.2">
      <c r="A493" s="6" t="str">
        <f ca="1">IFERROR(__xludf.DUMMYFUNCTION("""COMPUTED_VALUE"""),"")</f>
        <v/>
      </c>
      <c r="B493" s="6" t="str">
        <f ca="1">IFERROR(__xludf.DUMMYFUNCTION("""COMPUTED_VALUE"""),"")</f>
        <v/>
      </c>
      <c r="C493" s="6" t="str">
        <f ca="1">IFERROR(__xludf.DUMMYFUNCTION("""COMPUTED_VALUE"""),"")</f>
        <v/>
      </c>
      <c r="D493" s="6" t="str">
        <f ca="1">IFERROR(__xludf.DUMMYFUNCTION("""COMPUTED_VALUE"""),"")</f>
        <v/>
      </c>
      <c r="E493" s="6" t="str">
        <f ca="1">IFERROR(__xludf.DUMMYFUNCTION("""COMPUTED_VALUE"""),"")</f>
        <v/>
      </c>
      <c r="F493" s="6" t="str">
        <f ca="1">IFERROR(__xludf.DUMMYFUNCTION("""COMPUTED_VALUE"""),"")</f>
        <v/>
      </c>
      <c r="G493" s="6" t="str">
        <f ca="1">IFERROR(__xludf.DUMMYFUNCTION("""COMPUTED_VALUE"""),"")</f>
        <v/>
      </c>
      <c r="H493" s="6" t="str">
        <f ca="1">IFERROR(__xludf.DUMMYFUNCTION("""COMPUTED_VALUE"""),"")</f>
        <v/>
      </c>
      <c r="I493" s="6" t="str">
        <f ca="1">IFERROR(__xludf.DUMMYFUNCTION("""COMPUTED_VALUE"""),"")</f>
        <v/>
      </c>
      <c r="J493" s="6" t="str">
        <f ca="1">IFERROR(__xludf.DUMMYFUNCTION("""COMPUTED_VALUE"""),"")</f>
        <v/>
      </c>
    </row>
    <row r="494" spans="1:10" x14ac:dyDescent="0.2">
      <c r="A494" s="6" t="str">
        <f ca="1">IFERROR(__xludf.DUMMYFUNCTION("""COMPUTED_VALUE"""),"")</f>
        <v/>
      </c>
      <c r="B494" s="6" t="str">
        <f ca="1">IFERROR(__xludf.DUMMYFUNCTION("""COMPUTED_VALUE"""),"")</f>
        <v/>
      </c>
      <c r="C494" s="6" t="str">
        <f ca="1">IFERROR(__xludf.DUMMYFUNCTION("""COMPUTED_VALUE"""),"")</f>
        <v/>
      </c>
      <c r="D494" s="6" t="str">
        <f ca="1">IFERROR(__xludf.DUMMYFUNCTION("""COMPUTED_VALUE"""),"")</f>
        <v/>
      </c>
      <c r="E494" s="6" t="str">
        <f ca="1">IFERROR(__xludf.DUMMYFUNCTION("""COMPUTED_VALUE"""),"")</f>
        <v/>
      </c>
      <c r="F494" s="6" t="str">
        <f ca="1">IFERROR(__xludf.DUMMYFUNCTION("""COMPUTED_VALUE"""),"")</f>
        <v/>
      </c>
      <c r="G494" s="6" t="str">
        <f ca="1">IFERROR(__xludf.DUMMYFUNCTION("""COMPUTED_VALUE"""),"")</f>
        <v/>
      </c>
      <c r="H494" s="6" t="str">
        <f ca="1">IFERROR(__xludf.DUMMYFUNCTION("""COMPUTED_VALUE"""),"")</f>
        <v/>
      </c>
      <c r="I494" s="6" t="str">
        <f ca="1">IFERROR(__xludf.DUMMYFUNCTION("""COMPUTED_VALUE"""),"")</f>
        <v/>
      </c>
      <c r="J494" s="6" t="str">
        <f ca="1">IFERROR(__xludf.DUMMYFUNCTION("""COMPUTED_VALUE"""),"")</f>
        <v/>
      </c>
    </row>
    <row r="495" spans="1:10" x14ac:dyDescent="0.2">
      <c r="A495" s="6" t="str">
        <f ca="1">IFERROR(__xludf.DUMMYFUNCTION("""COMPUTED_VALUE"""),"")</f>
        <v/>
      </c>
      <c r="B495" s="6" t="str">
        <f ca="1">IFERROR(__xludf.DUMMYFUNCTION("""COMPUTED_VALUE"""),"")</f>
        <v/>
      </c>
      <c r="C495" s="6" t="str">
        <f ca="1">IFERROR(__xludf.DUMMYFUNCTION("""COMPUTED_VALUE"""),"")</f>
        <v/>
      </c>
      <c r="D495" s="6" t="str">
        <f ca="1">IFERROR(__xludf.DUMMYFUNCTION("""COMPUTED_VALUE"""),"")</f>
        <v/>
      </c>
      <c r="E495" s="6" t="str">
        <f ca="1">IFERROR(__xludf.DUMMYFUNCTION("""COMPUTED_VALUE"""),"")</f>
        <v/>
      </c>
      <c r="F495" s="6" t="str">
        <f ca="1">IFERROR(__xludf.DUMMYFUNCTION("""COMPUTED_VALUE"""),"")</f>
        <v/>
      </c>
      <c r="G495" s="6" t="str">
        <f ca="1">IFERROR(__xludf.DUMMYFUNCTION("""COMPUTED_VALUE"""),"")</f>
        <v/>
      </c>
      <c r="H495" s="6" t="str">
        <f ca="1">IFERROR(__xludf.DUMMYFUNCTION("""COMPUTED_VALUE"""),"")</f>
        <v/>
      </c>
      <c r="I495" s="6" t="str">
        <f ca="1">IFERROR(__xludf.DUMMYFUNCTION("""COMPUTED_VALUE"""),"")</f>
        <v/>
      </c>
      <c r="J495" s="6" t="str">
        <f ca="1">IFERROR(__xludf.DUMMYFUNCTION("""COMPUTED_VALUE"""),"")</f>
        <v/>
      </c>
    </row>
    <row r="496" spans="1:10" x14ac:dyDescent="0.2">
      <c r="A496" s="6" t="str">
        <f ca="1">IFERROR(__xludf.DUMMYFUNCTION("""COMPUTED_VALUE"""),"")</f>
        <v/>
      </c>
      <c r="B496" s="6" t="str">
        <f ca="1">IFERROR(__xludf.DUMMYFUNCTION("""COMPUTED_VALUE"""),"")</f>
        <v/>
      </c>
      <c r="C496" s="6" t="str">
        <f ca="1">IFERROR(__xludf.DUMMYFUNCTION("""COMPUTED_VALUE"""),"")</f>
        <v/>
      </c>
      <c r="D496" s="6" t="str">
        <f ca="1">IFERROR(__xludf.DUMMYFUNCTION("""COMPUTED_VALUE"""),"")</f>
        <v/>
      </c>
      <c r="E496" s="6" t="str">
        <f ca="1">IFERROR(__xludf.DUMMYFUNCTION("""COMPUTED_VALUE"""),"")</f>
        <v/>
      </c>
      <c r="F496" s="6" t="str">
        <f ca="1">IFERROR(__xludf.DUMMYFUNCTION("""COMPUTED_VALUE"""),"")</f>
        <v/>
      </c>
      <c r="G496" s="6" t="str">
        <f ca="1">IFERROR(__xludf.DUMMYFUNCTION("""COMPUTED_VALUE"""),"")</f>
        <v/>
      </c>
      <c r="H496" s="6" t="str">
        <f ca="1">IFERROR(__xludf.DUMMYFUNCTION("""COMPUTED_VALUE"""),"")</f>
        <v/>
      </c>
      <c r="I496" s="6" t="str">
        <f ca="1">IFERROR(__xludf.DUMMYFUNCTION("""COMPUTED_VALUE"""),"")</f>
        <v/>
      </c>
      <c r="J496" s="6" t="str">
        <f ca="1">IFERROR(__xludf.DUMMYFUNCTION("""COMPUTED_VALUE"""),"")</f>
        <v/>
      </c>
    </row>
    <row r="497" spans="1:10" x14ac:dyDescent="0.2">
      <c r="A497" s="6" t="str">
        <f ca="1">IFERROR(__xludf.DUMMYFUNCTION("""COMPUTED_VALUE"""),"")</f>
        <v/>
      </c>
      <c r="B497" s="6" t="str">
        <f ca="1">IFERROR(__xludf.DUMMYFUNCTION("""COMPUTED_VALUE"""),"")</f>
        <v/>
      </c>
      <c r="C497" s="6" t="str">
        <f ca="1">IFERROR(__xludf.DUMMYFUNCTION("""COMPUTED_VALUE"""),"")</f>
        <v/>
      </c>
      <c r="D497" s="6" t="str">
        <f ca="1">IFERROR(__xludf.DUMMYFUNCTION("""COMPUTED_VALUE"""),"")</f>
        <v/>
      </c>
      <c r="E497" s="6" t="str">
        <f ca="1">IFERROR(__xludf.DUMMYFUNCTION("""COMPUTED_VALUE"""),"")</f>
        <v/>
      </c>
      <c r="F497" s="6" t="str">
        <f ca="1">IFERROR(__xludf.DUMMYFUNCTION("""COMPUTED_VALUE"""),"")</f>
        <v/>
      </c>
      <c r="G497" s="6" t="str">
        <f ca="1">IFERROR(__xludf.DUMMYFUNCTION("""COMPUTED_VALUE"""),"")</f>
        <v/>
      </c>
      <c r="H497" s="6" t="str">
        <f ca="1">IFERROR(__xludf.DUMMYFUNCTION("""COMPUTED_VALUE"""),"")</f>
        <v/>
      </c>
      <c r="I497" s="6" t="str">
        <f ca="1">IFERROR(__xludf.DUMMYFUNCTION("""COMPUTED_VALUE"""),"")</f>
        <v/>
      </c>
      <c r="J497" s="6" t="str">
        <f ca="1">IFERROR(__xludf.DUMMYFUNCTION("""COMPUTED_VALUE"""),"")</f>
        <v/>
      </c>
    </row>
    <row r="498" spans="1:10" x14ac:dyDescent="0.2">
      <c r="A498" s="6" t="str">
        <f ca="1">IFERROR(__xludf.DUMMYFUNCTION("""COMPUTED_VALUE"""),"")</f>
        <v/>
      </c>
      <c r="B498" s="6" t="str">
        <f ca="1">IFERROR(__xludf.DUMMYFUNCTION("""COMPUTED_VALUE"""),"")</f>
        <v/>
      </c>
      <c r="C498" s="6" t="str">
        <f ca="1">IFERROR(__xludf.DUMMYFUNCTION("""COMPUTED_VALUE"""),"")</f>
        <v/>
      </c>
      <c r="D498" s="6" t="str">
        <f ca="1">IFERROR(__xludf.DUMMYFUNCTION("""COMPUTED_VALUE"""),"")</f>
        <v/>
      </c>
      <c r="E498" s="6" t="str">
        <f ca="1">IFERROR(__xludf.DUMMYFUNCTION("""COMPUTED_VALUE"""),"")</f>
        <v/>
      </c>
      <c r="F498" s="6" t="str">
        <f ca="1">IFERROR(__xludf.DUMMYFUNCTION("""COMPUTED_VALUE"""),"")</f>
        <v/>
      </c>
      <c r="G498" s="6" t="str">
        <f ca="1">IFERROR(__xludf.DUMMYFUNCTION("""COMPUTED_VALUE"""),"")</f>
        <v/>
      </c>
      <c r="H498" s="6" t="str">
        <f ca="1">IFERROR(__xludf.DUMMYFUNCTION("""COMPUTED_VALUE"""),"")</f>
        <v/>
      </c>
      <c r="I498" s="6" t="str">
        <f ca="1">IFERROR(__xludf.DUMMYFUNCTION("""COMPUTED_VALUE"""),"")</f>
        <v/>
      </c>
      <c r="J498" s="6" t="str">
        <f ca="1">IFERROR(__xludf.DUMMYFUNCTION("""COMPUTED_VALUE"""),"")</f>
        <v/>
      </c>
    </row>
    <row r="499" spans="1:10" x14ac:dyDescent="0.2">
      <c r="A499" s="6" t="str">
        <f ca="1">IFERROR(__xludf.DUMMYFUNCTION("""COMPUTED_VALUE"""),"")</f>
        <v/>
      </c>
      <c r="B499" s="6" t="str">
        <f ca="1">IFERROR(__xludf.DUMMYFUNCTION("""COMPUTED_VALUE"""),"")</f>
        <v/>
      </c>
      <c r="C499" s="6" t="str">
        <f ca="1">IFERROR(__xludf.DUMMYFUNCTION("""COMPUTED_VALUE"""),"")</f>
        <v/>
      </c>
      <c r="D499" s="6" t="str">
        <f ca="1">IFERROR(__xludf.DUMMYFUNCTION("""COMPUTED_VALUE"""),"")</f>
        <v/>
      </c>
      <c r="E499" s="6" t="str">
        <f ca="1">IFERROR(__xludf.DUMMYFUNCTION("""COMPUTED_VALUE"""),"")</f>
        <v/>
      </c>
      <c r="F499" s="6" t="str">
        <f ca="1">IFERROR(__xludf.DUMMYFUNCTION("""COMPUTED_VALUE"""),"")</f>
        <v/>
      </c>
      <c r="G499" s="6" t="str">
        <f ca="1">IFERROR(__xludf.DUMMYFUNCTION("""COMPUTED_VALUE"""),"")</f>
        <v/>
      </c>
      <c r="H499" s="6" t="str">
        <f ca="1">IFERROR(__xludf.DUMMYFUNCTION("""COMPUTED_VALUE"""),"")</f>
        <v/>
      </c>
      <c r="I499" s="6" t="str">
        <f ca="1">IFERROR(__xludf.DUMMYFUNCTION("""COMPUTED_VALUE"""),"")</f>
        <v/>
      </c>
      <c r="J499" s="6" t="str">
        <f ca="1">IFERROR(__xludf.DUMMYFUNCTION("""COMPUTED_VALUE"""),"")</f>
        <v/>
      </c>
    </row>
    <row r="500" spans="1:10" x14ac:dyDescent="0.2">
      <c r="A500" s="6" t="str">
        <f ca="1">IFERROR(__xludf.DUMMYFUNCTION("""COMPUTED_VALUE"""),"")</f>
        <v/>
      </c>
      <c r="B500" s="6" t="str">
        <f ca="1">IFERROR(__xludf.DUMMYFUNCTION("""COMPUTED_VALUE"""),"")</f>
        <v/>
      </c>
      <c r="C500" s="6" t="str">
        <f ca="1">IFERROR(__xludf.DUMMYFUNCTION("""COMPUTED_VALUE"""),"")</f>
        <v/>
      </c>
      <c r="D500" s="6" t="str">
        <f ca="1">IFERROR(__xludf.DUMMYFUNCTION("""COMPUTED_VALUE"""),"")</f>
        <v/>
      </c>
      <c r="E500" s="6" t="str">
        <f ca="1">IFERROR(__xludf.DUMMYFUNCTION("""COMPUTED_VALUE"""),"")</f>
        <v/>
      </c>
      <c r="F500" s="6" t="str">
        <f ca="1">IFERROR(__xludf.DUMMYFUNCTION("""COMPUTED_VALUE"""),"")</f>
        <v/>
      </c>
      <c r="G500" s="6" t="str">
        <f ca="1">IFERROR(__xludf.DUMMYFUNCTION("""COMPUTED_VALUE"""),"")</f>
        <v/>
      </c>
      <c r="H500" s="6" t="str">
        <f ca="1">IFERROR(__xludf.DUMMYFUNCTION("""COMPUTED_VALUE"""),"")</f>
        <v/>
      </c>
      <c r="I500" s="6" t="str">
        <f ca="1">IFERROR(__xludf.DUMMYFUNCTION("""COMPUTED_VALUE"""),"")</f>
        <v/>
      </c>
      <c r="J500" s="6" t="str">
        <f ca="1">IFERROR(__xludf.DUMMYFUNCTION("""COMPUTED_VALUE"""),"")</f>
        <v/>
      </c>
    </row>
    <row r="501" spans="1:10" x14ac:dyDescent="0.2">
      <c r="A501" s="6" t="str">
        <f ca="1">IFERROR(__xludf.DUMMYFUNCTION("""COMPUTED_VALUE"""),"")</f>
        <v/>
      </c>
      <c r="B501" s="6" t="str">
        <f ca="1">IFERROR(__xludf.DUMMYFUNCTION("""COMPUTED_VALUE"""),"")</f>
        <v/>
      </c>
      <c r="C501" s="6" t="str">
        <f ca="1">IFERROR(__xludf.DUMMYFUNCTION("""COMPUTED_VALUE"""),"")</f>
        <v/>
      </c>
      <c r="D501" s="6" t="str">
        <f ca="1">IFERROR(__xludf.DUMMYFUNCTION("""COMPUTED_VALUE"""),"")</f>
        <v/>
      </c>
      <c r="E501" s="6" t="str">
        <f ca="1">IFERROR(__xludf.DUMMYFUNCTION("""COMPUTED_VALUE"""),"")</f>
        <v/>
      </c>
      <c r="F501" s="6" t="str">
        <f ca="1">IFERROR(__xludf.DUMMYFUNCTION("""COMPUTED_VALUE"""),"")</f>
        <v/>
      </c>
      <c r="G501" s="6" t="str">
        <f ca="1">IFERROR(__xludf.DUMMYFUNCTION("""COMPUTED_VALUE"""),"")</f>
        <v/>
      </c>
      <c r="H501" s="6" t="str">
        <f ca="1">IFERROR(__xludf.DUMMYFUNCTION("""COMPUTED_VALUE"""),"")</f>
        <v/>
      </c>
      <c r="I501" s="6" t="str">
        <f ca="1">IFERROR(__xludf.DUMMYFUNCTION("""COMPUTED_VALUE"""),"")</f>
        <v/>
      </c>
      <c r="J501" s="6" t="str">
        <f ca="1">IFERROR(__xludf.DUMMYFUNCTION("""COMPUTED_VALUE"""),"")</f>
        <v/>
      </c>
    </row>
    <row r="502" spans="1:10" x14ac:dyDescent="0.2">
      <c r="A502" s="6" t="str">
        <f ca="1">IFERROR(__xludf.DUMMYFUNCTION("""COMPUTED_VALUE"""),"")</f>
        <v/>
      </c>
      <c r="B502" s="6" t="str">
        <f ca="1">IFERROR(__xludf.DUMMYFUNCTION("""COMPUTED_VALUE"""),"")</f>
        <v/>
      </c>
      <c r="C502" s="6" t="str">
        <f ca="1">IFERROR(__xludf.DUMMYFUNCTION("""COMPUTED_VALUE"""),"")</f>
        <v/>
      </c>
      <c r="D502" s="6" t="str">
        <f ca="1">IFERROR(__xludf.DUMMYFUNCTION("""COMPUTED_VALUE"""),"")</f>
        <v/>
      </c>
      <c r="E502" s="6" t="str">
        <f ca="1">IFERROR(__xludf.DUMMYFUNCTION("""COMPUTED_VALUE"""),"")</f>
        <v/>
      </c>
      <c r="F502" s="6" t="str">
        <f ca="1">IFERROR(__xludf.DUMMYFUNCTION("""COMPUTED_VALUE"""),"")</f>
        <v/>
      </c>
      <c r="G502" s="6" t="str">
        <f ca="1">IFERROR(__xludf.DUMMYFUNCTION("""COMPUTED_VALUE"""),"")</f>
        <v/>
      </c>
      <c r="H502" s="6" t="str">
        <f ca="1">IFERROR(__xludf.DUMMYFUNCTION("""COMPUTED_VALUE"""),"")</f>
        <v/>
      </c>
      <c r="I502" s="6" t="str">
        <f ca="1">IFERROR(__xludf.DUMMYFUNCTION("""COMPUTED_VALUE"""),"")</f>
        <v/>
      </c>
      <c r="J502" s="6" t="str">
        <f ca="1">IFERROR(__xludf.DUMMYFUNCTION("""COMPUTED_VALUE"""),"")</f>
        <v/>
      </c>
    </row>
    <row r="503" spans="1:10" x14ac:dyDescent="0.2">
      <c r="A503" s="6" t="str">
        <f ca="1">IFERROR(__xludf.DUMMYFUNCTION("""COMPUTED_VALUE"""),"")</f>
        <v/>
      </c>
      <c r="B503" s="6" t="str">
        <f ca="1">IFERROR(__xludf.DUMMYFUNCTION("""COMPUTED_VALUE"""),"")</f>
        <v/>
      </c>
      <c r="C503" s="6" t="str">
        <f ca="1">IFERROR(__xludf.DUMMYFUNCTION("""COMPUTED_VALUE"""),"")</f>
        <v/>
      </c>
      <c r="D503" s="6" t="str">
        <f ca="1">IFERROR(__xludf.DUMMYFUNCTION("""COMPUTED_VALUE"""),"")</f>
        <v/>
      </c>
      <c r="E503" s="6" t="str">
        <f ca="1">IFERROR(__xludf.DUMMYFUNCTION("""COMPUTED_VALUE"""),"")</f>
        <v/>
      </c>
      <c r="F503" s="6" t="str">
        <f ca="1">IFERROR(__xludf.DUMMYFUNCTION("""COMPUTED_VALUE"""),"")</f>
        <v/>
      </c>
      <c r="G503" s="6" t="str">
        <f ca="1">IFERROR(__xludf.DUMMYFUNCTION("""COMPUTED_VALUE"""),"")</f>
        <v/>
      </c>
      <c r="H503" s="6" t="str">
        <f ca="1">IFERROR(__xludf.DUMMYFUNCTION("""COMPUTED_VALUE"""),"")</f>
        <v/>
      </c>
      <c r="I503" s="6" t="str">
        <f ca="1">IFERROR(__xludf.DUMMYFUNCTION("""COMPUTED_VALUE"""),"")</f>
        <v/>
      </c>
      <c r="J503" s="6" t="str">
        <f ca="1">IFERROR(__xludf.DUMMYFUNCTION("""COMPUTED_VALUE"""),"")</f>
        <v/>
      </c>
    </row>
    <row r="504" spans="1:10" x14ac:dyDescent="0.2">
      <c r="A504" s="6" t="str">
        <f ca="1">IFERROR(__xludf.DUMMYFUNCTION("""COMPUTED_VALUE"""),"")</f>
        <v/>
      </c>
      <c r="B504" s="6" t="str">
        <f ca="1">IFERROR(__xludf.DUMMYFUNCTION("""COMPUTED_VALUE"""),"")</f>
        <v/>
      </c>
      <c r="C504" s="6" t="str">
        <f ca="1">IFERROR(__xludf.DUMMYFUNCTION("""COMPUTED_VALUE"""),"")</f>
        <v/>
      </c>
      <c r="D504" s="6" t="str">
        <f ca="1">IFERROR(__xludf.DUMMYFUNCTION("""COMPUTED_VALUE"""),"")</f>
        <v/>
      </c>
      <c r="E504" s="6" t="str">
        <f ca="1">IFERROR(__xludf.DUMMYFUNCTION("""COMPUTED_VALUE"""),"")</f>
        <v/>
      </c>
      <c r="F504" s="6" t="str">
        <f ca="1">IFERROR(__xludf.DUMMYFUNCTION("""COMPUTED_VALUE"""),"")</f>
        <v/>
      </c>
      <c r="G504" s="6" t="str">
        <f ca="1">IFERROR(__xludf.DUMMYFUNCTION("""COMPUTED_VALUE"""),"")</f>
        <v/>
      </c>
      <c r="H504" s="6" t="str">
        <f ca="1">IFERROR(__xludf.DUMMYFUNCTION("""COMPUTED_VALUE"""),"")</f>
        <v/>
      </c>
      <c r="I504" s="6" t="str">
        <f ca="1">IFERROR(__xludf.DUMMYFUNCTION("""COMPUTED_VALUE"""),"")</f>
        <v/>
      </c>
      <c r="J504" s="6" t="str">
        <f ca="1">IFERROR(__xludf.DUMMYFUNCTION("""COMPUTED_VALUE"""),"")</f>
        <v/>
      </c>
    </row>
    <row r="505" spans="1:10" x14ac:dyDescent="0.2">
      <c r="A505" s="6" t="str">
        <f ca="1">IFERROR(__xludf.DUMMYFUNCTION("""COMPUTED_VALUE"""),"")</f>
        <v/>
      </c>
      <c r="B505" s="6" t="str">
        <f ca="1">IFERROR(__xludf.DUMMYFUNCTION("""COMPUTED_VALUE"""),"")</f>
        <v/>
      </c>
      <c r="C505" s="6" t="str">
        <f ca="1">IFERROR(__xludf.DUMMYFUNCTION("""COMPUTED_VALUE"""),"")</f>
        <v/>
      </c>
      <c r="D505" s="6" t="str">
        <f ca="1">IFERROR(__xludf.DUMMYFUNCTION("""COMPUTED_VALUE"""),"")</f>
        <v/>
      </c>
      <c r="E505" s="6" t="str">
        <f ca="1">IFERROR(__xludf.DUMMYFUNCTION("""COMPUTED_VALUE"""),"")</f>
        <v/>
      </c>
      <c r="F505" s="6" t="str">
        <f ca="1">IFERROR(__xludf.DUMMYFUNCTION("""COMPUTED_VALUE"""),"")</f>
        <v/>
      </c>
      <c r="G505" s="6" t="str">
        <f ca="1">IFERROR(__xludf.DUMMYFUNCTION("""COMPUTED_VALUE"""),"")</f>
        <v/>
      </c>
      <c r="H505" s="6" t="str">
        <f ca="1">IFERROR(__xludf.DUMMYFUNCTION("""COMPUTED_VALUE"""),"")</f>
        <v/>
      </c>
      <c r="I505" s="6" t="str">
        <f ca="1">IFERROR(__xludf.DUMMYFUNCTION("""COMPUTED_VALUE"""),"")</f>
        <v/>
      </c>
      <c r="J505" s="6" t="str">
        <f ca="1">IFERROR(__xludf.DUMMYFUNCTION("""COMPUTED_VALUE"""),"")</f>
        <v/>
      </c>
    </row>
    <row r="506" spans="1:10" x14ac:dyDescent="0.2">
      <c r="A506" s="6" t="str">
        <f ca="1">IFERROR(__xludf.DUMMYFUNCTION("""COMPUTED_VALUE"""),"")</f>
        <v/>
      </c>
      <c r="B506" s="6" t="str">
        <f ca="1">IFERROR(__xludf.DUMMYFUNCTION("""COMPUTED_VALUE"""),"")</f>
        <v/>
      </c>
      <c r="C506" s="6" t="str">
        <f ca="1">IFERROR(__xludf.DUMMYFUNCTION("""COMPUTED_VALUE"""),"")</f>
        <v/>
      </c>
      <c r="D506" s="6" t="str">
        <f ca="1">IFERROR(__xludf.DUMMYFUNCTION("""COMPUTED_VALUE"""),"")</f>
        <v/>
      </c>
      <c r="E506" s="6" t="str">
        <f ca="1">IFERROR(__xludf.DUMMYFUNCTION("""COMPUTED_VALUE"""),"")</f>
        <v/>
      </c>
      <c r="F506" s="6" t="str">
        <f ca="1">IFERROR(__xludf.DUMMYFUNCTION("""COMPUTED_VALUE"""),"")</f>
        <v/>
      </c>
      <c r="G506" s="6" t="str">
        <f ca="1">IFERROR(__xludf.DUMMYFUNCTION("""COMPUTED_VALUE"""),"")</f>
        <v/>
      </c>
      <c r="H506" s="6" t="str">
        <f ca="1">IFERROR(__xludf.DUMMYFUNCTION("""COMPUTED_VALUE"""),"")</f>
        <v/>
      </c>
      <c r="I506" s="6" t="str">
        <f ca="1">IFERROR(__xludf.DUMMYFUNCTION("""COMPUTED_VALUE"""),"")</f>
        <v/>
      </c>
      <c r="J506" s="6" t="str">
        <f ca="1">IFERROR(__xludf.DUMMYFUNCTION("""COMPUTED_VALUE"""),"")</f>
        <v/>
      </c>
    </row>
    <row r="507" spans="1:10" x14ac:dyDescent="0.2">
      <c r="A507" s="6" t="str">
        <f ca="1">IFERROR(__xludf.DUMMYFUNCTION("""COMPUTED_VALUE"""),"")</f>
        <v/>
      </c>
      <c r="B507" s="6" t="str">
        <f ca="1">IFERROR(__xludf.DUMMYFUNCTION("""COMPUTED_VALUE"""),"")</f>
        <v/>
      </c>
      <c r="C507" s="6" t="str">
        <f ca="1">IFERROR(__xludf.DUMMYFUNCTION("""COMPUTED_VALUE"""),"")</f>
        <v/>
      </c>
      <c r="D507" s="6" t="str">
        <f ca="1">IFERROR(__xludf.DUMMYFUNCTION("""COMPUTED_VALUE"""),"")</f>
        <v/>
      </c>
      <c r="E507" s="6" t="str">
        <f ca="1">IFERROR(__xludf.DUMMYFUNCTION("""COMPUTED_VALUE"""),"")</f>
        <v/>
      </c>
      <c r="F507" s="6" t="str">
        <f ca="1">IFERROR(__xludf.DUMMYFUNCTION("""COMPUTED_VALUE"""),"")</f>
        <v/>
      </c>
      <c r="G507" s="6" t="str">
        <f ca="1">IFERROR(__xludf.DUMMYFUNCTION("""COMPUTED_VALUE"""),"")</f>
        <v/>
      </c>
      <c r="H507" s="6" t="str">
        <f ca="1">IFERROR(__xludf.DUMMYFUNCTION("""COMPUTED_VALUE"""),"")</f>
        <v/>
      </c>
      <c r="I507" s="6" t="str">
        <f ca="1">IFERROR(__xludf.DUMMYFUNCTION("""COMPUTED_VALUE"""),"")</f>
        <v/>
      </c>
      <c r="J507" s="6" t="str">
        <f ca="1">IFERROR(__xludf.DUMMYFUNCTION("""COMPUTED_VALUE"""),"")</f>
        <v/>
      </c>
    </row>
    <row r="508" spans="1:10" x14ac:dyDescent="0.2">
      <c r="A508" s="6" t="str">
        <f ca="1">IFERROR(__xludf.DUMMYFUNCTION("""COMPUTED_VALUE"""),"")</f>
        <v/>
      </c>
      <c r="B508" s="6" t="str">
        <f ca="1">IFERROR(__xludf.DUMMYFUNCTION("""COMPUTED_VALUE"""),"")</f>
        <v/>
      </c>
      <c r="C508" s="6" t="str">
        <f ca="1">IFERROR(__xludf.DUMMYFUNCTION("""COMPUTED_VALUE"""),"")</f>
        <v/>
      </c>
      <c r="D508" s="6" t="str">
        <f ca="1">IFERROR(__xludf.DUMMYFUNCTION("""COMPUTED_VALUE"""),"")</f>
        <v/>
      </c>
      <c r="E508" s="6" t="str">
        <f ca="1">IFERROR(__xludf.DUMMYFUNCTION("""COMPUTED_VALUE"""),"")</f>
        <v/>
      </c>
      <c r="F508" s="6" t="str">
        <f ca="1">IFERROR(__xludf.DUMMYFUNCTION("""COMPUTED_VALUE"""),"")</f>
        <v/>
      </c>
      <c r="G508" s="6" t="str">
        <f ca="1">IFERROR(__xludf.DUMMYFUNCTION("""COMPUTED_VALUE"""),"")</f>
        <v/>
      </c>
      <c r="H508" s="6" t="str">
        <f ca="1">IFERROR(__xludf.DUMMYFUNCTION("""COMPUTED_VALUE"""),"")</f>
        <v/>
      </c>
      <c r="I508" s="6" t="str">
        <f ca="1">IFERROR(__xludf.DUMMYFUNCTION("""COMPUTED_VALUE"""),"")</f>
        <v/>
      </c>
      <c r="J508" s="6" t="str">
        <f ca="1">IFERROR(__xludf.DUMMYFUNCTION("""COMPUTED_VALUE"""),"")</f>
        <v/>
      </c>
    </row>
    <row r="509" spans="1:10" x14ac:dyDescent="0.2">
      <c r="A509" s="6" t="str">
        <f ca="1">IFERROR(__xludf.DUMMYFUNCTION("""COMPUTED_VALUE"""),"")</f>
        <v/>
      </c>
      <c r="B509" s="6" t="str">
        <f ca="1">IFERROR(__xludf.DUMMYFUNCTION("""COMPUTED_VALUE"""),"")</f>
        <v/>
      </c>
      <c r="C509" s="6" t="str">
        <f ca="1">IFERROR(__xludf.DUMMYFUNCTION("""COMPUTED_VALUE"""),"")</f>
        <v/>
      </c>
      <c r="D509" s="6" t="str">
        <f ca="1">IFERROR(__xludf.DUMMYFUNCTION("""COMPUTED_VALUE"""),"")</f>
        <v/>
      </c>
      <c r="E509" s="6" t="str">
        <f ca="1">IFERROR(__xludf.DUMMYFUNCTION("""COMPUTED_VALUE"""),"")</f>
        <v/>
      </c>
      <c r="F509" s="6" t="str">
        <f ca="1">IFERROR(__xludf.DUMMYFUNCTION("""COMPUTED_VALUE"""),"")</f>
        <v/>
      </c>
      <c r="G509" s="6" t="str">
        <f ca="1">IFERROR(__xludf.DUMMYFUNCTION("""COMPUTED_VALUE"""),"")</f>
        <v/>
      </c>
      <c r="H509" s="6" t="str">
        <f ca="1">IFERROR(__xludf.DUMMYFUNCTION("""COMPUTED_VALUE"""),"")</f>
        <v/>
      </c>
      <c r="I509" s="6" t="str">
        <f ca="1">IFERROR(__xludf.DUMMYFUNCTION("""COMPUTED_VALUE"""),"")</f>
        <v/>
      </c>
      <c r="J509" s="6" t="str">
        <f ca="1">IFERROR(__xludf.DUMMYFUNCTION("""COMPUTED_VALUE"""),"")</f>
        <v/>
      </c>
    </row>
    <row r="510" spans="1:10" x14ac:dyDescent="0.2">
      <c r="A510" s="6" t="str">
        <f ca="1">IFERROR(__xludf.DUMMYFUNCTION("""COMPUTED_VALUE"""),"")</f>
        <v/>
      </c>
      <c r="B510" s="6" t="str">
        <f ca="1">IFERROR(__xludf.DUMMYFUNCTION("""COMPUTED_VALUE"""),"")</f>
        <v/>
      </c>
      <c r="C510" s="6" t="str">
        <f ca="1">IFERROR(__xludf.DUMMYFUNCTION("""COMPUTED_VALUE"""),"")</f>
        <v/>
      </c>
      <c r="D510" s="6" t="str">
        <f ca="1">IFERROR(__xludf.DUMMYFUNCTION("""COMPUTED_VALUE"""),"")</f>
        <v/>
      </c>
      <c r="E510" s="6" t="str">
        <f ca="1">IFERROR(__xludf.DUMMYFUNCTION("""COMPUTED_VALUE"""),"")</f>
        <v/>
      </c>
      <c r="F510" s="6" t="str">
        <f ca="1">IFERROR(__xludf.DUMMYFUNCTION("""COMPUTED_VALUE"""),"")</f>
        <v/>
      </c>
      <c r="G510" s="6" t="str">
        <f ca="1">IFERROR(__xludf.DUMMYFUNCTION("""COMPUTED_VALUE"""),"")</f>
        <v/>
      </c>
      <c r="H510" s="6" t="str">
        <f ca="1">IFERROR(__xludf.DUMMYFUNCTION("""COMPUTED_VALUE"""),"")</f>
        <v/>
      </c>
      <c r="I510" s="6" t="str">
        <f ca="1">IFERROR(__xludf.DUMMYFUNCTION("""COMPUTED_VALUE"""),"")</f>
        <v/>
      </c>
      <c r="J510" s="6" t="str">
        <f ca="1">IFERROR(__xludf.DUMMYFUNCTION("""COMPUTED_VALUE"""),"")</f>
        <v/>
      </c>
    </row>
    <row r="511" spans="1:10" x14ac:dyDescent="0.2">
      <c r="A511" s="6" t="str">
        <f ca="1">IFERROR(__xludf.DUMMYFUNCTION("""COMPUTED_VALUE"""),"")</f>
        <v/>
      </c>
      <c r="B511" s="6" t="str">
        <f ca="1">IFERROR(__xludf.DUMMYFUNCTION("""COMPUTED_VALUE"""),"")</f>
        <v/>
      </c>
      <c r="C511" s="6" t="str">
        <f ca="1">IFERROR(__xludf.DUMMYFUNCTION("""COMPUTED_VALUE"""),"")</f>
        <v/>
      </c>
      <c r="D511" s="6" t="str">
        <f ca="1">IFERROR(__xludf.DUMMYFUNCTION("""COMPUTED_VALUE"""),"")</f>
        <v/>
      </c>
      <c r="E511" s="6" t="str">
        <f ca="1">IFERROR(__xludf.DUMMYFUNCTION("""COMPUTED_VALUE"""),"")</f>
        <v/>
      </c>
      <c r="F511" s="6" t="str">
        <f ca="1">IFERROR(__xludf.DUMMYFUNCTION("""COMPUTED_VALUE"""),"")</f>
        <v/>
      </c>
      <c r="G511" s="6" t="str">
        <f ca="1">IFERROR(__xludf.DUMMYFUNCTION("""COMPUTED_VALUE"""),"")</f>
        <v/>
      </c>
      <c r="H511" s="6" t="str">
        <f ca="1">IFERROR(__xludf.DUMMYFUNCTION("""COMPUTED_VALUE"""),"")</f>
        <v/>
      </c>
      <c r="I511" s="6" t="str">
        <f ca="1">IFERROR(__xludf.DUMMYFUNCTION("""COMPUTED_VALUE"""),"")</f>
        <v/>
      </c>
      <c r="J511" s="6" t="str">
        <f ca="1">IFERROR(__xludf.DUMMYFUNCTION("""COMPUTED_VALUE"""),"")</f>
        <v/>
      </c>
    </row>
    <row r="512" spans="1:10" x14ac:dyDescent="0.2">
      <c r="A512" s="6" t="str">
        <f ca="1">IFERROR(__xludf.DUMMYFUNCTION("""COMPUTED_VALUE"""),"")</f>
        <v/>
      </c>
      <c r="B512" s="6" t="str">
        <f ca="1">IFERROR(__xludf.DUMMYFUNCTION("""COMPUTED_VALUE"""),"")</f>
        <v/>
      </c>
      <c r="C512" s="6" t="str">
        <f ca="1">IFERROR(__xludf.DUMMYFUNCTION("""COMPUTED_VALUE"""),"")</f>
        <v/>
      </c>
      <c r="D512" s="6" t="str">
        <f ca="1">IFERROR(__xludf.DUMMYFUNCTION("""COMPUTED_VALUE"""),"")</f>
        <v/>
      </c>
      <c r="E512" s="6" t="str">
        <f ca="1">IFERROR(__xludf.DUMMYFUNCTION("""COMPUTED_VALUE"""),"")</f>
        <v/>
      </c>
      <c r="F512" s="6" t="str">
        <f ca="1">IFERROR(__xludf.DUMMYFUNCTION("""COMPUTED_VALUE"""),"")</f>
        <v/>
      </c>
      <c r="G512" s="6" t="str">
        <f ca="1">IFERROR(__xludf.DUMMYFUNCTION("""COMPUTED_VALUE"""),"")</f>
        <v/>
      </c>
      <c r="H512" s="6" t="str">
        <f ca="1">IFERROR(__xludf.DUMMYFUNCTION("""COMPUTED_VALUE"""),"")</f>
        <v/>
      </c>
      <c r="I512" s="6" t="str">
        <f ca="1">IFERROR(__xludf.DUMMYFUNCTION("""COMPUTED_VALUE"""),"")</f>
        <v/>
      </c>
      <c r="J512" s="6" t="str">
        <f ca="1">IFERROR(__xludf.DUMMYFUNCTION("""COMPUTED_VALUE"""),"")</f>
        <v/>
      </c>
    </row>
    <row r="513" spans="1:10" x14ac:dyDescent="0.2">
      <c r="A513" s="6" t="str">
        <f ca="1">IFERROR(__xludf.DUMMYFUNCTION("""COMPUTED_VALUE"""),"")</f>
        <v/>
      </c>
      <c r="B513" s="6" t="str">
        <f ca="1">IFERROR(__xludf.DUMMYFUNCTION("""COMPUTED_VALUE"""),"")</f>
        <v/>
      </c>
      <c r="C513" s="6" t="str">
        <f ca="1">IFERROR(__xludf.DUMMYFUNCTION("""COMPUTED_VALUE"""),"")</f>
        <v/>
      </c>
      <c r="D513" s="6" t="str">
        <f ca="1">IFERROR(__xludf.DUMMYFUNCTION("""COMPUTED_VALUE"""),"")</f>
        <v/>
      </c>
      <c r="E513" s="6" t="str">
        <f ca="1">IFERROR(__xludf.DUMMYFUNCTION("""COMPUTED_VALUE"""),"")</f>
        <v/>
      </c>
      <c r="F513" s="6" t="str">
        <f ca="1">IFERROR(__xludf.DUMMYFUNCTION("""COMPUTED_VALUE"""),"")</f>
        <v/>
      </c>
      <c r="G513" s="6" t="str">
        <f ca="1">IFERROR(__xludf.DUMMYFUNCTION("""COMPUTED_VALUE"""),"")</f>
        <v/>
      </c>
      <c r="H513" s="6" t="str">
        <f ca="1">IFERROR(__xludf.DUMMYFUNCTION("""COMPUTED_VALUE"""),"")</f>
        <v/>
      </c>
      <c r="I513" s="6" t="str">
        <f ca="1">IFERROR(__xludf.DUMMYFUNCTION("""COMPUTED_VALUE"""),"")</f>
        <v/>
      </c>
      <c r="J513" s="6" t="str">
        <f ca="1">IFERROR(__xludf.DUMMYFUNCTION("""COMPUTED_VALUE"""),"")</f>
        <v/>
      </c>
    </row>
    <row r="514" spans="1:10" x14ac:dyDescent="0.2">
      <c r="A514" s="6" t="str">
        <f ca="1">IFERROR(__xludf.DUMMYFUNCTION("""COMPUTED_VALUE"""),"")</f>
        <v/>
      </c>
      <c r="B514" s="6" t="str">
        <f ca="1">IFERROR(__xludf.DUMMYFUNCTION("""COMPUTED_VALUE"""),"")</f>
        <v/>
      </c>
      <c r="C514" s="6" t="str">
        <f ca="1">IFERROR(__xludf.DUMMYFUNCTION("""COMPUTED_VALUE"""),"")</f>
        <v/>
      </c>
      <c r="D514" s="6" t="str">
        <f ca="1">IFERROR(__xludf.DUMMYFUNCTION("""COMPUTED_VALUE"""),"")</f>
        <v/>
      </c>
      <c r="E514" s="6" t="str">
        <f ca="1">IFERROR(__xludf.DUMMYFUNCTION("""COMPUTED_VALUE"""),"")</f>
        <v/>
      </c>
      <c r="F514" s="6" t="str">
        <f ca="1">IFERROR(__xludf.DUMMYFUNCTION("""COMPUTED_VALUE"""),"")</f>
        <v/>
      </c>
      <c r="G514" s="6" t="str">
        <f ca="1">IFERROR(__xludf.DUMMYFUNCTION("""COMPUTED_VALUE"""),"")</f>
        <v/>
      </c>
      <c r="H514" s="6" t="str">
        <f ca="1">IFERROR(__xludf.DUMMYFUNCTION("""COMPUTED_VALUE"""),"")</f>
        <v/>
      </c>
      <c r="I514" s="6" t="str">
        <f ca="1">IFERROR(__xludf.DUMMYFUNCTION("""COMPUTED_VALUE"""),"")</f>
        <v/>
      </c>
      <c r="J514" s="6" t="str">
        <f ca="1">IFERROR(__xludf.DUMMYFUNCTION("""COMPUTED_VALUE"""),"")</f>
        <v/>
      </c>
    </row>
    <row r="515" spans="1:10" x14ac:dyDescent="0.2">
      <c r="A515" s="6" t="str">
        <f ca="1">IFERROR(__xludf.DUMMYFUNCTION("""COMPUTED_VALUE"""),"")</f>
        <v/>
      </c>
      <c r="B515" s="6" t="str">
        <f ca="1">IFERROR(__xludf.DUMMYFUNCTION("""COMPUTED_VALUE"""),"")</f>
        <v/>
      </c>
      <c r="C515" s="6" t="str">
        <f ca="1">IFERROR(__xludf.DUMMYFUNCTION("""COMPUTED_VALUE"""),"")</f>
        <v/>
      </c>
      <c r="D515" s="6" t="str">
        <f ca="1">IFERROR(__xludf.DUMMYFUNCTION("""COMPUTED_VALUE"""),"")</f>
        <v/>
      </c>
      <c r="E515" s="6" t="str">
        <f ca="1">IFERROR(__xludf.DUMMYFUNCTION("""COMPUTED_VALUE"""),"")</f>
        <v/>
      </c>
      <c r="F515" s="6" t="str">
        <f ca="1">IFERROR(__xludf.DUMMYFUNCTION("""COMPUTED_VALUE"""),"")</f>
        <v/>
      </c>
      <c r="G515" s="6" t="str">
        <f ca="1">IFERROR(__xludf.DUMMYFUNCTION("""COMPUTED_VALUE"""),"")</f>
        <v/>
      </c>
      <c r="H515" s="6" t="str">
        <f ca="1">IFERROR(__xludf.DUMMYFUNCTION("""COMPUTED_VALUE"""),"")</f>
        <v/>
      </c>
      <c r="I515" s="6" t="str">
        <f ca="1">IFERROR(__xludf.DUMMYFUNCTION("""COMPUTED_VALUE"""),"")</f>
        <v/>
      </c>
      <c r="J515" s="6" t="str">
        <f ca="1">IFERROR(__xludf.DUMMYFUNCTION("""COMPUTED_VALUE"""),"")</f>
        <v/>
      </c>
    </row>
    <row r="516" spans="1:10" x14ac:dyDescent="0.2">
      <c r="A516" s="6" t="str">
        <f ca="1">IFERROR(__xludf.DUMMYFUNCTION("""COMPUTED_VALUE"""),"")</f>
        <v/>
      </c>
      <c r="B516" s="6" t="str">
        <f ca="1">IFERROR(__xludf.DUMMYFUNCTION("""COMPUTED_VALUE"""),"")</f>
        <v/>
      </c>
      <c r="C516" s="6" t="str">
        <f ca="1">IFERROR(__xludf.DUMMYFUNCTION("""COMPUTED_VALUE"""),"")</f>
        <v/>
      </c>
      <c r="D516" s="6" t="str">
        <f ca="1">IFERROR(__xludf.DUMMYFUNCTION("""COMPUTED_VALUE"""),"")</f>
        <v/>
      </c>
      <c r="E516" s="6" t="str">
        <f ca="1">IFERROR(__xludf.DUMMYFUNCTION("""COMPUTED_VALUE"""),"")</f>
        <v/>
      </c>
      <c r="F516" s="6" t="str">
        <f ca="1">IFERROR(__xludf.DUMMYFUNCTION("""COMPUTED_VALUE"""),"")</f>
        <v/>
      </c>
      <c r="G516" s="6" t="str">
        <f ca="1">IFERROR(__xludf.DUMMYFUNCTION("""COMPUTED_VALUE"""),"")</f>
        <v/>
      </c>
      <c r="H516" s="6" t="str">
        <f ca="1">IFERROR(__xludf.DUMMYFUNCTION("""COMPUTED_VALUE"""),"")</f>
        <v/>
      </c>
      <c r="I516" s="6" t="str">
        <f ca="1">IFERROR(__xludf.DUMMYFUNCTION("""COMPUTED_VALUE"""),"")</f>
        <v/>
      </c>
      <c r="J516" s="6" t="str">
        <f ca="1">IFERROR(__xludf.DUMMYFUNCTION("""COMPUTED_VALUE"""),"")</f>
        <v/>
      </c>
    </row>
    <row r="517" spans="1:10" x14ac:dyDescent="0.2">
      <c r="A517" s="6" t="str">
        <f ca="1">IFERROR(__xludf.DUMMYFUNCTION("""COMPUTED_VALUE"""),"")</f>
        <v/>
      </c>
      <c r="B517" s="6" t="str">
        <f ca="1">IFERROR(__xludf.DUMMYFUNCTION("""COMPUTED_VALUE"""),"")</f>
        <v/>
      </c>
      <c r="C517" s="6" t="str">
        <f ca="1">IFERROR(__xludf.DUMMYFUNCTION("""COMPUTED_VALUE"""),"")</f>
        <v/>
      </c>
      <c r="D517" s="6" t="str">
        <f ca="1">IFERROR(__xludf.DUMMYFUNCTION("""COMPUTED_VALUE"""),"")</f>
        <v/>
      </c>
      <c r="E517" s="6" t="str">
        <f ca="1">IFERROR(__xludf.DUMMYFUNCTION("""COMPUTED_VALUE"""),"")</f>
        <v/>
      </c>
      <c r="F517" s="6" t="str">
        <f ca="1">IFERROR(__xludf.DUMMYFUNCTION("""COMPUTED_VALUE"""),"")</f>
        <v/>
      </c>
      <c r="G517" s="6" t="str">
        <f ca="1">IFERROR(__xludf.DUMMYFUNCTION("""COMPUTED_VALUE"""),"")</f>
        <v/>
      </c>
      <c r="H517" s="6" t="str">
        <f ca="1">IFERROR(__xludf.DUMMYFUNCTION("""COMPUTED_VALUE"""),"")</f>
        <v/>
      </c>
      <c r="I517" s="6" t="str">
        <f ca="1">IFERROR(__xludf.DUMMYFUNCTION("""COMPUTED_VALUE"""),"")</f>
        <v/>
      </c>
      <c r="J517" s="6" t="str">
        <f ca="1">IFERROR(__xludf.DUMMYFUNCTION("""COMPUTED_VALUE"""),"")</f>
        <v/>
      </c>
    </row>
    <row r="518" spans="1:10" x14ac:dyDescent="0.2">
      <c r="A518" s="6" t="str">
        <f ca="1">IFERROR(__xludf.DUMMYFUNCTION("""COMPUTED_VALUE"""),"")</f>
        <v/>
      </c>
      <c r="B518" s="6" t="str">
        <f ca="1">IFERROR(__xludf.DUMMYFUNCTION("""COMPUTED_VALUE"""),"")</f>
        <v/>
      </c>
      <c r="C518" s="6" t="str">
        <f ca="1">IFERROR(__xludf.DUMMYFUNCTION("""COMPUTED_VALUE"""),"")</f>
        <v/>
      </c>
      <c r="D518" s="6" t="str">
        <f ca="1">IFERROR(__xludf.DUMMYFUNCTION("""COMPUTED_VALUE"""),"")</f>
        <v/>
      </c>
      <c r="E518" s="6" t="str">
        <f ca="1">IFERROR(__xludf.DUMMYFUNCTION("""COMPUTED_VALUE"""),"")</f>
        <v/>
      </c>
      <c r="F518" s="6" t="str">
        <f ca="1">IFERROR(__xludf.DUMMYFUNCTION("""COMPUTED_VALUE"""),"")</f>
        <v/>
      </c>
      <c r="G518" s="6" t="str">
        <f ca="1">IFERROR(__xludf.DUMMYFUNCTION("""COMPUTED_VALUE"""),"")</f>
        <v/>
      </c>
      <c r="H518" s="6" t="str">
        <f ca="1">IFERROR(__xludf.DUMMYFUNCTION("""COMPUTED_VALUE"""),"")</f>
        <v/>
      </c>
      <c r="I518" s="6" t="str">
        <f ca="1">IFERROR(__xludf.DUMMYFUNCTION("""COMPUTED_VALUE"""),"")</f>
        <v/>
      </c>
      <c r="J518" s="6" t="str">
        <f ca="1">IFERROR(__xludf.DUMMYFUNCTION("""COMPUTED_VALUE"""),"")</f>
        <v/>
      </c>
    </row>
    <row r="519" spans="1:10" x14ac:dyDescent="0.2">
      <c r="A519" s="6" t="str">
        <f ca="1">IFERROR(__xludf.DUMMYFUNCTION("""COMPUTED_VALUE"""),"")</f>
        <v/>
      </c>
      <c r="B519" s="6" t="str">
        <f ca="1">IFERROR(__xludf.DUMMYFUNCTION("""COMPUTED_VALUE"""),"")</f>
        <v/>
      </c>
      <c r="C519" s="6" t="str">
        <f ca="1">IFERROR(__xludf.DUMMYFUNCTION("""COMPUTED_VALUE"""),"")</f>
        <v/>
      </c>
      <c r="D519" s="6" t="str">
        <f ca="1">IFERROR(__xludf.DUMMYFUNCTION("""COMPUTED_VALUE"""),"")</f>
        <v/>
      </c>
      <c r="E519" s="6" t="str">
        <f ca="1">IFERROR(__xludf.DUMMYFUNCTION("""COMPUTED_VALUE"""),"")</f>
        <v/>
      </c>
      <c r="F519" s="6" t="str">
        <f ca="1">IFERROR(__xludf.DUMMYFUNCTION("""COMPUTED_VALUE"""),"")</f>
        <v/>
      </c>
      <c r="G519" s="6" t="str">
        <f ca="1">IFERROR(__xludf.DUMMYFUNCTION("""COMPUTED_VALUE"""),"")</f>
        <v/>
      </c>
      <c r="H519" s="6" t="str">
        <f ca="1">IFERROR(__xludf.DUMMYFUNCTION("""COMPUTED_VALUE"""),"")</f>
        <v/>
      </c>
      <c r="I519" s="6" t="str">
        <f ca="1">IFERROR(__xludf.DUMMYFUNCTION("""COMPUTED_VALUE"""),"")</f>
        <v/>
      </c>
      <c r="J519" s="6" t="str">
        <f ca="1">IFERROR(__xludf.DUMMYFUNCTION("""COMPUTED_VALUE"""),"")</f>
        <v/>
      </c>
    </row>
    <row r="520" spans="1:10" x14ac:dyDescent="0.2">
      <c r="A520" s="6" t="str">
        <f ca="1">IFERROR(__xludf.DUMMYFUNCTION("""COMPUTED_VALUE"""),"")</f>
        <v/>
      </c>
      <c r="B520" s="6" t="str">
        <f ca="1">IFERROR(__xludf.DUMMYFUNCTION("""COMPUTED_VALUE"""),"")</f>
        <v/>
      </c>
      <c r="C520" s="6" t="str">
        <f ca="1">IFERROR(__xludf.DUMMYFUNCTION("""COMPUTED_VALUE"""),"")</f>
        <v/>
      </c>
      <c r="D520" s="6" t="str">
        <f ca="1">IFERROR(__xludf.DUMMYFUNCTION("""COMPUTED_VALUE"""),"")</f>
        <v/>
      </c>
      <c r="E520" s="6" t="str">
        <f ca="1">IFERROR(__xludf.DUMMYFUNCTION("""COMPUTED_VALUE"""),"")</f>
        <v/>
      </c>
      <c r="F520" s="6" t="str">
        <f ca="1">IFERROR(__xludf.DUMMYFUNCTION("""COMPUTED_VALUE"""),"")</f>
        <v/>
      </c>
      <c r="G520" s="6" t="str">
        <f ca="1">IFERROR(__xludf.DUMMYFUNCTION("""COMPUTED_VALUE"""),"")</f>
        <v/>
      </c>
      <c r="H520" s="6" t="str">
        <f ca="1">IFERROR(__xludf.DUMMYFUNCTION("""COMPUTED_VALUE"""),"")</f>
        <v/>
      </c>
      <c r="I520" s="6" t="str">
        <f ca="1">IFERROR(__xludf.DUMMYFUNCTION("""COMPUTED_VALUE"""),"")</f>
        <v/>
      </c>
      <c r="J520" s="6" t="str">
        <f ca="1">IFERROR(__xludf.DUMMYFUNCTION("""COMPUTED_VALUE"""),"")</f>
        <v/>
      </c>
    </row>
    <row r="521" spans="1:10" x14ac:dyDescent="0.2">
      <c r="A521" s="6" t="str">
        <f ca="1">IFERROR(__xludf.DUMMYFUNCTION("""COMPUTED_VALUE"""),"")</f>
        <v/>
      </c>
      <c r="B521" s="6" t="str">
        <f ca="1">IFERROR(__xludf.DUMMYFUNCTION("""COMPUTED_VALUE"""),"")</f>
        <v/>
      </c>
      <c r="C521" s="6" t="str">
        <f ca="1">IFERROR(__xludf.DUMMYFUNCTION("""COMPUTED_VALUE"""),"")</f>
        <v/>
      </c>
      <c r="D521" s="6" t="str">
        <f ca="1">IFERROR(__xludf.DUMMYFUNCTION("""COMPUTED_VALUE"""),"")</f>
        <v/>
      </c>
      <c r="E521" s="6" t="str">
        <f ca="1">IFERROR(__xludf.DUMMYFUNCTION("""COMPUTED_VALUE"""),"")</f>
        <v/>
      </c>
      <c r="F521" s="6" t="str">
        <f ca="1">IFERROR(__xludf.DUMMYFUNCTION("""COMPUTED_VALUE"""),"")</f>
        <v/>
      </c>
      <c r="G521" s="6" t="str">
        <f ca="1">IFERROR(__xludf.DUMMYFUNCTION("""COMPUTED_VALUE"""),"")</f>
        <v/>
      </c>
      <c r="H521" s="6" t="str">
        <f ca="1">IFERROR(__xludf.DUMMYFUNCTION("""COMPUTED_VALUE"""),"")</f>
        <v/>
      </c>
      <c r="I521" s="6" t="str">
        <f ca="1">IFERROR(__xludf.DUMMYFUNCTION("""COMPUTED_VALUE"""),"")</f>
        <v/>
      </c>
      <c r="J521" s="6" t="str">
        <f ca="1">IFERROR(__xludf.DUMMYFUNCTION("""COMPUTED_VALUE"""),"")</f>
        <v/>
      </c>
    </row>
    <row r="522" spans="1:10" x14ac:dyDescent="0.2">
      <c r="A522" s="6" t="str">
        <f ca="1">IFERROR(__xludf.DUMMYFUNCTION("""COMPUTED_VALUE"""),"")</f>
        <v/>
      </c>
      <c r="B522" s="6" t="str">
        <f ca="1">IFERROR(__xludf.DUMMYFUNCTION("""COMPUTED_VALUE"""),"")</f>
        <v/>
      </c>
      <c r="C522" s="6" t="str">
        <f ca="1">IFERROR(__xludf.DUMMYFUNCTION("""COMPUTED_VALUE"""),"")</f>
        <v/>
      </c>
      <c r="D522" s="6" t="str">
        <f ca="1">IFERROR(__xludf.DUMMYFUNCTION("""COMPUTED_VALUE"""),"")</f>
        <v/>
      </c>
      <c r="E522" s="6" t="str">
        <f ca="1">IFERROR(__xludf.DUMMYFUNCTION("""COMPUTED_VALUE"""),"")</f>
        <v/>
      </c>
      <c r="F522" s="6" t="str">
        <f ca="1">IFERROR(__xludf.DUMMYFUNCTION("""COMPUTED_VALUE"""),"")</f>
        <v/>
      </c>
      <c r="G522" s="6" t="str">
        <f ca="1">IFERROR(__xludf.DUMMYFUNCTION("""COMPUTED_VALUE"""),"")</f>
        <v/>
      </c>
      <c r="H522" s="6" t="str">
        <f ca="1">IFERROR(__xludf.DUMMYFUNCTION("""COMPUTED_VALUE"""),"")</f>
        <v/>
      </c>
      <c r="I522" s="6" t="str">
        <f ca="1">IFERROR(__xludf.DUMMYFUNCTION("""COMPUTED_VALUE"""),"")</f>
        <v/>
      </c>
      <c r="J522" s="6" t="str">
        <f ca="1">IFERROR(__xludf.DUMMYFUNCTION("""COMPUTED_VALUE"""),"")</f>
        <v/>
      </c>
    </row>
    <row r="523" spans="1:10" x14ac:dyDescent="0.2">
      <c r="A523" s="6" t="str">
        <f ca="1">IFERROR(__xludf.DUMMYFUNCTION("""COMPUTED_VALUE"""),"")</f>
        <v/>
      </c>
      <c r="B523" s="6" t="str">
        <f ca="1">IFERROR(__xludf.DUMMYFUNCTION("""COMPUTED_VALUE"""),"")</f>
        <v/>
      </c>
      <c r="C523" s="6" t="str">
        <f ca="1">IFERROR(__xludf.DUMMYFUNCTION("""COMPUTED_VALUE"""),"")</f>
        <v/>
      </c>
      <c r="D523" s="6" t="str">
        <f ca="1">IFERROR(__xludf.DUMMYFUNCTION("""COMPUTED_VALUE"""),"")</f>
        <v/>
      </c>
      <c r="E523" s="6" t="str">
        <f ca="1">IFERROR(__xludf.DUMMYFUNCTION("""COMPUTED_VALUE"""),"")</f>
        <v/>
      </c>
      <c r="F523" s="6" t="str">
        <f ca="1">IFERROR(__xludf.DUMMYFUNCTION("""COMPUTED_VALUE"""),"")</f>
        <v/>
      </c>
      <c r="G523" s="6" t="str">
        <f ca="1">IFERROR(__xludf.DUMMYFUNCTION("""COMPUTED_VALUE"""),"")</f>
        <v/>
      </c>
      <c r="H523" s="6" t="str">
        <f ca="1">IFERROR(__xludf.DUMMYFUNCTION("""COMPUTED_VALUE"""),"")</f>
        <v/>
      </c>
      <c r="I523" s="6" t="str">
        <f ca="1">IFERROR(__xludf.DUMMYFUNCTION("""COMPUTED_VALUE"""),"")</f>
        <v/>
      </c>
      <c r="J523" s="6" t="str">
        <f ca="1">IFERROR(__xludf.DUMMYFUNCTION("""COMPUTED_VALUE"""),"")</f>
        <v/>
      </c>
    </row>
    <row r="524" spans="1:10" x14ac:dyDescent="0.2">
      <c r="A524" s="6" t="str">
        <f ca="1">IFERROR(__xludf.DUMMYFUNCTION("""COMPUTED_VALUE"""),"")</f>
        <v/>
      </c>
      <c r="B524" s="6" t="str">
        <f ca="1">IFERROR(__xludf.DUMMYFUNCTION("""COMPUTED_VALUE"""),"")</f>
        <v/>
      </c>
      <c r="C524" s="6" t="str">
        <f ca="1">IFERROR(__xludf.DUMMYFUNCTION("""COMPUTED_VALUE"""),"")</f>
        <v/>
      </c>
      <c r="D524" s="6" t="str">
        <f ca="1">IFERROR(__xludf.DUMMYFUNCTION("""COMPUTED_VALUE"""),"")</f>
        <v/>
      </c>
      <c r="E524" s="6" t="str">
        <f ca="1">IFERROR(__xludf.DUMMYFUNCTION("""COMPUTED_VALUE"""),"")</f>
        <v/>
      </c>
      <c r="F524" s="6" t="str">
        <f ca="1">IFERROR(__xludf.DUMMYFUNCTION("""COMPUTED_VALUE"""),"")</f>
        <v/>
      </c>
      <c r="G524" s="6" t="str">
        <f ca="1">IFERROR(__xludf.DUMMYFUNCTION("""COMPUTED_VALUE"""),"")</f>
        <v/>
      </c>
      <c r="H524" s="6" t="str">
        <f ca="1">IFERROR(__xludf.DUMMYFUNCTION("""COMPUTED_VALUE"""),"")</f>
        <v/>
      </c>
      <c r="I524" s="6" t="str">
        <f ca="1">IFERROR(__xludf.DUMMYFUNCTION("""COMPUTED_VALUE"""),"")</f>
        <v/>
      </c>
      <c r="J524" s="6" t="str">
        <f ca="1">IFERROR(__xludf.DUMMYFUNCTION("""COMPUTED_VALUE"""),"")</f>
        <v/>
      </c>
    </row>
    <row r="525" spans="1:10" x14ac:dyDescent="0.2">
      <c r="A525" s="6" t="str">
        <f ca="1">IFERROR(__xludf.DUMMYFUNCTION("""COMPUTED_VALUE"""),"")</f>
        <v/>
      </c>
      <c r="B525" s="6" t="str">
        <f ca="1">IFERROR(__xludf.DUMMYFUNCTION("""COMPUTED_VALUE"""),"")</f>
        <v/>
      </c>
      <c r="C525" s="6" t="str">
        <f ca="1">IFERROR(__xludf.DUMMYFUNCTION("""COMPUTED_VALUE"""),"")</f>
        <v/>
      </c>
      <c r="D525" s="6" t="str">
        <f ca="1">IFERROR(__xludf.DUMMYFUNCTION("""COMPUTED_VALUE"""),"")</f>
        <v/>
      </c>
      <c r="E525" s="6" t="str">
        <f ca="1">IFERROR(__xludf.DUMMYFUNCTION("""COMPUTED_VALUE"""),"")</f>
        <v/>
      </c>
      <c r="F525" s="6" t="str">
        <f ca="1">IFERROR(__xludf.DUMMYFUNCTION("""COMPUTED_VALUE"""),"")</f>
        <v/>
      </c>
      <c r="G525" s="6" t="str">
        <f ca="1">IFERROR(__xludf.DUMMYFUNCTION("""COMPUTED_VALUE"""),"")</f>
        <v/>
      </c>
      <c r="H525" s="6" t="str">
        <f ca="1">IFERROR(__xludf.DUMMYFUNCTION("""COMPUTED_VALUE"""),"")</f>
        <v/>
      </c>
      <c r="I525" s="6" t="str">
        <f ca="1">IFERROR(__xludf.DUMMYFUNCTION("""COMPUTED_VALUE"""),"")</f>
        <v/>
      </c>
      <c r="J525" s="6" t="str">
        <f ca="1">IFERROR(__xludf.DUMMYFUNCTION("""COMPUTED_VALUE"""),"")</f>
        <v/>
      </c>
    </row>
    <row r="526" spans="1:10" x14ac:dyDescent="0.2">
      <c r="A526" s="6" t="str">
        <f ca="1">IFERROR(__xludf.DUMMYFUNCTION("""COMPUTED_VALUE"""),"")</f>
        <v/>
      </c>
      <c r="B526" s="6" t="str">
        <f ca="1">IFERROR(__xludf.DUMMYFUNCTION("""COMPUTED_VALUE"""),"")</f>
        <v/>
      </c>
      <c r="C526" s="6" t="str">
        <f ca="1">IFERROR(__xludf.DUMMYFUNCTION("""COMPUTED_VALUE"""),"")</f>
        <v/>
      </c>
      <c r="D526" s="6" t="str">
        <f ca="1">IFERROR(__xludf.DUMMYFUNCTION("""COMPUTED_VALUE"""),"")</f>
        <v/>
      </c>
      <c r="E526" s="6" t="str">
        <f ca="1">IFERROR(__xludf.DUMMYFUNCTION("""COMPUTED_VALUE"""),"")</f>
        <v/>
      </c>
      <c r="F526" s="6" t="str">
        <f ca="1">IFERROR(__xludf.DUMMYFUNCTION("""COMPUTED_VALUE"""),"")</f>
        <v/>
      </c>
      <c r="G526" s="6" t="str">
        <f ca="1">IFERROR(__xludf.DUMMYFUNCTION("""COMPUTED_VALUE"""),"")</f>
        <v/>
      </c>
      <c r="H526" s="6" t="str">
        <f ca="1">IFERROR(__xludf.DUMMYFUNCTION("""COMPUTED_VALUE"""),"")</f>
        <v/>
      </c>
      <c r="I526" s="6" t="str">
        <f ca="1">IFERROR(__xludf.DUMMYFUNCTION("""COMPUTED_VALUE"""),"")</f>
        <v/>
      </c>
      <c r="J526" s="6" t="str">
        <f ca="1">IFERROR(__xludf.DUMMYFUNCTION("""COMPUTED_VALUE"""),"")</f>
        <v/>
      </c>
    </row>
    <row r="527" spans="1:10" x14ac:dyDescent="0.2">
      <c r="A527" s="6" t="str">
        <f ca="1">IFERROR(__xludf.DUMMYFUNCTION("""COMPUTED_VALUE"""),"")</f>
        <v/>
      </c>
      <c r="B527" s="6" t="str">
        <f ca="1">IFERROR(__xludf.DUMMYFUNCTION("""COMPUTED_VALUE"""),"")</f>
        <v/>
      </c>
      <c r="C527" s="6" t="str">
        <f ca="1">IFERROR(__xludf.DUMMYFUNCTION("""COMPUTED_VALUE"""),"")</f>
        <v/>
      </c>
      <c r="D527" s="6" t="str">
        <f ca="1">IFERROR(__xludf.DUMMYFUNCTION("""COMPUTED_VALUE"""),"")</f>
        <v/>
      </c>
      <c r="E527" s="6" t="str">
        <f ca="1">IFERROR(__xludf.DUMMYFUNCTION("""COMPUTED_VALUE"""),"")</f>
        <v/>
      </c>
      <c r="F527" s="6" t="str">
        <f ca="1">IFERROR(__xludf.DUMMYFUNCTION("""COMPUTED_VALUE"""),"")</f>
        <v/>
      </c>
      <c r="G527" s="6" t="str">
        <f ca="1">IFERROR(__xludf.DUMMYFUNCTION("""COMPUTED_VALUE"""),"")</f>
        <v/>
      </c>
      <c r="H527" s="6" t="str">
        <f ca="1">IFERROR(__xludf.DUMMYFUNCTION("""COMPUTED_VALUE"""),"")</f>
        <v/>
      </c>
      <c r="I527" s="6" t="str">
        <f ca="1">IFERROR(__xludf.DUMMYFUNCTION("""COMPUTED_VALUE"""),"")</f>
        <v/>
      </c>
      <c r="J527" s="6" t="str">
        <f ca="1">IFERROR(__xludf.DUMMYFUNCTION("""COMPUTED_VALUE"""),"")</f>
        <v/>
      </c>
    </row>
    <row r="528" spans="1:10" x14ac:dyDescent="0.2">
      <c r="A528" s="6" t="str">
        <f ca="1">IFERROR(__xludf.DUMMYFUNCTION("""COMPUTED_VALUE"""),"")</f>
        <v/>
      </c>
      <c r="B528" s="6" t="str">
        <f ca="1">IFERROR(__xludf.DUMMYFUNCTION("""COMPUTED_VALUE"""),"")</f>
        <v/>
      </c>
      <c r="C528" s="6" t="str">
        <f ca="1">IFERROR(__xludf.DUMMYFUNCTION("""COMPUTED_VALUE"""),"")</f>
        <v/>
      </c>
      <c r="D528" s="6" t="str">
        <f ca="1">IFERROR(__xludf.DUMMYFUNCTION("""COMPUTED_VALUE"""),"")</f>
        <v/>
      </c>
      <c r="E528" s="6" t="str">
        <f ca="1">IFERROR(__xludf.DUMMYFUNCTION("""COMPUTED_VALUE"""),"")</f>
        <v/>
      </c>
      <c r="F528" s="6" t="str">
        <f ca="1">IFERROR(__xludf.DUMMYFUNCTION("""COMPUTED_VALUE"""),"")</f>
        <v/>
      </c>
      <c r="G528" s="6" t="str">
        <f ca="1">IFERROR(__xludf.DUMMYFUNCTION("""COMPUTED_VALUE"""),"")</f>
        <v/>
      </c>
      <c r="H528" s="6" t="str">
        <f ca="1">IFERROR(__xludf.DUMMYFUNCTION("""COMPUTED_VALUE"""),"")</f>
        <v/>
      </c>
      <c r="I528" s="6" t="str">
        <f ca="1">IFERROR(__xludf.DUMMYFUNCTION("""COMPUTED_VALUE"""),"")</f>
        <v/>
      </c>
      <c r="J528" s="6" t="str">
        <f ca="1">IFERROR(__xludf.DUMMYFUNCTION("""COMPUTED_VALUE"""),"")</f>
        <v/>
      </c>
    </row>
    <row r="529" spans="1:10" x14ac:dyDescent="0.2">
      <c r="A529" s="6" t="str">
        <f ca="1">IFERROR(__xludf.DUMMYFUNCTION("""COMPUTED_VALUE"""),"")</f>
        <v/>
      </c>
      <c r="B529" s="6" t="str">
        <f ca="1">IFERROR(__xludf.DUMMYFUNCTION("""COMPUTED_VALUE"""),"")</f>
        <v/>
      </c>
      <c r="C529" s="6" t="str">
        <f ca="1">IFERROR(__xludf.DUMMYFUNCTION("""COMPUTED_VALUE"""),"")</f>
        <v/>
      </c>
      <c r="D529" s="6" t="str">
        <f ca="1">IFERROR(__xludf.DUMMYFUNCTION("""COMPUTED_VALUE"""),"")</f>
        <v/>
      </c>
      <c r="E529" s="6" t="str">
        <f ca="1">IFERROR(__xludf.DUMMYFUNCTION("""COMPUTED_VALUE"""),"")</f>
        <v/>
      </c>
      <c r="F529" s="6" t="str">
        <f ca="1">IFERROR(__xludf.DUMMYFUNCTION("""COMPUTED_VALUE"""),"")</f>
        <v/>
      </c>
      <c r="G529" s="6" t="str">
        <f ca="1">IFERROR(__xludf.DUMMYFUNCTION("""COMPUTED_VALUE"""),"")</f>
        <v/>
      </c>
      <c r="H529" s="6" t="str">
        <f ca="1">IFERROR(__xludf.DUMMYFUNCTION("""COMPUTED_VALUE"""),"")</f>
        <v/>
      </c>
      <c r="I529" s="6" t="str">
        <f ca="1">IFERROR(__xludf.DUMMYFUNCTION("""COMPUTED_VALUE"""),"")</f>
        <v/>
      </c>
      <c r="J529" s="6" t="str">
        <f ca="1">IFERROR(__xludf.DUMMYFUNCTION("""COMPUTED_VALUE"""),"")</f>
        <v/>
      </c>
    </row>
    <row r="530" spans="1:10" x14ac:dyDescent="0.2">
      <c r="A530" s="6" t="str">
        <f ca="1">IFERROR(__xludf.DUMMYFUNCTION("""COMPUTED_VALUE"""),"")</f>
        <v/>
      </c>
      <c r="B530" s="6" t="str">
        <f ca="1">IFERROR(__xludf.DUMMYFUNCTION("""COMPUTED_VALUE"""),"")</f>
        <v/>
      </c>
      <c r="C530" s="6" t="str">
        <f ca="1">IFERROR(__xludf.DUMMYFUNCTION("""COMPUTED_VALUE"""),"")</f>
        <v/>
      </c>
      <c r="D530" s="6" t="str">
        <f ca="1">IFERROR(__xludf.DUMMYFUNCTION("""COMPUTED_VALUE"""),"")</f>
        <v/>
      </c>
      <c r="E530" s="6" t="str">
        <f ca="1">IFERROR(__xludf.DUMMYFUNCTION("""COMPUTED_VALUE"""),"")</f>
        <v/>
      </c>
      <c r="F530" s="6" t="str">
        <f ca="1">IFERROR(__xludf.DUMMYFUNCTION("""COMPUTED_VALUE"""),"")</f>
        <v/>
      </c>
      <c r="G530" s="6" t="str">
        <f ca="1">IFERROR(__xludf.DUMMYFUNCTION("""COMPUTED_VALUE"""),"")</f>
        <v/>
      </c>
      <c r="H530" s="6" t="str">
        <f ca="1">IFERROR(__xludf.DUMMYFUNCTION("""COMPUTED_VALUE"""),"")</f>
        <v/>
      </c>
      <c r="I530" s="6" t="str">
        <f ca="1">IFERROR(__xludf.DUMMYFUNCTION("""COMPUTED_VALUE"""),"")</f>
        <v/>
      </c>
      <c r="J530" s="6" t="str">
        <f ca="1">IFERROR(__xludf.DUMMYFUNCTION("""COMPUTED_VALUE"""),"")</f>
        <v/>
      </c>
    </row>
    <row r="531" spans="1:10" x14ac:dyDescent="0.2">
      <c r="A531" s="6" t="str">
        <f ca="1">IFERROR(__xludf.DUMMYFUNCTION("""COMPUTED_VALUE"""),"")</f>
        <v/>
      </c>
      <c r="B531" s="6" t="str">
        <f ca="1">IFERROR(__xludf.DUMMYFUNCTION("""COMPUTED_VALUE"""),"")</f>
        <v/>
      </c>
      <c r="C531" s="6" t="str">
        <f ca="1">IFERROR(__xludf.DUMMYFUNCTION("""COMPUTED_VALUE"""),"")</f>
        <v/>
      </c>
      <c r="D531" s="6" t="str">
        <f ca="1">IFERROR(__xludf.DUMMYFUNCTION("""COMPUTED_VALUE"""),"")</f>
        <v/>
      </c>
      <c r="E531" s="6" t="str">
        <f ca="1">IFERROR(__xludf.DUMMYFUNCTION("""COMPUTED_VALUE"""),"")</f>
        <v/>
      </c>
      <c r="F531" s="6" t="str">
        <f ca="1">IFERROR(__xludf.DUMMYFUNCTION("""COMPUTED_VALUE"""),"")</f>
        <v/>
      </c>
      <c r="G531" s="6" t="str">
        <f ca="1">IFERROR(__xludf.DUMMYFUNCTION("""COMPUTED_VALUE"""),"")</f>
        <v/>
      </c>
      <c r="H531" s="6" t="str">
        <f ca="1">IFERROR(__xludf.DUMMYFUNCTION("""COMPUTED_VALUE"""),"")</f>
        <v/>
      </c>
      <c r="I531" s="6" t="str">
        <f ca="1">IFERROR(__xludf.DUMMYFUNCTION("""COMPUTED_VALUE"""),"")</f>
        <v/>
      </c>
      <c r="J531" s="6" t="str">
        <f ca="1">IFERROR(__xludf.DUMMYFUNCTION("""COMPUTED_VALUE"""),"")</f>
        <v/>
      </c>
    </row>
    <row r="532" spans="1:10" x14ac:dyDescent="0.2">
      <c r="A532" s="6" t="str">
        <f ca="1">IFERROR(__xludf.DUMMYFUNCTION("""COMPUTED_VALUE"""),"")</f>
        <v/>
      </c>
      <c r="B532" s="6" t="str">
        <f ca="1">IFERROR(__xludf.DUMMYFUNCTION("""COMPUTED_VALUE"""),"")</f>
        <v/>
      </c>
      <c r="C532" s="6" t="str">
        <f ca="1">IFERROR(__xludf.DUMMYFUNCTION("""COMPUTED_VALUE"""),"")</f>
        <v/>
      </c>
      <c r="D532" s="6" t="str">
        <f ca="1">IFERROR(__xludf.DUMMYFUNCTION("""COMPUTED_VALUE"""),"")</f>
        <v/>
      </c>
      <c r="E532" s="6" t="str">
        <f ca="1">IFERROR(__xludf.DUMMYFUNCTION("""COMPUTED_VALUE"""),"")</f>
        <v/>
      </c>
      <c r="F532" s="6" t="str">
        <f ca="1">IFERROR(__xludf.DUMMYFUNCTION("""COMPUTED_VALUE"""),"")</f>
        <v/>
      </c>
      <c r="G532" s="6" t="str">
        <f ca="1">IFERROR(__xludf.DUMMYFUNCTION("""COMPUTED_VALUE"""),"")</f>
        <v/>
      </c>
      <c r="H532" s="6" t="str">
        <f ca="1">IFERROR(__xludf.DUMMYFUNCTION("""COMPUTED_VALUE"""),"")</f>
        <v/>
      </c>
      <c r="I532" s="6" t="str">
        <f ca="1">IFERROR(__xludf.DUMMYFUNCTION("""COMPUTED_VALUE"""),"")</f>
        <v/>
      </c>
      <c r="J532" s="6" t="str">
        <f ca="1">IFERROR(__xludf.DUMMYFUNCTION("""COMPUTED_VALUE"""),"")</f>
        <v/>
      </c>
    </row>
    <row r="533" spans="1:10" x14ac:dyDescent="0.2">
      <c r="A533" s="6" t="str">
        <f ca="1">IFERROR(__xludf.DUMMYFUNCTION("""COMPUTED_VALUE"""),"")</f>
        <v/>
      </c>
      <c r="B533" s="6" t="str">
        <f ca="1">IFERROR(__xludf.DUMMYFUNCTION("""COMPUTED_VALUE"""),"")</f>
        <v/>
      </c>
      <c r="C533" s="6" t="str">
        <f ca="1">IFERROR(__xludf.DUMMYFUNCTION("""COMPUTED_VALUE"""),"")</f>
        <v/>
      </c>
      <c r="D533" s="6" t="str">
        <f ca="1">IFERROR(__xludf.DUMMYFUNCTION("""COMPUTED_VALUE"""),"")</f>
        <v/>
      </c>
      <c r="E533" s="6" t="str">
        <f ca="1">IFERROR(__xludf.DUMMYFUNCTION("""COMPUTED_VALUE"""),"")</f>
        <v/>
      </c>
      <c r="F533" s="6" t="str">
        <f ca="1">IFERROR(__xludf.DUMMYFUNCTION("""COMPUTED_VALUE"""),"")</f>
        <v/>
      </c>
      <c r="G533" s="6" t="str">
        <f ca="1">IFERROR(__xludf.DUMMYFUNCTION("""COMPUTED_VALUE"""),"")</f>
        <v/>
      </c>
      <c r="H533" s="6" t="str">
        <f ca="1">IFERROR(__xludf.DUMMYFUNCTION("""COMPUTED_VALUE"""),"")</f>
        <v/>
      </c>
      <c r="I533" s="6" t="str">
        <f ca="1">IFERROR(__xludf.DUMMYFUNCTION("""COMPUTED_VALUE"""),"")</f>
        <v/>
      </c>
      <c r="J533" s="6" t="str">
        <f ca="1">IFERROR(__xludf.DUMMYFUNCTION("""COMPUTED_VALUE"""),"")</f>
        <v/>
      </c>
    </row>
    <row r="534" spans="1:10" x14ac:dyDescent="0.2">
      <c r="A534" s="6" t="str">
        <f ca="1">IFERROR(__xludf.DUMMYFUNCTION("""COMPUTED_VALUE"""),"")</f>
        <v/>
      </c>
      <c r="B534" s="6" t="str">
        <f ca="1">IFERROR(__xludf.DUMMYFUNCTION("""COMPUTED_VALUE"""),"")</f>
        <v/>
      </c>
      <c r="C534" s="6" t="str">
        <f ca="1">IFERROR(__xludf.DUMMYFUNCTION("""COMPUTED_VALUE"""),"")</f>
        <v/>
      </c>
      <c r="D534" s="6" t="str">
        <f ca="1">IFERROR(__xludf.DUMMYFUNCTION("""COMPUTED_VALUE"""),"")</f>
        <v/>
      </c>
      <c r="E534" s="6" t="str">
        <f ca="1">IFERROR(__xludf.DUMMYFUNCTION("""COMPUTED_VALUE"""),"")</f>
        <v/>
      </c>
      <c r="F534" s="6" t="str">
        <f ca="1">IFERROR(__xludf.DUMMYFUNCTION("""COMPUTED_VALUE"""),"")</f>
        <v/>
      </c>
      <c r="G534" s="6" t="str">
        <f ca="1">IFERROR(__xludf.DUMMYFUNCTION("""COMPUTED_VALUE"""),"")</f>
        <v/>
      </c>
      <c r="H534" s="6" t="str">
        <f ca="1">IFERROR(__xludf.DUMMYFUNCTION("""COMPUTED_VALUE"""),"")</f>
        <v/>
      </c>
      <c r="I534" s="6" t="str">
        <f ca="1">IFERROR(__xludf.DUMMYFUNCTION("""COMPUTED_VALUE"""),"")</f>
        <v/>
      </c>
      <c r="J534" s="6" t="str">
        <f ca="1">IFERROR(__xludf.DUMMYFUNCTION("""COMPUTED_VALUE"""),"")</f>
        <v/>
      </c>
    </row>
    <row r="535" spans="1:10" x14ac:dyDescent="0.2">
      <c r="A535" s="6" t="str">
        <f ca="1">IFERROR(__xludf.DUMMYFUNCTION("""COMPUTED_VALUE"""),"")</f>
        <v/>
      </c>
      <c r="B535" s="6" t="str">
        <f ca="1">IFERROR(__xludf.DUMMYFUNCTION("""COMPUTED_VALUE"""),"")</f>
        <v/>
      </c>
      <c r="C535" s="6" t="str">
        <f ca="1">IFERROR(__xludf.DUMMYFUNCTION("""COMPUTED_VALUE"""),"")</f>
        <v/>
      </c>
      <c r="D535" s="6" t="str">
        <f ca="1">IFERROR(__xludf.DUMMYFUNCTION("""COMPUTED_VALUE"""),"")</f>
        <v/>
      </c>
      <c r="E535" s="6" t="str">
        <f ca="1">IFERROR(__xludf.DUMMYFUNCTION("""COMPUTED_VALUE"""),"")</f>
        <v/>
      </c>
      <c r="F535" s="6" t="str">
        <f ca="1">IFERROR(__xludf.DUMMYFUNCTION("""COMPUTED_VALUE"""),"")</f>
        <v/>
      </c>
      <c r="G535" s="6" t="str">
        <f ca="1">IFERROR(__xludf.DUMMYFUNCTION("""COMPUTED_VALUE"""),"")</f>
        <v/>
      </c>
      <c r="H535" s="6" t="str">
        <f ca="1">IFERROR(__xludf.DUMMYFUNCTION("""COMPUTED_VALUE"""),"")</f>
        <v/>
      </c>
      <c r="I535" s="6" t="str">
        <f ca="1">IFERROR(__xludf.DUMMYFUNCTION("""COMPUTED_VALUE"""),"")</f>
        <v/>
      </c>
      <c r="J535" s="6" t="str">
        <f ca="1">IFERROR(__xludf.DUMMYFUNCTION("""COMPUTED_VALUE"""),"")</f>
        <v/>
      </c>
    </row>
    <row r="536" spans="1:10" x14ac:dyDescent="0.2">
      <c r="A536" s="6" t="str">
        <f ca="1">IFERROR(__xludf.DUMMYFUNCTION("""COMPUTED_VALUE"""),"")</f>
        <v/>
      </c>
      <c r="B536" s="6" t="str">
        <f ca="1">IFERROR(__xludf.DUMMYFUNCTION("""COMPUTED_VALUE"""),"")</f>
        <v/>
      </c>
      <c r="C536" s="6" t="str">
        <f ca="1">IFERROR(__xludf.DUMMYFUNCTION("""COMPUTED_VALUE"""),"")</f>
        <v/>
      </c>
      <c r="D536" s="6" t="str">
        <f ca="1">IFERROR(__xludf.DUMMYFUNCTION("""COMPUTED_VALUE"""),"")</f>
        <v/>
      </c>
      <c r="E536" s="6" t="str">
        <f ca="1">IFERROR(__xludf.DUMMYFUNCTION("""COMPUTED_VALUE"""),"")</f>
        <v/>
      </c>
      <c r="F536" s="6" t="str">
        <f ca="1">IFERROR(__xludf.DUMMYFUNCTION("""COMPUTED_VALUE"""),"")</f>
        <v/>
      </c>
      <c r="G536" s="6" t="str">
        <f ca="1">IFERROR(__xludf.DUMMYFUNCTION("""COMPUTED_VALUE"""),"")</f>
        <v/>
      </c>
      <c r="H536" s="6" t="str">
        <f ca="1">IFERROR(__xludf.DUMMYFUNCTION("""COMPUTED_VALUE"""),"")</f>
        <v/>
      </c>
      <c r="I536" s="6" t="str">
        <f ca="1">IFERROR(__xludf.DUMMYFUNCTION("""COMPUTED_VALUE"""),"")</f>
        <v/>
      </c>
      <c r="J536" s="6" t="str">
        <f ca="1">IFERROR(__xludf.DUMMYFUNCTION("""COMPUTED_VALUE"""),"")</f>
        <v/>
      </c>
    </row>
    <row r="537" spans="1:10" x14ac:dyDescent="0.2">
      <c r="A537" s="6" t="str">
        <f ca="1">IFERROR(__xludf.DUMMYFUNCTION("""COMPUTED_VALUE"""),"")</f>
        <v/>
      </c>
      <c r="B537" s="6" t="str">
        <f ca="1">IFERROR(__xludf.DUMMYFUNCTION("""COMPUTED_VALUE"""),"")</f>
        <v/>
      </c>
      <c r="C537" s="6" t="str">
        <f ca="1">IFERROR(__xludf.DUMMYFUNCTION("""COMPUTED_VALUE"""),"")</f>
        <v/>
      </c>
      <c r="D537" s="6" t="str">
        <f ca="1">IFERROR(__xludf.DUMMYFUNCTION("""COMPUTED_VALUE"""),"")</f>
        <v/>
      </c>
      <c r="E537" s="6" t="str">
        <f ca="1">IFERROR(__xludf.DUMMYFUNCTION("""COMPUTED_VALUE"""),"")</f>
        <v/>
      </c>
      <c r="F537" s="6" t="str">
        <f ca="1">IFERROR(__xludf.DUMMYFUNCTION("""COMPUTED_VALUE"""),"")</f>
        <v/>
      </c>
      <c r="G537" s="6" t="str">
        <f ca="1">IFERROR(__xludf.DUMMYFUNCTION("""COMPUTED_VALUE"""),"")</f>
        <v/>
      </c>
      <c r="H537" s="6" t="str">
        <f ca="1">IFERROR(__xludf.DUMMYFUNCTION("""COMPUTED_VALUE"""),"")</f>
        <v/>
      </c>
      <c r="I537" s="6" t="str">
        <f ca="1">IFERROR(__xludf.DUMMYFUNCTION("""COMPUTED_VALUE"""),"")</f>
        <v/>
      </c>
      <c r="J537" s="6" t="str">
        <f ca="1">IFERROR(__xludf.DUMMYFUNCTION("""COMPUTED_VALUE"""),"")</f>
        <v/>
      </c>
    </row>
    <row r="538" spans="1:10" x14ac:dyDescent="0.2">
      <c r="A538" s="6" t="str">
        <f ca="1">IFERROR(__xludf.DUMMYFUNCTION("""COMPUTED_VALUE"""),"")</f>
        <v/>
      </c>
      <c r="B538" s="6" t="str">
        <f ca="1">IFERROR(__xludf.DUMMYFUNCTION("""COMPUTED_VALUE"""),"")</f>
        <v/>
      </c>
      <c r="C538" s="6" t="str">
        <f ca="1">IFERROR(__xludf.DUMMYFUNCTION("""COMPUTED_VALUE"""),"")</f>
        <v/>
      </c>
      <c r="D538" s="6" t="str">
        <f ca="1">IFERROR(__xludf.DUMMYFUNCTION("""COMPUTED_VALUE"""),"")</f>
        <v/>
      </c>
      <c r="E538" s="6" t="str">
        <f ca="1">IFERROR(__xludf.DUMMYFUNCTION("""COMPUTED_VALUE"""),"")</f>
        <v/>
      </c>
      <c r="F538" s="6" t="str">
        <f ca="1">IFERROR(__xludf.DUMMYFUNCTION("""COMPUTED_VALUE"""),"")</f>
        <v/>
      </c>
      <c r="G538" s="6" t="str">
        <f ca="1">IFERROR(__xludf.DUMMYFUNCTION("""COMPUTED_VALUE"""),"")</f>
        <v/>
      </c>
      <c r="H538" s="6" t="str">
        <f ca="1">IFERROR(__xludf.DUMMYFUNCTION("""COMPUTED_VALUE"""),"")</f>
        <v/>
      </c>
      <c r="I538" s="6" t="str">
        <f ca="1">IFERROR(__xludf.DUMMYFUNCTION("""COMPUTED_VALUE"""),"")</f>
        <v/>
      </c>
      <c r="J538" s="6" t="str">
        <f ca="1">IFERROR(__xludf.DUMMYFUNCTION("""COMPUTED_VALUE"""),"")</f>
        <v/>
      </c>
    </row>
    <row r="539" spans="1:10" x14ac:dyDescent="0.2">
      <c r="A539" s="6" t="str">
        <f ca="1">IFERROR(__xludf.DUMMYFUNCTION("""COMPUTED_VALUE"""),"")</f>
        <v/>
      </c>
      <c r="B539" s="6" t="str">
        <f ca="1">IFERROR(__xludf.DUMMYFUNCTION("""COMPUTED_VALUE"""),"")</f>
        <v/>
      </c>
      <c r="C539" s="6" t="str">
        <f ca="1">IFERROR(__xludf.DUMMYFUNCTION("""COMPUTED_VALUE"""),"")</f>
        <v/>
      </c>
      <c r="D539" s="6" t="str">
        <f ca="1">IFERROR(__xludf.DUMMYFUNCTION("""COMPUTED_VALUE"""),"")</f>
        <v/>
      </c>
      <c r="E539" s="6" t="str">
        <f ca="1">IFERROR(__xludf.DUMMYFUNCTION("""COMPUTED_VALUE"""),"")</f>
        <v/>
      </c>
      <c r="F539" s="6" t="str">
        <f ca="1">IFERROR(__xludf.DUMMYFUNCTION("""COMPUTED_VALUE"""),"")</f>
        <v/>
      </c>
      <c r="G539" s="6" t="str">
        <f ca="1">IFERROR(__xludf.DUMMYFUNCTION("""COMPUTED_VALUE"""),"")</f>
        <v/>
      </c>
      <c r="H539" s="6" t="str">
        <f ca="1">IFERROR(__xludf.DUMMYFUNCTION("""COMPUTED_VALUE"""),"")</f>
        <v/>
      </c>
      <c r="I539" s="6" t="str">
        <f ca="1">IFERROR(__xludf.DUMMYFUNCTION("""COMPUTED_VALUE"""),"")</f>
        <v/>
      </c>
      <c r="J539" s="6" t="str">
        <f ca="1">IFERROR(__xludf.DUMMYFUNCTION("""COMPUTED_VALUE"""),"")</f>
        <v/>
      </c>
    </row>
    <row r="540" spans="1:10" x14ac:dyDescent="0.2">
      <c r="A540" s="6" t="str">
        <f ca="1">IFERROR(__xludf.DUMMYFUNCTION("""COMPUTED_VALUE"""),"")</f>
        <v/>
      </c>
      <c r="B540" s="6" t="str">
        <f ca="1">IFERROR(__xludf.DUMMYFUNCTION("""COMPUTED_VALUE"""),"")</f>
        <v/>
      </c>
      <c r="C540" s="6" t="str">
        <f ca="1">IFERROR(__xludf.DUMMYFUNCTION("""COMPUTED_VALUE"""),"")</f>
        <v/>
      </c>
      <c r="D540" s="6" t="str">
        <f ca="1">IFERROR(__xludf.DUMMYFUNCTION("""COMPUTED_VALUE"""),"")</f>
        <v/>
      </c>
      <c r="E540" s="6" t="str">
        <f ca="1">IFERROR(__xludf.DUMMYFUNCTION("""COMPUTED_VALUE"""),"")</f>
        <v/>
      </c>
      <c r="F540" s="6" t="str">
        <f ca="1">IFERROR(__xludf.DUMMYFUNCTION("""COMPUTED_VALUE"""),"")</f>
        <v/>
      </c>
      <c r="G540" s="6" t="str">
        <f ca="1">IFERROR(__xludf.DUMMYFUNCTION("""COMPUTED_VALUE"""),"")</f>
        <v/>
      </c>
      <c r="H540" s="6" t="str">
        <f ca="1">IFERROR(__xludf.DUMMYFUNCTION("""COMPUTED_VALUE"""),"")</f>
        <v/>
      </c>
      <c r="I540" s="6" t="str">
        <f ca="1">IFERROR(__xludf.DUMMYFUNCTION("""COMPUTED_VALUE"""),"")</f>
        <v/>
      </c>
      <c r="J540" s="6" t="str">
        <f ca="1">IFERROR(__xludf.DUMMYFUNCTION("""COMPUTED_VALUE"""),"")</f>
        <v/>
      </c>
    </row>
    <row r="541" spans="1:10" x14ac:dyDescent="0.2">
      <c r="A541" s="6" t="str">
        <f ca="1">IFERROR(__xludf.DUMMYFUNCTION("""COMPUTED_VALUE"""),"")</f>
        <v/>
      </c>
      <c r="B541" s="6" t="str">
        <f ca="1">IFERROR(__xludf.DUMMYFUNCTION("""COMPUTED_VALUE"""),"")</f>
        <v/>
      </c>
      <c r="C541" s="6" t="str">
        <f ca="1">IFERROR(__xludf.DUMMYFUNCTION("""COMPUTED_VALUE"""),"")</f>
        <v/>
      </c>
      <c r="D541" s="6" t="str">
        <f ca="1">IFERROR(__xludf.DUMMYFUNCTION("""COMPUTED_VALUE"""),"")</f>
        <v/>
      </c>
      <c r="E541" s="6" t="str">
        <f ca="1">IFERROR(__xludf.DUMMYFUNCTION("""COMPUTED_VALUE"""),"")</f>
        <v/>
      </c>
      <c r="F541" s="6" t="str">
        <f ca="1">IFERROR(__xludf.DUMMYFUNCTION("""COMPUTED_VALUE"""),"")</f>
        <v/>
      </c>
      <c r="G541" s="6" t="str">
        <f ca="1">IFERROR(__xludf.DUMMYFUNCTION("""COMPUTED_VALUE"""),"")</f>
        <v/>
      </c>
      <c r="H541" s="6" t="str">
        <f ca="1">IFERROR(__xludf.DUMMYFUNCTION("""COMPUTED_VALUE"""),"")</f>
        <v/>
      </c>
      <c r="I541" s="6" t="str">
        <f ca="1">IFERROR(__xludf.DUMMYFUNCTION("""COMPUTED_VALUE"""),"")</f>
        <v/>
      </c>
      <c r="J541" s="6" t="str">
        <f ca="1">IFERROR(__xludf.DUMMYFUNCTION("""COMPUTED_VALUE"""),"")</f>
        <v/>
      </c>
    </row>
    <row r="542" spans="1:10" x14ac:dyDescent="0.2">
      <c r="A542" s="6" t="str">
        <f ca="1">IFERROR(__xludf.DUMMYFUNCTION("""COMPUTED_VALUE"""),"")</f>
        <v/>
      </c>
      <c r="B542" s="6" t="str">
        <f ca="1">IFERROR(__xludf.DUMMYFUNCTION("""COMPUTED_VALUE"""),"")</f>
        <v/>
      </c>
      <c r="C542" s="6" t="str">
        <f ca="1">IFERROR(__xludf.DUMMYFUNCTION("""COMPUTED_VALUE"""),"")</f>
        <v/>
      </c>
      <c r="D542" s="6" t="str">
        <f ca="1">IFERROR(__xludf.DUMMYFUNCTION("""COMPUTED_VALUE"""),"")</f>
        <v/>
      </c>
      <c r="E542" s="6" t="str">
        <f ca="1">IFERROR(__xludf.DUMMYFUNCTION("""COMPUTED_VALUE"""),"")</f>
        <v/>
      </c>
      <c r="F542" s="6" t="str">
        <f ca="1">IFERROR(__xludf.DUMMYFUNCTION("""COMPUTED_VALUE"""),"")</f>
        <v/>
      </c>
      <c r="G542" s="6" t="str">
        <f ca="1">IFERROR(__xludf.DUMMYFUNCTION("""COMPUTED_VALUE"""),"")</f>
        <v/>
      </c>
      <c r="H542" s="6" t="str">
        <f ca="1">IFERROR(__xludf.DUMMYFUNCTION("""COMPUTED_VALUE"""),"")</f>
        <v/>
      </c>
      <c r="I542" s="6" t="str">
        <f ca="1">IFERROR(__xludf.DUMMYFUNCTION("""COMPUTED_VALUE"""),"")</f>
        <v/>
      </c>
      <c r="J542" s="6" t="str">
        <f ca="1">IFERROR(__xludf.DUMMYFUNCTION("""COMPUTED_VALUE"""),"")</f>
        <v/>
      </c>
    </row>
    <row r="543" spans="1:10" x14ac:dyDescent="0.2">
      <c r="A543" s="6" t="str">
        <f ca="1">IFERROR(__xludf.DUMMYFUNCTION("""COMPUTED_VALUE"""),"")</f>
        <v/>
      </c>
      <c r="B543" s="6" t="str">
        <f ca="1">IFERROR(__xludf.DUMMYFUNCTION("""COMPUTED_VALUE"""),"")</f>
        <v/>
      </c>
      <c r="C543" s="6" t="str">
        <f ca="1">IFERROR(__xludf.DUMMYFUNCTION("""COMPUTED_VALUE"""),"")</f>
        <v/>
      </c>
      <c r="D543" s="6" t="str">
        <f ca="1">IFERROR(__xludf.DUMMYFUNCTION("""COMPUTED_VALUE"""),"")</f>
        <v/>
      </c>
      <c r="E543" s="6" t="str">
        <f ca="1">IFERROR(__xludf.DUMMYFUNCTION("""COMPUTED_VALUE"""),"")</f>
        <v/>
      </c>
      <c r="F543" s="6" t="str">
        <f ca="1">IFERROR(__xludf.DUMMYFUNCTION("""COMPUTED_VALUE"""),"")</f>
        <v/>
      </c>
      <c r="G543" s="6" t="str">
        <f ca="1">IFERROR(__xludf.DUMMYFUNCTION("""COMPUTED_VALUE"""),"")</f>
        <v/>
      </c>
      <c r="H543" s="6" t="str">
        <f ca="1">IFERROR(__xludf.DUMMYFUNCTION("""COMPUTED_VALUE"""),"")</f>
        <v/>
      </c>
      <c r="I543" s="6" t="str">
        <f ca="1">IFERROR(__xludf.DUMMYFUNCTION("""COMPUTED_VALUE"""),"")</f>
        <v/>
      </c>
      <c r="J543" s="6" t="str">
        <f ca="1">IFERROR(__xludf.DUMMYFUNCTION("""COMPUTED_VALUE"""),"")</f>
        <v/>
      </c>
    </row>
    <row r="544" spans="1:10" x14ac:dyDescent="0.2">
      <c r="A544" s="6" t="str">
        <f ca="1">IFERROR(__xludf.DUMMYFUNCTION("""COMPUTED_VALUE"""),"")</f>
        <v/>
      </c>
      <c r="B544" s="6" t="str">
        <f ca="1">IFERROR(__xludf.DUMMYFUNCTION("""COMPUTED_VALUE"""),"")</f>
        <v/>
      </c>
      <c r="C544" s="6" t="str">
        <f ca="1">IFERROR(__xludf.DUMMYFUNCTION("""COMPUTED_VALUE"""),"")</f>
        <v/>
      </c>
      <c r="D544" s="6" t="str">
        <f ca="1">IFERROR(__xludf.DUMMYFUNCTION("""COMPUTED_VALUE"""),"")</f>
        <v/>
      </c>
      <c r="E544" s="6" t="str">
        <f ca="1">IFERROR(__xludf.DUMMYFUNCTION("""COMPUTED_VALUE"""),"")</f>
        <v/>
      </c>
      <c r="F544" s="6" t="str">
        <f ca="1">IFERROR(__xludf.DUMMYFUNCTION("""COMPUTED_VALUE"""),"")</f>
        <v/>
      </c>
      <c r="G544" s="6" t="str">
        <f ca="1">IFERROR(__xludf.DUMMYFUNCTION("""COMPUTED_VALUE"""),"")</f>
        <v/>
      </c>
      <c r="H544" s="6" t="str">
        <f ca="1">IFERROR(__xludf.DUMMYFUNCTION("""COMPUTED_VALUE"""),"")</f>
        <v/>
      </c>
      <c r="I544" s="6" t="str">
        <f ca="1">IFERROR(__xludf.DUMMYFUNCTION("""COMPUTED_VALUE"""),"")</f>
        <v/>
      </c>
      <c r="J544" s="6" t="str">
        <f ca="1">IFERROR(__xludf.DUMMYFUNCTION("""COMPUTED_VALUE"""),"")</f>
        <v/>
      </c>
    </row>
    <row r="545" spans="1:10" x14ac:dyDescent="0.2">
      <c r="A545" s="6" t="str">
        <f ca="1">IFERROR(__xludf.DUMMYFUNCTION("""COMPUTED_VALUE"""),"")</f>
        <v/>
      </c>
      <c r="B545" s="6" t="str">
        <f ca="1">IFERROR(__xludf.DUMMYFUNCTION("""COMPUTED_VALUE"""),"")</f>
        <v/>
      </c>
      <c r="C545" s="6" t="str">
        <f ca="1">IFERROR(__xludf.DUMMYFUNCTION("""COMPUTED_VALUE"""),"")</f>
        <v/>
      </c>
      <c r="D545" s="6" t="str">
        <f ca="1">IFERROR(__xludf.DUMMYFUNCTION("""COMPUTED_VALUE"""),"")</f>
        <v/>
      </c>
      <c r="E545" s="6" t="str">
        <f ca="1">IFERROR(__xludf.DUMMYFUNCTION("""COMPUTED_VALUE"""),"")</f>
        <v/>
      </c>
      <c r="F545" s="6" t="str">
        <f ca="1">IFERROR(__xludf.DUMMYFUNCTION("""COMPUTED_VALUE"""),"")</f>
        <v/>
      </c>
      <c r="G545" s="6" t="str">
        <f ca="1">IFERROR(__xludf.DUMMYFUNCTION("""COMPUTED_VALUE"""),"")</f>
        <v/>
      </c>
      <c r="H545" s="6" t="str">
        <f ca="1">IFERROR(__xludf.DUMMYFUNCTION("""COMPUTED_VALUE"""),"")</f>
        <v/>
      </c>
      <c r="I545" s="6" t="str">
        <f ca="1">IFERROR(__xludf.DUMMYFUNCTION("""COMPUTED_VALUE"""),"")</f>
        <v/>
      </c>
      <c r="J545" s="6" t="str">
        <f ca="1">IFERROR(__xludf.DUMMYFUNCTION("""COMPUTED_VALUE"""),"")</f>
        <v/>
      </c>
    </row>
    <row r="546" spans="1:10" x14ac:dyDescent="0.2">
      <c r="A546" s="6" t="str">
        <f ca="1">IFERROR(__xludf.DUMMYFUNCTION("""COMPUTED_VALUE"""),"")</f>
        <v/>
      </c>
      <c r="B546" s="6" t="str">
        <f ca="1">IFERROR(__xludf.DUMMYFUNCTION("""COMPUTED_VALUE"""),"")</f>
        <v/>
      </c>
      <c r="C546" s="6" t="str">
        <f ca="1">IFERROR(__xludf.DUMMYFUNCTION("""COMPUTED_VALUE"""),"")</f>
        <v/>
      </c>
      <c r="D546" s="6" t="str">
        <f ca="1">IFERROR(__xludf.DUMMYFUNCTION("""COMPUTED_VALUE"""),"")</f>
        <v/>
      </c>
      <c r="E546" s="6" t="str">
        <f ca="1">IFERROR(__xludf.DUMMYFUNCTION("""COMPUTED_VALUE"""),"")</f>
        <v/>
      </c>
      <c r="F546" s="6" t="str">
        <f ca="1">IFERROR(__xludf.DUMMYFUNCTION("""COMPUTED_VALUE"""),"")</f>
        <v/>
      </c>
      <c r="G546" s="6" t="str">
        <f ca="1">IFERROR(__xludf.DUMMYFUNCTION("""COMPUTED_VALUE"""),"")</f>
        <v/>
      </c>
      <c r="H546" s="6" t="str">
        <f ca="1">IFERROR(__xludf.DUMMYFUNCTION("""COMPUTED_VALUE"""),"")</f>
        <v/>
      </c>
      <c r="I546" s="6" t="str">
        <f ca="1">IFERROR(__xludf.DUMMYFUNCTION("""COMPUTED_VALUE"""),"")</f>
        <v/>
      </c>
      <c r="J546" s="6" t="str">
        <f ca="1">IFERROR(__xludf.DUMMYFUNCTION("""COMPUTED_VALUE"""),"")</f>
        <v/>
      </c>
    </row>
    <row r="547" spans="1:10" x14ac:dyDescent="0.2">
      <c r="A547" s="6" t="str">
        <f ca="1">IFERROR(__xludf.DUMMYFUNCTION("""COMPUTED_VALUE"""),"")</f>
        <v/>
      </c>
      <c r="B547" s="6" t="str">
        <f ca="1">IFERROR(__xludf.DUMMYFUNCTION("""COMPUTED_VALUE"""),"")</f>
        <v/>
      </c>
      <c r="C547" s="6" t="str">
        <f ca="1">IFERROR(__xludf.DUMMYFUNCTION("""COMPUTED_VALUE"""),"")</f>
        <v/>
      </c>
      <c r="D547" s="6" t="str">
        <f ca="1">IFERROR(__xludf.DUMMYFUNCTION("""COMPUTED_VALUE"""),"")</f>
        <v/>
      </c>
      <c r="E547" s="6" t="str">
        <f ca="1">IFERROR(__xludf.DUMMYFUNCTION("""COMPUTED_VALUE"""),"")</f>
        <v/>
      </c>
      <c r="F547" s="6" t="str">
        <f ca="1">IFERROR(__xludf.DUMMYFUNCTION("""COMPUTED_VALUE"""),"")</f>
        <v/>
      </c>
      <c r="G547" s="6" t="str">
        <f ca="1">IFERROR(__xludf.DUMMYFUNCTION("""COMPUTED_VALUE"""),"")</f>
        <v/>
      </c>
      <c r="H547" s="6" t="str">
        <f ca="1">IFERROR(__xludf.DUMMYFUNCTION("""COMPUTED_VALUE"""),"")</f>
        <v/>
      </c>
      <c r="I547" s="6" t="str">
        <f ca="1">IFERROR(__xludf.DUMMYFUNCTION("""COMPUTED_VALUE"""),"")</f>
        <v/>
      </c>
      <c r="J547" s="6" t="str">
        <f ca="1">IFERROR(__xludf.DUMMYFUNCTION("""COMPUTED_VALUE"""),"")</f>
        <v/>
      </c>
    </row>
    <row r="548" spans="1:10" x14ac:dyDescent="0.2">
      <c r="A548" s="6" t="str">
        <f ca="1">IFERROR(__xludf.DUMMYFUNCTION("""COMPUTED_VALUE"""),"")</f>
        <v/>
      </c>
      <c r="B548" s="6" t="str">
        <f ca="1">IFERROR(__xludf.DUMMYFUNCTION("""COMPUTED_VALUE"""),"")</f>
        <v/>
      </c>
      <c r="C548" s="6" t="str">
        <f ca="1">IFERROR(__xludf.DUMMYFUNCTION("""COMPUTED_VALUE"""),"")</f>
        <v/>
      </c>
      <c r="D548" s="6" t="str">
        <f ca="1">IFERROR(__xludf.DUMMYFUNCTION("""COMPUTED_VALUE"""),"")</f>
        <v/>
      </c>
      <c r="E548" s="6" t="str">
        <f ca="1">IFERROR(__xludf.DUMMYFUNCTION("""COMPUTED_VALUE"""),"")</f>
        <v/>
      </c>
      <c r="F548" s="6" t="str">
        <f ca="1">IFERROR(__xludf.DUMMYFUNCTION("""COMPUTED_VALUE"""),"")</f>
        <v/>
      </c>
      <c r="G548" s="6" t="str">
        <f ca="1">IFERROR(__xludf.DUMMYFUNCTION("""COMPUTED_VALUE"""),"")</f>
        <v/>
      </c>
      <c r="H548" s="6" t="str">
        <f ca="1">IFERROR(__xludf.DUMMYFUNCTION("""COMPUTED_VALUE"""),"")</f>
        <v/>
      </c>
      <c r="I548" s="6" t="str">
        <f ca="1">IFERROR(__xludf.DUMMYFUNCTION("""COMPUTED_VALUE"""),"")</f>
        <v/>
      </c>
      <c r="J548" s="6" t="str">
        <f ca="1">IFERROR(__xludf.DUMMYFUNCTION("""COMPUTED_VALUE"""),"")</f>
        <v/>
      </c>
    </row>
    <row r="549" spans="1:10" x14ac:dyDescent="0.2">
      <c r="A549" s="6" t="str">
        <f ca="1">IFERROR(__xludf.DUMMYFUNCTION("""COMPUTED_VALUE"""),"")</f>
        <v/>
      </c>
      <c r="B549" s="6" t="str">
        <f ca="1">IFERROR(__xludf.DUMMYFUNCTION("""COMPUTED_VALUE"""),"")</f>
        <v/>
      </c>
      <c r="C549" s="6" t="str">
        <f ca="1">IFERROR(__xludf.DUMMYFUNCTION("""COMPUTED_VALUE"""),"")</f>
        <v/>
      </c>
      <c r="D549" s="6" t="str">
        <f ca="1">IFERROR(__xludf.DUMMYFUNCTION("""COMPUTED_VALUE"""),"")</f>
        <v/>
      </c>
      <c r="E549" s="6" t="str">
        <f ca="1">IFERROR(__xludf.DUMMYFUNCTION("""COMPUTED_VALUE"""),"")</f>
        <v/>
      </c>
      <c r="F549" s="6" t="str">
        <f ca="1">IFERROR(__xludf.DUMMYFUNCTION("""COMPUTED_VALUE"""),"")</f>
        <v/>
      </c>
      <c r="G549" s="6" t="str">
        <f ca="1">IFERROR(__xludf.DUMMYFUNCTION("""COMPUTED_VALUE"""),"")</f>
        <v/>
      </c>
      <c r="H549" s="6" t="str">
        <f ca="1">IFERROR(__xludf.DUMMYFUNCTION("""COMPUTED_VALUE"""),"")</f>
        <v/>
      </c>
      <c r="I549" s="6" t="str">
        <f ca="1">IFERROR(__xludf.DUMMYFUNCTION("""COMPUTED_VALUE"""),"")</f>
        <v/>
      </c>
      <c r="J549" s="6" t="str">
        <f ca="1">IFERROR(__xludf.DUMMYFUNCTION("""COMPUTED_VALUE"""),"")</f>
        <v/>
      </c>
    </row>
    <row r="550" spans="1:10" x14ac:dyDescent="0.2">
      <c r="A550" s="6" t="str">
        <f ca="1">IFERROR(__xludf.DUMMYFUNCTION("""COMPUTED_VALUE"""),"")</f>
        <v/>
      </c>
      <c r="B550" s="6" t="str">
        <f ca="1">IFERROR(__xludf.DUMMYFUNCTION("""COMPUTED_VALUE"""),"")</f>
        <v/>
      </c>
      <c r="C550" s="6" t="str">
        <f ca="1">IFERROR(__xludf.DUMMYFUNCTION("""COMPUTED_VALUE"""),"")</f>
        <v/>
      </c>
      <c r="D550" s="6" t="str">
        <f ca="1">IFERROR(__xludf.DUMMYFUNCTION("""COMPUTED_VALUE"""),"")</f>
        <v/>
      </c>
      <c r="E550" s="6" t="str">
        <f ca="1">IFERROR(__xludf.DUMMYFUNCTION("""COMPUTED_VALUE"""),"")</f>
        <v/>
      </c>
      <c r="F550" s="6" t="str">
        <f ca="1">IFERROR(__xludf.DUMMYFUNCTION("""COMPUTED_VALUE"""),"")</f>
        <v/>
      </c>
      <c r="G550" s="6" t="str">
        <f ca="1">IFERROR(__xludf.DUMMYFUNCTION("""COMPUTED_VALUE"""),"")</f>
        <v/>
      </c>
      <c r="H550" s="6" t="str">
        <f ca="1">IFERROR(__xludf.DUMMYFUNCTION("""COMPUTED_VALUE"""),"")</f>
        <v/>
      </c>
      <c r="I550" s="6" t="str">
        <f ca="1">IFERROR(__xludf.DUMMYFUNCTION("""COMPUTED_VALUE"""),"")</f>
        <v/>
      </c>
      <c r="J550" s="6" t="str">
        <f ca="1">IFERROR(__xludf.DUMMYFUNCTION("""COMPUTED_VALUE"""),"")</f>
        <v/>
      </c>
    </row>
    <row r="551" spans="1:10" x14ac:dyDescent="0.2">
      <c r="A551" s="6" t="str">
        <f ca="1">IFERROR(__xludf.DUMMYFUNCTION("""COMPUTED_VALUE"""),"")</f>
        <v/>
      </c>
      <c r="B551" s="6" t="str">
        <f ca="1">IFERROR(__xludf.DUMMYFUNCTION("""COMPUTED_VALUE"""),"")</f>
        <v/>
      </c>
      <c r="C551" s="6" t="str">
        <f ca="1">IFERROR(__xludf.DUMMYFUNCTION("""COMPUTED_VALUE"""),"")</f>
        <v/>
      </c>
      <c r="D551" s="6" t="str">
        <f ca="1">IFERROR(__xludf.DUMMYFUNCTION("""COMPUTED_VALUE"""),"")</f>
        <v/>
      </c>
      <c r="E551" s="6" t="str">
        <f ca="1">IFERROR(__xludf.DUMMYFUNCTION("""COMPUTED_VALUE"""),"")</f>
        <v/>
      </c>
      <c r="F551" s="6" t="str">
        <f ca="1">IFERROR(__xludf.DUMMYFUNCTION("""COMPUTED_VALUE"""),"")</f>
        <v/>
      </c>
      <c r="G551" s="6" t="str">
        <f ca="1">IFERROR(__xludf.DUMMYFUNCTION("""COMPUTED_VALUE"""),"")</f>
        <v/>
      </c>
      <c r="H551" s="6" t="str">
        <f ca="1">IFERROR(__xludf.DUMMYFUNCTION("""COMPUTED_VALUE"""),"")</f>
        <v/>
      </c>
      <c r="I551" s="6" t="str">
        <f ca="1">IFERROR(__xludf.DUMMYFUNCTION("""COMPUTED_VALUE"""),"")</f>
        <v/>
      </c>
      <c r="J551" s="6" t="str">
        <f ca="1">IFERROR(__xludf.DUMMYFUNCTION("""COMPUTED_VALUE"""),"")</f>
        <v/>
      </c>
    </row>
    <row r="552" spans="1:10" x14ac:dyDescent="0.2">
      <c r="A552" s="6" t="str">
        <f ca="1">IFERROR(__xludf.DUMMYFUNCTION("""COMPUTED_VALUE"""),"")</f>
        <v/>
      </c>
      <c r="B552" s="6" t="str">
        <f ca="1">IFERROR(__xludf.DUMMYFUNCTION("""COMPUTED_VALUE"""),"")</f>
        <v/>
      </c>
      <c r="C552" s="6" t="str">
        <f ca="1">IFERROR(__xludf.DUMMYFUNCTION("""COMPUTED_VALUE"""),"")</f>
        <v/>
      </c>
      <c r="D552" s="6" t="str">
        <f ca="1">IFERROR(__xludf.DUMMYFUNCTION("""COMPUTED_VALUE"""),"")</f>
        <v/>
      </c>
      <c r="E552" s="6" t="str">
        <f ca="1">IFERROR(__xludf.DUMMYFUNCTION("""COMPUTED_VALUE"""),"")</f>
        <v/>
      </c>
      <c r="F552" s="6" t="str">
        <f ca="1">IFERROR(__xludf.DUMMYFUNCTION("""COMPUTED_VALUE"""),"")</f>
        <v/>
      </c>
      <c r="G552" s="6" t="str">
        <f ca="1">IFERROR(__xludf.DUMMYFUNCTION("""COMPUTED_VALUE"""),"")</f>
        <v/>
      </c>
      <c r="H552" s="6" t="str">
        <f ca="1">IFERROR(__xludf.DUMMYFUNCTION("""COMPUTED_VALUE"""),"")</f>
        <v/>
      </c>
      <c r="I552" s="6" t="str">
        <f ca="1">IFERROR(__xludf.DUMMYFUNCTION("""COMPUTED_VALUE"""),"")</f>
        <v/>
      </c>
      <c r="J552" s="6" t="str">
        <f ca="1">IFERROR(__xludf.DUMMYFUNCTION("""COMPUTED_VALUE"""),"")</f>
        <v/>
      </c>
    </row>
    <row r="553" spans="1:10" x14ac:dyDescent="0.2">
      <c r="A553" s="6" t="str">
        <f ca="1">IFERROR(__xludf.DUMMYFUNCTION("""COMPUTED_VALUE"""),"")</f>
        <v/>
      </c>
      <c r="B553" s="6" t="str">
        <f ca="1">IFERROR(__xludf.DUMMYFUNCTION("""COMPUTED_VALUE"""),"")</f>
        <v/>
      </c>
      <c r="C553" s="6" t="str">
        <f ca="1">IFERROR(__xludf.DUMMYFUNCTION("""COMPUTED_VALUE"""),"")</f>
        <v/>
      </c>
      <c r="D553" s="6" t="str">
        <f ca="1">IFERROR(__xludf.DUMMYFUNCTION("""COMPUTED_VALUE"""),"")</f>
        <v/>
      </c>
      <c r="E553" s="6" t="str">
        <f ca="1">IFERROR(__xludf.DUMMYFUNCTION("""COMPUTED_VALUE"""),"")</f>
        <v/>
      </c>
      <c r="F553" s="6" t="str">
        <f ca="1">IFERROR(__xludf.DUMMYFUNCTION("""COMPUTED_VALUE"""),"")</f>
        <v/>
      </c>
      <c r="G553" s="6" t="str">
        <f ca="1">IFERROR(__xludf.DUMMYFUNCTION("""COMPUTED_VALUE"""),"")</f>
        <v/>
      </c>
      <c r="H553" s="6" t="str">
        <f ca="1">IFERROR(__xludf.DUMMYFUNCTION("""COMPUTED_VALUE"""),"")</f>
        <v/>
      </c>
      <c r="I553" s="6" t="str">
        <f ca="1">IFERROR(__xludf.DUMMYFUNCTION("""COMPUTED_VALUE"""),"")</f>
        <v/>
      </c>
      <c r="J553" s="6" t="str">
        <f ca="1">IFERROR(__xludf.DUMMYFUNCTION("""COMPUTED_VALUE"""),"")</f>
        <v/>
      </c>
    </row>
    <row r="554" spans="1:10" x14ac:dyDescent="0.2">
      <c r="A554" s="6" t="str">
        <f ca="1">IFERROR(__xludf.DUMMYFUNCTION("""COMPUTED_VALUE"""),"")</f>
        <v/>
      </c>
      <c r="B554" s="6" t="str">
        <f ca="1">IFERROR(__xludf.DUMMYFUNCTION("""COMPUTED_VALUE"""),"")</f>
        <v/>
      </c>
      <c r="C554" s="6" t="str">
        <f ca="1">IFERROR(__xludf.DUMMYFUNCTION("""COMPUTED_VALUE"""),"")</f>
        <v/>
      </c>
      <c r="D554" s="6" t="str">
        <f ca="1">IFERROR(__xludf.DUMMYFUNCTION("""COMPUTED_VALUE"""),"")</f>
        <v/>
      </c>
      <c r="E554" s="6" t="str">
        <f ca="1">IFERROR(__xludf.DUMMYFUNCTION("""COMPUTED_VALUE"""),"")</f>
        <v/>
      </c>
      <c r="F554" s="6" t="str">
        <f ca="1">IFERROR(__xludf.DUMMYFUNCTION("""COMPUTED_VALUE"""),"")</f>
        <v/>
      </c>
      <c r="G554" s="6" t="str">
        <f ca="1">IFERROR(__xludf.DUMMYFUNCTION("""COMPUTED_VALUE"""),"")</f>
        <v/>
      </c>
      <c r="H554" s="6" t="str">
        <f ca="1">IFERROR(__xludf.DUMMYFUNCTION("""COMPUTED_VALUE"""),"")</f>
        <v/>
      </c>
      <c r="I554" s="6" t="str">
        <f ca="1">IFERROR(__xludf.DUMMYFUNCTION("""COMPUTED_VALUE"""),"")</f>
        <v/>
      </c>
      <c r="J554" s="6" t="str">
        <f ca="1">IFERROR(__xludf.DUMMYFUNCTION("""COMPUTED_VALUE"""),"")</f>
        <v/>
      </c>
    </row>
    <row r="555" spans="1:10" x14ac:dyDescent="0.2">
      <c r="A555" s="6" t="str">
        <f ca="1">IFERROR(__xludf.DUMMYFUNCTION("""COMPUTED_VALUE"""),"")</f>
        <v/>
      </c>
      <c r="B555" s="6" t="str">
        <f ca="1">IFERROR(__xludf.DUMMYFUNCTION("""COMPUTED_VALUE"""),"")</f>
        <v/>
      </c>
      <c r="C555" s="6" t="str">
        <f ca="1">IFERROR(__xludf.DUMMYFUNCTION("""COMPUTED_VALUE"""),"")</f>
        <v/>
      </c>
      <c r="D555" s="6" t="str">
        <f ca="1">IFERROR(__xludf.DUMMYFUNCTION("""COMPUTED_VALUE"""),"")</f>
        <v/>
      </c>
      <c r="E555" s="6" t="str">
        <f ca="1">IFERROR(__xludf.DUMMYFUNCTION("""COMPUTED_VALUE"""),"")</f>
        <v/>
      </c>
      <c r="F555" s="6" t="str">
        <f ca="1">IFERROR(__xludf.DUMMYFUNCTION("""COMPUTED_VALUE"""),"")</f>
        <v/>
      </c>
      <c r="G555" s="6" t="str">
        <f ca="1">IFERROR(__xludf.DUMMYFUNCTION("""COMPUTED_VALUE"""),"")</f>
        <v/>
      </c>
      <c r="H555" s="6" t="str">
        <f ca="1">IFERROR(__xludf.DUMMYFUNCTION("""COMPUTED_VALUE"""),"")</f>
        <v/>
      </c>
      <c r="I555" s="6" t="str">
        <f ca="1">IFERROR(__xludf.DUMMYFUNCTION("""COMPUTED_VALUE"""),"")</f>
        <v/>
      </c>
      <c r="J555" s="6" t="str">
        <f ca="1">IFERROR(__xludf.DUMMYFUNCTION("""COMPUTED_VALUE"""),"")</f>
        <v/>
      </c>
    </row>
    <row r="556" spans="1:10" x14ac:dyDescent="0.2">
      <c r="A556" s="6" t="str">
        <f ca="1">IFERROR(__xludf.DUMMYFUNCTION("""COMPUTED_VALUE"""),"")</f>
        <v/>
      </c>
      <c r="B556" s="6" t="str">
        <f ca="1">IFERROR(__xludf.DUMMYFUNCTION("""COMPUTED_VALUE"""),"")</f>
        <v/>
      </c>
      <c r="C556" s="6" t="str">
        <f ca="1">IFERROR(__xludf.DUMMYFUNCTION("""COMPUTED_VALUE"""),"")</f>
        <v/>
      </c>
      <c r="D556" s="6" t="str">
        <f ca="1">IFERROR(__xludf.DUMMYFUNCTION("""COMPUTED_VALUE"""),"")</f>
        <v/>
      </c>
      <c r="E556" s="6" t="str">
        <f ca="1">IFERROR(__xludf.DUMMYFUNCTION("""COMPUTED_VALUE"""),"")</f>
        <v/>
      </c>
      <c r="F556" s="6" t="str">
        <f ca="1">IFERROR(__xludf.DUMMYFUNCTION("""COMPUTED_VALUE"""),"")</f>
        <v/>
      </c>
      <c r="G556" s="6" t="str">
        <f ca="1">IFERROR(__xludf.DUMMYFUNCTION("""COMPUTED_VALUE"""),"")</f>
        <v/>
      </c>
      <c r="H556" s="6" t="str">
        <f ca="1">IFERROR(__xludf.DUMMYFUNCTION("""COMPUTED_VALUE"""),"")</f>
        <v/>
      </c>
      <c r="I556" s="6" t="str">
        <f ca="1">IFERROR(__xludf.DUMMYFUNCTION("""COMPUTED_VALUE"""),"")</f>
        <v/>
      </c>
      <c r="J556" s="6" t="str">
        <f ca="1">IFERROR(__xludf.DUMMYFUNCTION("""COMPUTED_VALUE"""),"")</f>
        <v/>
      </c>
    </row>
    <row r="557" spans="1:10" x14ac:dyDescent="0.2">
      <c r="A557" s="6" t="str">
        <f ca="1">IFERROR(__xludf.DUMMYFUNCTION("""COMPUTED_VALUE"""),"")</f>
        <v/>
      </c>
      <c r="B557" s="6" t="str">
        <f ca="1">IFERROR(__xludf.DUMMYFUNCTION("""COMPUTED_VALUE"""),"")</f>
        <v/>
      </c>
      <c r="C557" s="6" t="str">
        <f ca="1">IFERROR(__xludf.DUMMYFUNCTION("""COMPUTED_VALUE"""),"")</f>
        <v/>
      </c>
      <c r="D557" s="6" t="str">
        <f ca="1">IFERROR(__xludf.DUMMYFUNCTION("""COMPUTED_VALUE"""),"")</f>
        <v/>
      </c>
      <c r="E557" s="6" t="str">
        <f ca="1">IFERROR(__xludf.DUMMYFUNCTION("""COMPUTED_VALUE"""),"")</f>
        <v/>
      </c>
      <c r="F557" s="6" t="str">
        <f ca="1">IFERROR(__xludf.DUMMYFUNCTION("""COMPUTED_VALUE"""),"")</f>
        <v/>
      </c>
      <c r="G557" s="6" t="str">
        <f ca="1">IFERROR(__xludf.DUMMYFUNCTION("""COMPUTED_VALUE"""),"")</f>
        <v/>
      </c>
      <c r="H557" s="6" t="str">
        <f ca="1">IFERROR(__xludf.DUMMYFUNCTION("""COMPUTED_VALUE"""),"")</f>
        <v/>
      </c>
      <c r="I557" s="6" t="str">
        <f ca="1">IFERROR(__xludf.DUMMYFUNCTION("""COMPUTED_VALUE"""),"")</f>
        <v/>
      </c>
      <c r="J557" s="6" t="str">
        <f ca="1">IFERROR(__xludf.DUMMYFUNCTION("""COMPUTED_VALUE"""),"")</f>
        <v/>
      </c>
    </row>
    <row r="558" spans="1:10" x14ac:dyDescent="0.2">
      <c r="A558" s="6" t="str">
        <f ca="1">IFERROR(__xludf.DUMMYFUNCTION("""COMPUTED_VALUE"""),"")</f>
        <v/>
      </c>
      <c r="B558" s="6" t="str">
        <f ca="1">IFERROR(__xludf.DUMMYFUNCTION("""COMPUTED_VALUE"""),"")</f>
        <v/>
      </c>
      <c r="C558" s="6" t="str">
        <f ca="1">IFERROR(__xludf.DUMMYFUNCTION("""COMPUTED_VALUE"""),"")</f>
        <v/>
      </c>
      <c r="D558" s="6" t="str">
        <f ca="1">IFERROR(__xludf.DUMMYFUNCTION("""COMPUTED_VALUE"""),"")</f>
        <v/>
      </c>
      <c r="E558" s="6" t="str">
        <f ca="1">IFERROR(__xludf.DUMMYFUNCTION("""COMPUTED_VALUE"""),"")</f>
        <v/>
      </c>
      <c r="F558" s="6" t="str">
        <f ca="1">IFERROR(__xludf.DUMMYFUNCTION("""COMPUTED_VALUE"""),"")</f>
        <v/>
      </c>
      <c r="G558" s="6" t="str">
        <f ca="1">IFERROR(__xludf.DUMMYFUNCTION("""COMPUTED_VALUE"""),"")</f>
        <v/>
      </c>
      <c r="H558" s="6" t="str">
        <f ca="1">IFERROR(__xludf.DUMMYFUNCTION("""COMPUTED_VALUE"""),"")</f>
        <v/>
      </c>
      <c r="I558" s="6" t="str">
        <f ca="1">IFERROR(__xludf.DUMMYFUNCTION("""COMPUTED_VALUE"""),"")</f>
        <v/>
      </c>
      <c r="J558" s="6" t="str">
        <f ca="1">IFERROR(__xludf.DUMMYFUNCTION("""COMPUTED_VALUE"""),"")</f>
        <v/>
      </c>
    </row>
    <row r="559" spans="1:10" x14ac:dyDescent="0.2">
      <c r="A559" s="6" t="str">
        <f ca="1">IFERROR(__xludf.DUMMYFUNCTION("""COMPUTED_VALUE"""),"")</f>
        <v/>
      </c>
      <c r="B559" s="6" t="str">
        <f ca="1">IFERROR(__xludf.DUMMYFUNCTION("""COMPUTED_VALUE"""),"")</f>
        <v/>
      </c>
      <c r="C559" s="6" t="str">
        <f ca="1">IFERROR(__xludf.DUMMYFUNCTION("""COMPUTED_VALUE"""),"")</f>
        <v/>
      </c>
      <c r="D559" s="6" t="str">
        <f ca="1">IFERROR(__xludf.DUMMYFUNCTION("""COMPUTED_VALUE"""),"")</f>
        <v/>
      </c>
      <c r="E559" s="6" t="str">
        <f ca="1">IFERROR(__xludf.DUMMYFUNCTION("""COMPUTED_VALUE"""),"")</f>
        <v/>
      </c>
      <c r="F559" s="6" t="str">
        <f ca="1">IFERROR(__xludf.DUMMYFUNCTION("""COMPUTED_VALUE"""),"")</f>
        <v/>
      </c>
      <c r="G559" s="6" t="str">
        <f ca="1">IFERROR(__xludf.DUMMYFUNCTION("""COMPUTED_VALUE"""),"")</f>
        <v/>
      </c>
      <c r="H559" s="6" t="str">
        <f ca="1">IFERROR(__xludf.DUMMYFUNCTION("""COMPUTED_VALUE"""),"")</f>
        <v/>
      </c>
      <c r="I559" s="6" t="str">
        <f ca="1">IFERROR(__xludf.DUMMYFUNCTION("""COMPUTED_VALUE"""),"")</f>
        <v/>
      </c>
      <c r="J559" s="6" t="str">
        <f ca="1">IFERROR(__xludf.DUMMYFUNCTION("""COMPUTED_VALUE"""),"")</f>
        <v/>
      </c>
    </row>
    <row r="560" spans="1:10" x14ac:dyDescent="0.2">
      <c r="A560" s="6" t="str">
        <f ca="1">IFERROR(__xludf.DUMMYFUNCTION("""COMPUTED_VALUE"""),"")</f>
        <v/>
      </c>
      <c r="B560" s="6" t="str">
        <f ca="1">IFERROR(__xludf.DUMMYFUNCTION("""COMPUTED_VALUE"""),"")</f>
        <v/>
      </c>
      <c r="C560" s="6" t="str">
        <f ca="1">IFERROR(__xludf.DUMMYFUNCTION("""COMPUTED_VALUE"""),"")</f>
        <v/>
      </c>
      <c r="D560" s="6" t="str">
        <f ca="1">IFERROR(__xludf.DUMMYFUNCTION("""COMPUTED_VALUE"""),"")</f>
        <v/>
      </c>
      <c r="E560" s="6" t="str">
        <f ca="1">IFERROR(__xludf.DUMMYFUNCTION("""COMPUTED_VALUE"""),"")</f>
        <v/>
      </c>
      <c r="F560" s="6" t="str">
        <f ca="1">IFERROR(__xludf.DUMMYFUNCTION("""COMPUTED_VALUE"""),"")</f>
        <v/>
      </c>
      <c r="G560" s="6" t="str">
        <f ca="1">IFERROR(__xludf.DUMMYFUNCTION("""COMPUTED_VALUE"""),"")</f>
        <v/>
      </c>
      <c r="H560" s="6" t="str">
        <f ca="1">IFERROR(__xludf.DUMMYFUNCTION("""COMPUTED_VALUE"""),"")</f>
        <v/>
      </c>
      <c r="I560" s="6" t="str">
        <f ca="1">IFERROR(__xludf.DUMMYFUNCTION("""COMPUTED_VALUE"""),"")</f>
        <v/>
      </c>
      <c r="J560" s="6" t="str">
        <f ca="1">IFERROR(__xludf.DUMMYFUNCTION("""COMPUTED_VALUE"""),"")</f>
        <v/>
      </c>
    </row>
    <row r="561" spans="1:10" x14ac:dyDescent="0.2">
      <c r="A561" s="6" t="str">
        <f ca="1">IFERROR(__xludf.DUMMYFUNCTION("""COMPUTED_VALUE"""),"")</f>
        <v/>
      </c>
      <c r="B561" s="6" t="str">
        <f ca="1">IFERROR(__xludf.DUMMYFUNCTION("""COMPUTED_VALUE"""),"")</f>
        <v/>
      </c>
      <c r="C561" s="6" t="str">
        <f ca="1">IFERROR(__xludf.DUMMYFUNCTION("""COMPUTED_VALUE"""),"")</f>
        <v/>
      </c>
      <c r="D561" s="6" t="str">
        <f ca="1">IFERROR(__xludf.DUMMYFUNCTION("""COMPUTED_VALUE"""),"")</f>
        <v/>
      </c>
      <c r="E561" s="6" t="str">
        <f ca="1">IFERROR(__xludf.DUMMYFUNCTION("""COMPUTED_VALUE"""),"")</f>
        <v/>
      </c>
      <c r="F561" s="6" t="str">
        <f ca="1">IFERROR(__xludf.DUMMYFUNCTION("""COMPUTED_VALUE"""),"")</f>
        <v/>
      </c>
      <c r="G561" s="6" t="str">
        <f ca="1">IFERROR(__xludf.DUMMYFUNCTION("""COMPUTED_VALUE"""),"")</f>
        <v/>
      </c>
      <c r="H561" s="6" t="str">
        <f ca="1">IFERROR(__xludf.DUMMYFUNCTION("""COMPUTED_VALUE"""),"")</f>
        <v/>
      </c>
      <c r="I561" s="6" t="str">
        <f ca="1">IFERROR(__xludf.DUMMYFUNCTION("""COMPUTED_VALUE"""),"")</f>
        <v/>
      </c>
      <c r="J561" s="6" t="str">
        <f ca="1">IFERROR(__xludf.DUMMYFUNCTION("""COMPUTED_VALUE"""),"")</f>
        <v/>
      </c>
    </row>
    <row r="562" spans="1:10" x14ac:dyDescent="0.2">
      <c r="A562" s="6" t="str">
        <f ca="1">IFERROR(__xludf.DUMMYFUNCTION("""COMPUTED_VALUE"""),"")</f>
        <v/>
      </c>
      <c r="B562" s="6" t="str">
        <f ca="1">IFERROR(__xludf.DUMMYFUNCTION("""COMPUTED_VALUE"""),"")</f>
        <v/>
      </c>
      <c r="C562" s="6" t="str">
        <f ca="1">IFERROR(__xludf.DUMMYFUNCTION("""COMPUTED_VALUE"""),"")</f>
        <v/>
      </c>
      <c r="D562" s="6" t="str">
        <f ca="1">IFERROR(__xludf.DUMMYFUNCTION("""COMPUTED_VALUE"""),"")</f>
        <v/>
      </c>
      <c r="E562" s="6" t="str">
        <f ca="1">IFERROR(__xludf.DUMMYFUNCTION("""COMPUTED_VALUE"""),"")</f>
        <v/>
      </c>
      <c r="F562" s="6" t="str">
        <f ca="1">IFERROR(__xludf.DUMMYFUNCTION("""COMPUTED_VALUE"""),"")</f>
        <v/>
      </c>
      <c r="G562" s="6" t="str">
        <f ca="1">IFERROR(__xludf.DUMMYFUNCTION("""COMPUTED_VALUE"""),"")</f>
        <v/>
      </c>
      <c r="H562" s="6" t="str">
        <f ca="1">IFERROR(__xludf.DUMMYFUNCTION("""COMPUTED_VALUE"""),"")</f>
        <v/>
      </c>
      <c r="I562" s="6" t="str">
        <f ca="1">IFERROR(__xludf.DUMMYFUNCTION("""COMPUTED_VALUE"""),"")</f>
        <v/>
      </c>
      <c r="J562" s="6" t="str">
        <f ca="1">IFERROR(__xludf.DUMMYFUNCTION("""COMPUTED_VALUE"""),"")</f>
        <v/>
      </c>
    </row>
    <row r="563" spans="1:10" x14ac:dyDescent="0.2">
      <c r="A563" s="6" t="str">
        <f ca="1">IFERROR(__xludf.DUMMYFUNCTION("""COMPUTED_VALUE"""),"")</f>
        <v/>
      </c>
      <c r="B563" s="6" t="str">
        <f ca="1">IFERROR(__xludf.DUMMYFUNCTION("""COMPUTED_VALUE"""),"")</f>
        <v/>
      </c>
      <c r="C563" s="6" t="str">
        <f ca="1">IFERROR(__xludf.DUMMYFUNCTION("""COMPUTED_VALUE"""),"")</f>
        <v/>
      </c>
      <c r="D563" s="6" t="str">
        <f ca="1">IFERROR(__xludf.DUMMYFUNCTION("""COMPUTED_VALUE"""),"")</f>
        <v/>
      </c>
      <c r="E563" s="6" t="str">
        <f ca="1">IFERROR(__xludf.DUMMYFUNCTION("""COMPUTED_VALUE"""),"")</f>
        <v/>
      </c>
      <c r="F563" s="6" t="str">
        <f ca="1">IFERROR(__xludf.DUMMYFUNCTION("""COMPUTED_VALUE"""),"")</f>
        <v/>
      </c>
      <c r="G563" s="6" t="str">
        <f ca="1">IFERROR(__xludf.DUMMYFUNCTION("""COMPUTED_VALUE"""),"")</f>
        <v/>
      </c>
      <c r="H563" s="6" t="str">
        <f ca="1">IFERROR(__xludf.DUMMYFUNCTION("""COMPUTED_VALUE"""),"")</f>
        <v/>
      </c>
      <c r="I563" s="6" t="str">
        <f ca="1">IFERROR(__xludf.DUMMYFUNCTION("""COMPUTED_VALUE"""),"")</f>
        <v/>
      </c>
      <c r="J563" s="6" t="str">
        <f ca="1">IFERROR(__xludf.DUMMYFUNCTION("""COMPUTED_VALUE"""),"")</f>
        <v/>
      </c>
    </row>
    <row r="564" spans="1:10" x14ac:dyDescent="0.2">
      <c r="A564" s="6" t="str">
        <f ca="1">IFERROR(__xludf.DUMMYFUNCTION("""COMPUTED_VALUE"""),"")</f>
        <v/>
      </c>
      <c r="B564" s="6" t="str">
        <f ca="1">IFERROR(__xludf.DUMMYFUNCTION("""COMPUTED_VALUE"""),"")</f>
        <v/>
      </c>
      <c r="C564" s="6" t="str">
        <f ca="1">IFERROR(__xludf.DUMMYFUNCTION("""COMPUTED_VALUE"""),"")</f>
        <v/>
      </c>
      <c r="D564" s="6" t="str">
        <f ca="1">IFERROR(__xludf.DUMMYFUNCTION("""COMPUTED_VALUE"""),"")</f>
        <v/>
      </c>
      <c r="E564" s="6" t="str">
        <f ca="1">IFERROR(__xludf.DUMMYFUNCTION("""COMPUTED_VALUE"""),"")</f>
        <v/>
      </c>
      <c r="F564" s="6" t="str">
        <f ca="1">IFERROR(__xludf.DUMMYFUNCTION("""COMPUTED_VALUE"""),"")</f>
        <v/>
      </c>
      <c r="G564" s="6" t="str">
        <f ca="1">IFERROR(__xludf.DUMMYFUNCTION("""COMPUTED_VALUE"""),"")</f>
        <v/>
      </c>
      <c r="H564" s="6" t="str">
        <f ca="1">IFERROR(__xludf.DUMMYFUNCTION("""COMPUTED_VALUE"""),"")</f>
        <v/>
      </c>
      <c r="I564" s="6" t="str">
        <f ca="1">IFERROR(__xludf.DUMMYFUNCTION("""COMPUTED_VALUE"""),"")</f>
        <v/>
      </c>
      <c r="J564" s="6" t="str">
        <f ca="1">IFERROR(__xludf.DUMMYFUNCTION("""COMPUTED_VALUE"""),"")</f>
        <v/>
      </c>
    </row>
    <row r="565" spans="1:10" x14ac:dyDescent="0.2">
      <c r="A565" s="6" t="str">
        <f ca="1">IFERROR(__xludf.DUMMYFUNCTION("""COMPUTED_VALUE"""),"")</f>
        <v/>
      </c>
      <c r="B565" s="6" t="str">
        <f ca="1">IFERROR(__xludf.DUMMYFUNCTION("""COMPUTED_VALUE"""),"")</f>
        <v/>
      </c>
      <c r="C565" s="6" t="str">
        <f ca="1">IFERROR(__xludf.DUMMYFUNCTION("""COMPUTED_VALUE"""),"")</f>
        <v/>
      </c>
      <c r="D565" s="6" t="str">
        <f ca="1">IFERROR(__xludf.DUMMYFUNCTION("""COMPUTED_VALUE"""),"")</f>
        <v/>
      </c>
      <c r="E565" s="6" t="str">
        <f ca="1">IFERROR(__xludf.DUMMYFUNCTION("""COMPUTED_VALUE"""),"")</f>
        <v/>
      </c>
      <c r="F565" s="6" t="str">
        <f ca="1">IFERROR(__xludf.DUMMYFUNCTION("""COMPUTED_VALUE"""),"")</f>
        <v/>
      </c>
      <c r="G565" s="6" t="str">
        <f ca="1">IFERROR(__xludf.DUMMYFUNCTION("""COMPUTED_VALUE"""),"")</f>
        <v/>
      </c>
      <c r="H565" s="6" t="str">
        <f ca="1">IFERROR(__xludf.DUMMYFUNCTION("""COMPUTED_VALUE"""),"")</f>
        <v/>
      </c>
      <c r="I565" s="6" t="str">
        <f ca="1">IFERROR(__xludf.DUMMYFUNCTION("""COMPUTED_VALUE"""),"")</f>
        <v/>
      </c>
      <c r="J565" s="6" t="str">
        <f ca="1">IFERROR(__xludf.DUMMYFUNCTION("""COMPUTED_VALUE"""),"")</f>
        <v/>
      </c>
    </row>
    <row r="566" spans="1:10" x14ac:dyDescent="0.2">
      <c r="A566" s="6" t="str">
        <f ca="1">IFERROR(__xludf.DUMMYFUNCTION("""COMPUTED_VALUE"""),"")</f>
        <v/>
      </c>
      <c r="B566" s="6" t="str">
        <f ca="1">IFERROR(__xludf.DUMMYFUNCTION("""COMPUTED_VALUE"""),"")</f>
        <v/>
      </c>
      <c r="C566" s="6" t="str">
        <f ca="1">IFERROR(__xludf.DUMMYFUNCTION("""COMPUTED_VALUE"""),"")</f>
        <v/>
      </c>
      <c r="D566" s="6" t="str">
        <f ca="1">IFERROR(__xludf.DUMMYFUNCTION("""COMPUTED_VALUE"""),"")</f>
        <v/>
      </c>
      <c r="E566" s="6" t="str">
        <f ca="1">IFERROR(__xludf.DUMMYFUNCTION("""COMPUTED_VALUE"""),"")</f>
        <v/>
      </c>
      <c r="F566" s="6" t="str">
        <f ca="1">IFERROR(__xludf.DUMMYFUNCTION("""COMPUTED_VALUE"""),"")</f>
        <v/>
      </c>
      <c r="G566" s="6" t="str">
        <f ca="1">IFERROR(__xludf.DUMMYFUNCTION("""COMPUTED_VALUE"""),"")</f>
        <v/>
      </c>
      <c r="H566" s="6" t="str">
        <f ca="1">IFERROR(__xludf.DUMMYFUNCTION("""COMPUTED_VALUE"""),"")</f>
        <v/>
      </c>
      <c r="I566" s="6" t="str">
        <f ca="1">IFERROR(__xludf.DUMMYFUNCTION("""COMPUTED_VALUE"""),"")</f>
        <v/>
      </c>
      <c r="J566" s="6" t="str">
        <f ca="1">IFERROR(__xludf.DUMMYFUNCTION("""COMPUTED_VALUE"""),"")</f>
        <v/>
      </c>
    </row>
    <row r="567" spans="1:10" x14ac:dyDescent="0.2">
      <c r="A567" s="6" t="str">
        <f ca="1">IFERROR(__xludf.DUMMYFUNCTION("""COMPUTED_VALUE"""),"")</f>
        <v/>
      </c>
      <c r="B567" s="6" t="str">
        <f ca="1">IFERROR(__xludf.DUMMYFUNCTION("""COMPUTED_VALUE"""),"")</f>
        <v/>
      </c>
      <c r="C567" s="6" t="str">
        <f ca="1">IFERROR(__xludf.DUMMYFUNCTION("""COMPUTED_VALUE"""),"")</f>
        <v/>
      </c>
      <c r="D567" s="6" t="str">
        <f ca="1">IFERROR(__xludf.DUMMYFUNCTION("""COMPUTED_VALUE"""),"")</f>
        <v/>
      </c>
      <c r="E567" s="6" t="str">
        <f ca="1">IFERROR(__xludf.DUMMYFUNCTION("""COMPUTED_VALUE"""),"")</f>
        <v/>
      </c>
      <c r="F567" s="6" t="str">
        <f ca="1">IFERROR(__xludf.DUMMYFUNCTION("""COMPUTED_VALUE"""),"")</f>
        <v/>
      </c>
      <c r="G567" s="6" t="str">
        <f ca="1">IFERROR(__xludf.DUMMYFUNCTION("""COMPUTED_VALUE"""),"")</f>
        <v/>
      </c>
      <c r="H567" s="6" t="str">
        <f ca="1">IFERROR(__xludf.DUMMYFUNCTION("""COMPUTED_VALUE"""),"")</f>
        <v/>
      </c>
      <c r="I567" s="6" t="str">
        <f ca="1">IFERROR(__xludf.DUMMYFUNCTION("""COMPUTED_VALUE"""),"")</f>
        <v/>
      </c>
      <c r="J567" s="6" t="str">
        <f ca="1">IFERROR(__xludf.DUMMYFUNCTION("""COMPUTED_VALUE"""),"")</f>
        <v/>
      </c>
    </row>
    <row r="568" spans="1:10" x14ac:dyDescent="0.2">
      <c r="A568" s="6" t="str">
        <f ca="1">IFERROR(__xludf.DUMMYFUNCTION("""COMPUTED_VALUE"""),"")</f>
        <v/>
      </c>
      <c r="B568" s="6" t="str">
        <f ca="1">IFERROR(__xludf.DUMMYFUNCTION("""COMPUTED_VALUE"""),"")</f>
        <v/>
      </c>
      <c r="C568" s="6" t="str">
        <f ca="1">IFERROR(__xludf.DUMMYFUNCTION("""COMPUTED_VALUE"""),"")</f>
        <v/>
      </c>
      <c r="D568" s="6" t="str">
        <f ca="1">IFERROR(__xludf.DUMMYFUNCTION("""COMPUTED_VALUE"""),"")</f>
        <v/>
      </c>
      <c r="E568" s="6" t="str">
        <f ca="1">IFERROR(__xludf.DUMMYFUNCTION("""COMPUTED_VALUE"""),"")</f>
        <v/>
      </c>
      <c r="F568" s="6" t="str">
        <f ca="1">IFERROR(__xludf.DUMMYFUNCTION("""COMPUTED_VALUE"""),"")</f>
        <v/>
      </c>
      <c r="G568" s="6" t="str">
        <f ca="1">IFERROR(__xludf.DUMMYFUNCTION("""COMPUTED_VALUE"""),"")</f>
        <v/>
      </c>
      <c r="H568" s="6" t="str">
        <f ca="1">IFERROR(__xludf.DUMMYFUNCTION("""COMPUTED_VALUE"""),"")</f>
        <v/>
      </c>
      <c r="I568" s="6" t="str">
        <f ca="1">IFERROR(__xludf.DUMMYFUNCTION("""COMPUTED_VALUE"""),"")</f>
        <v/>
      </c>
      <c r="J568" s="6" t="str">
        <f ca="1">IFERROR(__xludf.DUMMYFUNCTION("""COMPUTED_VALUE"""),"")</f>
        <v/>
      </c>
    </row>
    <row r="569" spans="1:10" x14ac:dyDescent="0.2">
      <c r="A569" s="6" t="str">
        <f ca="1">IFERROR(__xludf.DUMMYFUNCTION("""COMPUTED_VALUE"""),"")</f>
        <v/>
      </c>
      <c r="B569" s="6" t="str">
        <f ca="1">IFERROR(__xludf.DUMMYFUNCTION("""COMPUTED_VALUE"""),"")</f>
        <v/>
      </c>
      <c r="C569" s="6" t="str">
        <f ca="1">IFERROR(__xludf.DUMMYFUNCTION("""COMPUTED_VALUE"""),"")</f>
        <v/>
      </c>
      <c r="D569" s="6" t="str">
        <f ca="1">IFERROR(__xludf.DUMMYFUNCTION("""COMPUTED_VALUE"""),"")</f>
        <v/>
      </c>
      <c r="E569" s="6" t="str">
        <f ca="1">IFERROR(__xludf.DUMMYFUNCTION("""COMPUTED_VALUE"""),"")</f>
        <v/>
      </c>
      <c r="F569" s="6" t="str">
        <f ca="1">IFERROR(__xludf.DUMMYFUNCTION("""COMPUTED_VALUE"""),"")</f>
        <v/>
      </c>
      <c r="G569" s="6" t="str">
        <f ca="1">IFERROR(__xludf.DUMMYFUNCTION("""COMPUTED_VALUE"""),"")</f>
        <v/>
      </c>
      <c r="H569" s="6" t="str">
        <f ca="1">IFERROR(__xludf.DUMMYFUNCTION("""COMPUTED_VALUE"""),"")</f>
        <v/>
      </c>
      <c r="I569" s="6" t="str">
        <f ca="1">IFERROR(__xludf.DUMMYFUNCTION("""COMPUTED_VALUE"""),"")</f>
        <v/>
      </c>
      <c r="J569" s="6" t="str">
        <f ca="1">IFERROR(__xludf.DUMMYFUNCTION("""COMPUTED_VALUE"""),"")</f>
        <v/>
      </c>
    </row>
    <row r="570" spans="1:10" x14ac:dyDescent="0.2">
      <c r="A570" s="6" t="str">
        <f ca="1">IFERROR(__xludf.DUMMYFUNCTION("""COMPUTED_VALUE"""),"")</f>
        <v/>
      </c>
      <c r="B570" s="6" t="str">
        <f ca="1">IFERROR(__xludf.DUMMYFUNCTION("""COMPUTED_VALUE"""),"")</f>
        <v/>
      </c>
      <c r="C570" s="6" t="str">
        <f ca="1">IFERROR(__xludf.DUMMYFUNCTION("""COMPUTED_VALUE"""),"")</f>
        <v/>
      </c>
      <c r="D570" s="6" t="str">
        <f ca="1">IFERROR(__xludf.DUMMYFUNCTION("""COMPUTED_VALUE"""),"")</f>
        <v/>
      </c>
      <c r="E570" s="6" t="str">
        <f ca="1">IFERROR(__xludf.DUMMYFUNCTION("""COMPUTED_VALUE"""),"")</f>
        <v/>
      </c>
      <c r="F570" s="6" t="str">
        <f ca="1">IFERROR(__xludf.DUMMYFUNCTION("""COMPUTED_VALUE"""),"")</f>
        <v/>
      </c>
      <c r="G570" s="6" t="str">
        <f ca="1">IFERROR(__xludf.DUMMYFUNCTION("""COMPUTED_VALUE"""),"")</f>
        <v/>
      </c>
      <c r="H570" s="6" t="str">
        <f ca="1">IFERROR(__xludf.DUMMYFUNCTION("""COMPUTED_VALUE"""),"")</f>
        <v/>
      </c>
      <c r="I570" s="6" t="str">
        <f ca="1">IFERROR(__xludf.DUMMYFUNCTION("""COMPUTED_VALUE"""),"")</f>
        <v/>
      </c>
      <c r="J570" s="6" t="str">
        <f ca="1">IFERROR(__xludf.DUMMYFUNCTION("""COMPUTED_VALUE"""),"")</f>
        <v/>
      </c>
    </row>
    <row r="571" spans="1:10" x14ac:dyDescent="0.2">
      <c r="A571" s="6" t="str">
        <f ca="1">IFERROR(__xludf.DUMMYFUNCTION("""COMPUTED_VALUE"""),"")</f>
        <v/>
      </c>
      <c r="B571" s="6" t="str">
        <f ca="1">IFERROR(__xludf.DUMMYFUNCTION("""COMPUTED_VALUE"""),"")</f>
        <v/>
      </c>
      <c r="C571" s="6" t="str">
        <f ca="1">IFERROR(__xludf.DUMMYFUNCTION("""COMPUTED_VALUE"""),"")</f>
        <v/>
      </c>
      <c r="D571" s="6" t="str">
        <f ca="1">IFERROR(__xludf.DUMMYFUNCTION("""COMPUTED_VALUE"""),"")</f>
        <v/>
      </c>
      <c r="E571" s="6" t="str">
        <f ca="1">IFERROR(__xludf.DUMMYFUNCTION("""COMPUTED_VALUE"""),"")</f>
        <v/>
      </c>
      <c r="F571" s="6" t="str">
        <f ca="1">IFERROR(__xludf.DUMMYFUNCTION("""COMPUTED_VALUE"""),"")</f>
        <v/>
      </c>
      <c r="G571" s="6" t="str">
        <f ca="1">IFERROR(__xludf.DUMMYFUNCTION("""COMPUTED_VALUE"""),"")</f>
        <v/>
      </c>
      <c r="H571" s="6" t="str">
        <f ca="1">IFERROR(__xludf.DUMMYFUNCTION("""COMPUTED_VALUE"""),"")</f>
        <v/>
      </c>
      <c r="I571" s="6" t="str">
        <f ca="1">IFERROR(__xludf.DUMMYFUNCTION("""COMPUTED_VALUE"""),"")</f>
        <v/>
      </c>
      <c r="J571" s="6" t="str">
        <f ca="1">IFERROR(__xludf.DUMMYFUNCTION("""COMPUTED_VALUE"""),"")</f>
        <v/>
      </c>
    </row>
    <row r="572" spans="1:10" x14ac:dyDescent="0.2">
      <c r="A572" s="6" t="str">
        <f ca="1">IFERROR(__xludf.DUMMYFUNCTION("""COMPUTED_VALUE"""),"")</f>
        <v/>
      </c>
      <c r="B572" s="6" t="str">
        <f ca="1">IFERROR(__xludf.DUMMYFUNCTION("""COMPUTED_VALUE"""),"")</f>
        <v/>
      </c>
      <c r="C572" s="6" t="str">
        <f ca="1">IFERROR(__xludf.DUMMYFUNCTION("""COMPUTED_VALUE"""),"")</f>
        <v/>
      </c>
      <c r="D572" s="6" t="str">
        <f ca="1">IFERROR(__xludf.DUMMYFUNCTION("""COMPUTED_VALUE"""),"")</f>
        <v/>
      </c>
      <c r="E572" s="6" t="str">
        <f ca="1">IFERROR(__xludf.DUMMYFUNCTION("""COMPUTED_VALUE"""),"")</f>
        <v/>
      </c>
      <c r="F572" s="6" t="str">
        <f ca="1">IFERROR(__xludf.DUMMYFUNCTION("""COMPUTED_VALUE"""),"")</f>
        <v/>
      </c>
      <c r="G572" s="6" t="str">
        <f ca="1">IFERROR(__xludf.DUMMYFUNCTION("""COMPUTED_VALUE"""),"")</f>
        <v/>
      </c>
      <c r="H572" s="6" t="str">
        <f ca="1">IFERROR(__xludf.DUMMYFUNCTION("""COMPUTED_VALUE"""),"")</f>
        <v/>
      </c>
      <c r="I572" s="6" t="str">
        <f ca="1">IFERROR(__xludf.DUMMYFUNCTION("""COMPUTED_VALUE"""),"")</f>
        <v/>
      </c>
      <c r="J572" s="6" t="str">
        <f ca="1">IFERROR(__xludf.DUMMYFUNCTION("""COMPUTED_VALUE"""),"")</f>
        <v/>
      </c>
    </row>
    <row r="573" spans="1:10" x14ac:dyDescent="0.2">
      <c r="A573" s="6" t="str">
        <f ca="1">IFERROR(__xludf.DUMMYFUNCTION("""COMPUTED_VALUE"""),"")</f>
        <v/>
      </c>
      <c r="B573" s="6" t="str">
        <f ca="1">IFERROR(__xludf.DUMMYFUNCTION("""COMPUTED_VALUE"""),"")</f>
        <v/>
      </c>
      <c r="C573" s="6" t="str">
        <f ca="1">IFERROR(__xludf.DUMMYFUNCTION("""COMPUTED_VALUE"""),"")</f>
        <v/>
      </c>
      <c r="D573" s="6" t="str">
        <f ca="1">IFERROR(__xludf.DUMMYFUNCTION("""COMPUTED_VALUE"""),"")</f>
        <v/>
      </c>
      <c r="E573" s="6" t="str">
        <f ca="1">IFERROR(__xludf.DUMMYFUNCTION("""COMPUTED_VALUE"""),"")</f>
        <v/>
      </c>
      <c r="F573" s="6" t="str">
        <f ca="1">IFERROR(__xludf.DUMMYFUNCTION("""COMPUTED_VALUE"""),"")</f>
        <v/>
      </c>
      <c r="G573" s="6" t="str">
        <f ca="1">IFERROR(__xludf.DUMMYFUNCTION("""COMPUTED_VALUE"""),"")</f>
        <v/>
      </c>
      <c r="H573" s="6" t="str">
        <f ca="1">IFERROR(__xludf.DUMMYFUNCTION("""COMPUTED_VALUE"""),"")</f>
        <v/>
      </c>
      <c r="I573" s="6" t="str">
        <f ca="1">IFERROR(__xludf.DUMMYFUNCTION("""COMPUTED_VALUE"""),"")</f>
        <v/>
      </c>
      <c r="J573" s="6" t="str">
        <f ca="1">IFERROR(__xludf.DUMMYFUNCTION("""COMPUTED_VALUE"""),"")</f>
        <v/>
      </c>
    </row>
    <row r="574" spans="1:10" x14ac:dyDescent="0.2">
      <c r="A574" s="6" t="str">
        <f ca="1">IFERROR(__xludf.DUMMYFUNCTION("""COMPUTED_VALUE"""),"")</f>
        <v/>
      </c>
      <c r="B574" s="6" t="str">
        <f ca="1">IFERROR(__xludf.DUMMYFUNCTION("""COMPUTED_VALUE"""),"")</f>
        <v/>
      </c>
      <c r="C574" s="6" t="str">
        <f ca="1">IFERROR(__xludf.DUMMYFUNCTION("""COMPUTED_VALUE"""),"")</f>
        <v/>
      </c>
      <c r="D574" s="6" t="str">
        <f ca="1">IFERROR(__xludf.DUMMYFUNCTION("""COMPUTED_VALUE"""),"")</f>
        <v/>
      </c>
      <c r="E574" s="6" t="str">
        <f ca="1">IFERROR(__xludf.DUMMYFUNCTION("""COMPUTED_VALUE"""),"")</f>
        <v/>
      </c>
      <c r="F574" s="6" t="str">
        <f ca="1">IFERROR(__xludf.DUMMYFUNCTION("""COMPUTED_VALUE"""),"")</f>
        <v/>
      </c>
      <c r="G574" s="6" t="str">
        <f ca="1">IFERROR(__xludf.DUMMYFUNCTION("""COMPUTED_VALUE"""),"")</f>
        <v/>
      </c>
      <c r="H574" s="6" t="str">
        <f ca="1">IFERROR(__xludf.DUMMYFUNCTION("""COMPUTED_VALUE"""),"")</f>
        <v/>
      </c>
      <c r="I574" s="6" t="str">
        <f ca="1">IFERROR(__xludf.DUMMYFUNCTION("""COMPUTED_VALUE"""),"")</f>
        <v/>
      </c>
      <c r="J574" s="6" t="str">
        <f ca="1">IFERROR(__xludf.DUMMYFUNCTION("""COMPUTED_VALUE"""),"")</f>
        <v/>
      </c>
    </row>
    <row r="575" spans="1:10" x14ac:dyDescent="0.2">
      <c r="A575" s="6" t="str">
        <f ca="1">IFERROR(__xludf.DUMMYFUNCTION("""COMPUTED_VALUE"""),"")</f>
        <v/>
      </c>
      <c r="B575" s="6" t="str">
        <f ca="1">IFERROR(__xludf.DUMMYFUNCTION("""COMPUTED_VALUE"""),"")</f>
        <v/>
      </c>
      <c r="C575" s="6" t="str">
        <f ca="1">IFERROR(__xludf.DUMMYFUNCTION("""COMPUTED_VALUE"""),"")</f>
        <v/>
      </c>
      <c r="D575" s="6" t="str">
        <f ca="1">IFERROR(__xludf.DUMMYFUNCTION("""COMPUTED_VALUE"""),"")</f>
        <v/>
      </c>
      <c r="E575" s="6" t="str">
        <f ca="1">IFERROR(__xludf.DUMMYFUNCTION("""COMPUTED_VALUE"""),"")</f>
        <v/>
      </c>
      <c r="F575" s="6" t="str">
        <f ca="1">IFERROR(__xludf.DUMMYFUNCTION("""COMPUTED_VALUE"""),"")</f>
        <v/>
      </c>
      <c r="G575" s="6" t="str">
        <f ca="1">IFERROR(__xludf.DUMMYFUNCTION("""COMPUTED_VALUE"""),"")</f>
        <v/>
      </c>
      <c r="H575" s="6" t="str">
        <f ca="1">IFERROR(__xludf.DUMMYFUNCTION("""COMPUTED_VALUE"""),"")</f>
        <v/>
      </c>
      <c r="I575" s="6" t="str">
        <f ca="1">IFERROR(__xludf.DUMMYFUNCTION("""COMPUTED_VALUE"""),"")</f>
        <v/>
      </c>
      <c r="J575" s="6" t="str">
        <f ca="1">IFERROR(__xludf.DUMMYFUNCTION("""COMPUTED_VALUE"""),"")</f>
        <v/>
      </c>
    </row>
    <row r="576" spans="1:10" x14ac:dyDescent="0.2">
      <c r="A576" s="6" t="str">
        <f ca="1">IFERROR(__xludf.DUMMYFUNCTION("""COMPUTED_VALUE"""),"")</f>
        <v/>
      </c>
      <c r="B576" s="6" t="str">
        <f ca="1">IFERROR(__xludf.DUMMYFUNCTION("""COMPUTED_VALUE"""),"")</f>
        <v/>
      </c>
      <c r="C576" s="6" t="str">
        <f ca="1">IFERROR(__xludf.DUMMYFUNCTION("""COMPUTED_VALUE"""),"")</f>
        <v/>
      </c>
      <c r="D576" s="6" t="str">
        <f ca="1">IFERROR(__xludf.DUMMYFUNCTION("""COMPUTED_VALUE"""),"")</f>
        <v/>
      </c>
      <c r="E576" s="6" t="str">
        <f ca="1">IFERROR(__xludf.DUMMYFUNCTION("""COMPUTED_VALUE"""),"")</f>
        <v/>
      </c>
      <c r="F576" s="6" t="str">
        <f ca="1">IFERROR(__xludf.DUMMYFUNCTION("""COMPUTED_VALUE"""),"")</f>
        <v/>
      </c>
      <c r="G576" s="6" t="str">
        <f ca="1">IFERROR(__xludf.DUMMYFUNCTION("""COMPUTED_VALUE"""),"")</f>
        <v/>
      </c>
      <c r="H576" s="6" t="str">
        <f ca="1">IFERROR(__xludf.DUMMYFUNCTION("""COMPUTED_VALUE"""),"")</f>
        <v/>
      </c>
      <c r="I576" s="6" t="str">
        <f ca="1">IFERROR(__xludf.DUMMYFUNCTION("""COMPUTED_VALUE"""),"")</f>
        <v/>
      </c>
      <c r="J576" s="6" t="str">
        <f ca="1">IFERROR(__xludf.DUMMYFUNCTION("""COMPUTED_VALUE"""),"")</f>
        <v/>
      </c>
    </row>
    <row r="577" spans="1:10" x14ac:dyDescent="0.2">
      <c r="A577" s="6" t="str">
        <f ca="1">IFERROR(__xludf.DUMMYFUNCTION("""COMPUTED_VALUE"""),"")</f>
        <v/>
      </c>
      <c r="B577" s="6" t="str">
        <f ca="1">IFERROR(__xludf.DUMMYFUNCTION("""COMPUTED_VALUE"""),"")</f>
        <v/>
      </c>
      <c r="C577" s="6" t="str">
        <f ca="1">IFERROR(__xludf.DUMMYFUNCTION("""COMPUTED_VALUE"""),"")</f>
        <v/>
      </c>
      <c r="D577" s="6" t="str">
        <f ca="1">IFERROR(__xludf.DUMMYFUNCTION("""COMPUTED_VALUE"""),"")</f>
        <v/>
      </c>
      <c r="E577" s="6" t="str">
        <f ca="1">IFERROR(__xludf.DUMMYFUNCTION("""COMPUTED_VALUE"""),"")</f>
        <v/>
      </c>
      <c r="F577" s="6" t="str">
        <f ca="1">IFERROR(__xludf.DUMMYFUNCTION("""COMPUTED_VALUE"""),"")</f>
        <v/>
      </c>
      <c r="G577" s="6" t="str">
        <f ca="1">IFERROR(__xludf.DUMMYFUNCTION("""COMPUTED_VALUE"""),"")</f>
        <v/>
      </c>
      <c r="H577" s="6" t="str">
        <f ca="1">IFERROR(__xludf.DUMMYFUNCTION("""COMPUTED_VALUE"""),"")</f>
        <v/>
      </c>
      <c r="I577" s="6" t="str">
        <f ca="1">IFERROR(__xludf.DUMMYFUNCTION("""COMPUTED_VALUE"""),"")</f>
        <v/>
      </c>
      <c r="J577" s="6" t="str">
        <f ca="1">IFERROR(__xludf.DUMMYFUNCTION("""COMPUTED_VALUE"""),"")</f>
        <v/>
      </c>
    </row>
    <row r="578" spans="1:10" x14ac:dyDescent="0.2">
      <c r="A578" s="6" t="str">
        <f ca="1">IFERROR(__xludf.DUMMYFUNCTION("""COMPUTED_VALUE"""),"")</f>
        <v/>
      </c>
      <c r="B578" s="6" t="str">
        <f ca="1">IFERROR(__xludf.DUMMYFUNCTION("""COMPUTED_VALUE"""),"")</f>
        <v/>
      </c>
      <c r="C578" s="6" t="str">
        <f ca="1">IFERROR(__xludf.DUMMYFUNCTION("""COMPUTED_VALUE"""),"")</f>
        <v/>
      </c>
      <c r="D578" s="6" t="str">
        <f ca="1">IFERROR(__xludf.DUMMYFUNCTION("""COMPUTED_VALUE"""),"")</f>
        <v/>
      </c>
      <c r="E578" s="6" t="str">
        <f ca="1">IFERROR(__xludf.DUMMYFUNCTION("""COMPUTED_VALUE"""),"")</f>
        <v/>
      </c>
      <c r="F578" s="6" t="str">
        <f ca="1">IFERROR(__xludf.DUMMYFUNCTION("""COMPUTED_VALUE"""),"")</f>
        <v/>
      </c>
      <c r="G578" s="6" t="str">
        <f ca="1">IFERROR(__xludf.DUMMYFUNCTION("""COMPUTED_VALUE"""),"")</f>
        <v/>
      </c>
      <c r="H578" s="6" t="str">
        <f ca="1">IFERROR(__xludf.DUMMYFUNCTION("""COMPUTED_VALUE"""),"")</f>
        <v/>
      </c>
      <c r="I578" s="6" t="str">
        <f ca="1">IFERROR(__xludf.DUMMYFUNCTION("""COMPUTED_VALUE"""),"")</f>
        <v/>
      </c>
      <c r="J578" s="6" t="str">
        <f ca="1">IFERROR(__xludf.DUMMYFUNCTION("""COMPUTED_VALUE"""),"")</f>
        <v/>
      </c>
    </row>
    <row r="579" spans="1:10" x14ac:dyDescent="0.2">
      <c r="A579" s="6" t="str">
        <f ca="1">IFERROR(__xludf.DUMMYFUNCTION("""COMPUTED_VALUE"""),"")</f>
        <v/>
      </c>
      <c r="B579" s="6" t="str">
        <f ca="1">IFERROR(__xludf.DUMMYFUNCTION("""COMPUTED_VALUE"""),"")</f>
        <v/>
      </c>
      <c r="C579" s="6" t="str">
        <f ca="1">IFERROR(__xludf.DUMMYFUNCTION("""COMPUTED_VALUE"""),"")</f>
        <v/>
      </c>
      <c r="D579" s="6" t="str">
        <f ca="1">IFERROR(__xludf.DUMMYFUNCTION("""COMPUTED_VALUE"""),"")</f>
        <v/>
      </c>
      <c r="E579" s="6" t="str">
        <f ca="1">IFERROR(__xludf.DUMMYFUNCTION("""COMPUTED_VALUE"""),"")</f>
        <v/>
      </c>
      <c r="F579" s="6" t="str">
        <f ca="1">IFERROR(__xludf.DUMMYFUNCTION("""COMPUTED_VALUE"""),"")</f>
        <v/>
      </c>
      <c r="G579" s="6" t="str">
        <f ca="1">IFERROR(__xludf.DUMMYFUNCTION("""COMPUTED_VALUE"""),"")</f>
        <v/>
      </c>
      <c r="H579" s="6" t="str">
        <f ca="1">IFERROR(__xludf.DUMMYFUNCTION("""COMPUTED_VALUE"""),"")</f>
        <v/>
      </c>
      <c r="I579" s="6" t="str">
        <f ca="1">IFERROR(__xludf.DUMMYFUNCTION("""COMPUTED_VALUE"""),"")</f>
        <v/>
      </c>
      <c r="J579" s="6" t="str">
        <f ca="1">IFERROR(__xludf.DUMMYFUNCTION("""COMPUTED_VALUE"""),"")</f>
        <v/>
      </c>
    </row>
    <row r="580" spans="1:10" x14ac:dyDescent="0.2">
      <c r="A580" s="6" t="str">
        <f ca="1">IFERROR(__xludf.DUMMYFUNCTION("""COMPUTED_VALUE"""),"")</f>
        <v/>
      </c>
      <c r="B580" s="6" t="str">
        <f ca="1">IFERROR(__xludf.DUMMYFUNCTION("""COMPUTED_VALUE"""),"")</f>
        <v/>
      </c>
      <c r="C580" s="6" t="str">
        <f ca="1">IFERROR(__xludf.DUMMYFUNCTION("""COMPUTED_VALUE"""),"")</f>
        <v/>
      </c>
      <c r="D580" s="6" t="str">
        <f ca="1">IFERROR(__xludf.DUMMYFUNCTION("""COMPUTED_VALUE"""),"")</f>
        <v/>
      </c>
      <c r="E580" s="6" t="str">
        <f ca="1">IFERROR(__xludf.DUMMYFUNCTION("""COMPUTED_VALUE"""),"")</f>
        <v/>
      </c>
      <c r="F580" s="6" t="str">
        <f ca="1">IFERROR(__xludf.DUMMYFUNCTION("""COMPUTED_VALUE"""),"")</f>
        <v/>
      </c>
      <c r="G580" s="6" t="str">
        <f ca="1">IFERROR(__xludf.DUMMYFUNCTION("""COMPUTED_VALUE"""),"")</f>
        <v/>
      </c>
      <c r="H580" s="6" t="str">
        <f ca="1">IFERROR(__xludf.DUMMYFUNCTION("""COMPUTED_VALUE"""),"")</f>
        <v/>
      </c>
      <c r="I580" s="6" t="str">
        <f ca="1">IFERROR(__xludf.DUMMYFUNCTION("""COMPUTED_VALUE"""),"")</f>
        <v/>
      </c>
      <c r="J580" s="6" t="str">
        <f ca="1">IFERROR(__xludf.DUMMYFUNCTION("""COMPUTED_VALUE"""),"")</f>
        <v/>
      </c>
    </row>
    <row r="581" spans="1:10" x14ac:dyDescent="0.2">
      <c r="A581" s="6" t="str">
        <f ca="1">IFERROR(__xludf.DUMMYFUNCTION("""COMPUTED_VALUE"""),"")</f>
        <v/>
      </c>
      <c r="B581" s="6" t="str">
        <f ca="1">IFERROR(__xludf.DUMMYFUNCTION("""COMPUTED_VALUE"""),"")</f>
        <v/>
      </c>
      <c r="C581" s="6" t="str">
        <f ca="1">IFERROR(__xludf.DUMMYFUNCTION("""COMPUTED_VALUE"""),"")</f>
        <v/>
      </c>
      <c r="D581" s="6" t="str">
        <f ca="1">IFERROR(__xludf.DUMMYFUNCTION("""COMPUTED_VALUE"""),"")</f>
        <v/>
      </c>
      <c r="E581" s="6" t="str">
        <f ca="1">IFERROR(__xludf.DUMMYFUNCTION("""COMPUTED_VALUE"""),"")</f>
        <v/>
      </c>
      <c r="F581" s="6" t="str">
        <f ca="1">IFERROR(__xludf.DUMMYFUNCTION("""COMPUTED_VALUE"""),"")</f>
        <v/>
      </c>
      <c r="G581" s="6" t="str">
        <f ca="1">IFERROR(__xludf.DUMMYFUNCTION("""COMPUTED_VALUE"""),"")</f>
        <v/>
      </c>
      <c r="H581" s="6" t="str">
        <f ca="1">IFERROR(__xludf.DUMMYFUNCTION("""COMPUTED_VALUE"""),"")</f>
        <v/>
      </c>
      <c r="I581" s="6" t="str">
        <f ca="1">IFERROR(__xludf.DUMMYFUNCTION("""COMPUTED_VALUE"""),"")</f>
        <v/>
      </c>
      <c r="J581" s="6" t="str">
        <f ca="1">IFERROR(__xludf.DUMMYFUNCTION("""COMPUTED_VALUE"""),"")</f>
        <v/>
      </c>
    </row>
    <row r="582" spans="1:10" x14ac:dyDescent="0.2">
      <c r="A582" s="6" t="str">
        <f ca="1">IFERROR(__xludf.DUMMYFUNCTION("""COMPUTED_VALUE"""),"")</f>
        <v/>
      </c>
      <c r="B582" s="6" t="str">
        <f ca="1">IFERROR(__xludf.DUMMYFUNCTION("""COMPUTED_VALUE"""),"")</f>
        <v/>
      </c>
      <c r="C582" s="6" t="str">
        <f ca="1">IFERROR(__xludf.DUMMYFUNCTION("""COMPUTED_VALUE"""),"")</f>
        <v/>
      </c>
      <c r="D582" s="6" t="str">
        <f ca="1">IFERROR(__xludf.DUMMYFUNCTION("""COMPUTED_VALUE"""),"")</f>
        <v/>
      </c>
      <c r="E582" s="6" t="str">
        <f ca="1">IFERROR(__xludf.DUMMYFUNCTION("""COMPUTED_VALUE"""),"")</f>
        <v/>
      </c>
      <c r="F582" s="6" t="str">
        <f ca="1">IFERROR(__xludf.DUMMYFUNCTION("""COMPUTED_VALUE"""),"")</f>
        <v/>
      </c>
      <c r="G582" s="6" t="str">
        <f ca="1">IFERROR(__xludf.DUMMYFUNCTION("""COMPUTED_VALUE"""),"")</f>
        <v/>
      </c>
      <c r="H582" s="6" t="str">
        <f ca="1">IFERROR(__xludf.DUMMYFUNCTION("""COMPUTED_VALUE"""),"")</f>
        <v/>
      </c>
      <c r="I582" s="6" t="str">
        <f ca="1">IFERROR(__xludf.DUMMYFUNCTION("""COMPUTED_VALUE"""),"")</f>
        <v/>
      </c>
      <c r="J582" s="6" t="str">
        <f ca="1">IFERROR(__xludf.DUMMYFUNCTION("""COMPUTED_VALUE"""),"")</f>
        <v/>
      </c>
    </row>
    <row r="583" spans="1:10" x14ac:dyDescent="0.2">
      <c r="A583" s="6" t="str">
        <f ca="1">IFERROR(__xludf.DUMMYFUNCTION("""COMPUTED_VALUE"""),"")</f>
        <v/>
      </c>
      <c r="B583" s="6" t="str">
        <f ca="1">IFERROR(__xludf.DUMMYFUNCTION("""COMPUTED_VALUE"""),"")</f>
        <v/>
      </c>
      <c r="C583" s="6" t="str">
        <f ca="1">IFERROR(__xludf.DUMMYFUNCTION("""COMPUTED_VALUE"""),"")</f>
        <v/>
      </c>
      <c r="D583" s="6" t="str">
        <f ca="1">IFERROR(__xludf.DUMMYFUNCTION("""COMPUTED_VALUE"""),"")</f>
        <v/>
      </c>
      <c r="E583" s="6" t="str">
        <f ca="1">IFERROR(__xludf.DUMMYFUNCTION("""COMPUTED_VALUE"""),"")</f>
        <v/>
      </c>
      <c r="F583" s="6" t="str">
        <f ca="1">IFERROR(__xludf.DUMMYFUNCTION("""COMPUTED_VALUE"""),"")</f>
        <v/>
      </c>
      <c r="G583" s="6" t="str">
        <f ca="1">IFERROR(__xludf.DUMMYFUNCTION("""COMPUTED_VALUE"""),"")</f>
        <v/>
      </c>
      <c r="H583" s="6" t="str">
        <f ca="1">IFERROR(__xludf.DUMMYFUNCTION("""COMPUTED_VALUE"""),"")</f>
        <v/>
      </c>
      <c r="I583" s="6" t="str">
        <f ca="1">IFERROR(__xludf.DUMMYFUNCTION("""COMPUTED_VALUE"""),"")</f>
        <v/>
      </c>
      <c r="J583" s="6" t="str">
        <f ca="1">IFERROR(__xludf.DUMMYFUNCTION("""COMPUTED_VALUE"""),"")</f>
        <v/>
      </c>
    </row>
    <row r="584" spans="1:10" x14ac:dyDescent="0.2">
      <c r="A584" s="6" t="str">
        <f ca="1">IFERROR(__xludf.DUMMYFUNCTION("""COMPUTED_VALUE"""),"")</f>
        <v/>
      </c>
      <c r="B584" s="6" t="str">
        <f ca="1">IFERROR(__xludf.DUMMYFUNCTION("""COMPUTED_VALUE"""),"")</f>
        <v/>
      </c>
      <c r="C584" s="6" t="str">
        <f ca="1">IFERROR(__xludf.DUMMYFUNCTION("""COMPUTED_VALUE"""),"")</f>
        <v/>
      </c>
      <c r="D584" s="6" t="str">
        <f ca="1">IFERROR(__xludf.DUMMYFUNCTION("""COMPUTED_VALUE"""),"")</f>
        <v/>
      </c>
      <c r="E584" s="6" t="str">
        <f ca="1">IFERROR(__xludf.DUMMYFUNCTION("""COMPUTED_VALUE"""),"")</f>
        <v/>
      </c>
      <c r="F584" s="6" t="str">
        <f ca="1">IFERROR(__xludf.DUMMYFUNCTION("""COMPUTED_VALUE"""),"")</f>
        <v/>
      </c>
      <c r="G584" s="6" t="str">
        <f ca="1">IFERROR(__xludf.DUMMYFUNCTION("""COMPUTED_VALUE"""),"")</f>
        <v/>
      </c>
      <c r="H584" s="6" t="str">
        <f ca="1">IFERROR(__xludf.DUMMYFUNCTION("""COMPUTED_VALUE"""),"")</f>
        <v/>
      </c>
      <c r="I584" s="6" t="str">
        <f ca="1">IFERROR(__xludf.DUMMYFUNCTION("""COMPUTED_VALUE"""),"")</f>
        <v/>
      </c>
      <c r="J584" s="6" t="str">
        <f ca="1">IFERROR(__xludf.DUMMYFUNCTION("""COMPUTED_VALUE"""),"")</f>
        <v/>
      </c>
    </row>
    <row r="585" spans="1:10" x14ac:dyDescent="0.2">
      <c r="A585" s="6" t="str">
        <f ca="1">IFERROR(__xludf.DUMMYFUNCTION("""COMPUTED_VALUE"""),"")</f>
        <v/>
      </c>
      <c r="B585" s="6" t="str">
        <f ca="1">IFERROR(__xludf.DUMMYFUNCTION("""COMPUTED_VALUE"""),"")</f>
        <v/>
      </c>
      <c r="C585" s="6" t="str">
        <f ca="1">IFERROR(__xludf.DUMMYFUNCTION("""COMPUTED_VALUE"""),"")</f>
        <v/>
      </c>
      <c r="D585" s="6" t="str">
        <f ca="1">IFERROR(__xludf.DUMMYFUNCTION("""COMPUTED_VALUE"""),"")</f>
        <v/>
      </c>
      <c r="E585" s="6" t="str">
        <f ca="1">IFERROR(__xludf.DUMMYFUNCTION("""COMPUTED_VALUE"""),"")</f>
        <v/>
      </c>
      <c r="F585" s="6" t="str">
        <f ca="1">IFERROR(__xludf.DUMMYFUNCTION("""COMPUTED_VALUE"""),"")</f>
        <v/>
      </c>
      <c r="G585" s="6" t="str">
        <f ca="1">IFERROR(__xludf.DUMMYFUNCTION("""COMPUTED_VALUE"""),"")</f>
        <v/>
      </c>
      <c r="H585" s="6" t="str">
        <f ca="1">IFERROR(__xludf.DUMMYFUNCTION("""COMPUTED_VALUE"""),"")</f>
        <v/>
      </c>
      <c r="I585" s="6" t="str">
        <f ca="1">IFERROR(__xludf.DUMMYFUNCTION("""COMPUTED_VALUE"""),"")</f>
        <v/>
      </c>
      <c r="J585" s="6" t="str">
        <f ca="1">IFERROR(__xludf.DUMMYFUNCTION("""COMPUTED_VALUE"""),"")</f>
        <v/>
      </c>
    </row>
    <row r="586" spans="1:10" x14ac:dyDescent="0.2">
      <c r="A586" s="6" t="str">
        <f ca="1">IFERROR(__xludf.DUMMYFUNCTION("""COMPUTED_VALUE"""),"")</f>
        <v/>
      </c>
      <c r="B586" s="6" t="str">
        <f ca="1">IFERROR(__xludf.DUMMYFUNCTION("""COMPUTED_VALUE"""),"")</f>
        <v/>
      </c>
      <c r="C586" s="6" t="str">
        <f ca="1">IFERROR(__xludf.DUMMYFUNCTION("""COMPUTED_VALUE"""),"")</f>
        <v/>
      </c>
      <c r="D586" s="6" t="str">
        <f ca="1">IFERROR(__xludf.DUMMYFUNCTION("""COMPUTED_VALUE"""),"")</f>
        <v/>
      </c>
      <c r="E586" s="6" t="str">
        <f ca="1">IFERROR(__xludf.DUMMYFUNCTION("""COMPUTED_VALUE"""),"")</f>
        <v/>
      </c>
      <c r="F586" s="6" t="str">
        <f ca="1">IFERROR(__xludf.DUMMYFUNCTION("""COMPUTED_VALUE"""),"")</f>
        <v/>
      </c>
      <c r="G586" s="6" t="str">
        <f ca="1">IFERROR(__xludf.DUMMYFUNCTION("""COMPUTED_VALUE"""),"")</f>
        <v/>
      </c>
      <c r="H586" s="6" t="str">
        <f ca="1">IFERROR(__xludf.DUMMYFUNCTION("""COMPUTED_VALUE"""),"")</f>
        <v/>
      </c>
      <c r="I586" s="6" t="str">
        <f ca="1">IFERROR(__xludf.DUMMYFUNCTION("""COMPUTED_VALUE"""),"")</f>
        <v/>
      </c>
      <c r="J586" s="6" t="str">
        <f ca="1">IFERROR(__xludf.DUMMYFUNCTION("""COMPUTED_VALUE"""),"")</f>
        <v/>
      </c>
    </row>
    <row r="587" spans="1:10" x14ac:dyDescent="0.2">
      <c r="A587" s="6" t="str">
        <f ca="1">IFERROR(__xludf.DUMMYFUNCTION("""COMPUTED_VALUE"""),"")</f>
        <v/>
      </c>
      <c r="B587" s="6" t="str">
        <f ca="1">IFERROR(__xludf.DUMMYFUNCTION("""COMPUTED_VALUE"""),"")</f>
        <v/>
      </c>
      <c r="C587" s="6" t="str">
        <f ca="1">IFERROR(__xludf.DUMMYFUNCTION("""COMPUTED_VALUE"""),"")</f>
        <v/>
      </c>
      <c r="D587" s="6" t="str">
        <f ca="1">IFERROR(__xludf.DUMMYFUNCTION("""COMPUTED_VALUE"""),"")</f>
        <v/>
      </c>
      <c r="E587" s="6" t="str">
        <f ca="1">IFERROR(__xludf.DUMMYFUNCTION("""COMPUTED_VALUE"""),"")</f>
        <v/>
      </c>
      <c r="F587" s="6" t="str">
        <f ca="1">IFERROR(__xludf.DUMMYFUNCTION("""COMPUTED_VALUE"""),"")</f>
        <v/>
      </c>
      <c r="G587" s="6" t="str">
        <f ca="1">IFERROR(__xludf.DUMMYFUNCTION("""COMPUTED_VALUE"""),"")</f>
        <v/>
      </c>
      <c r="H587" s="6" t="str">
        <f ca="1">IFERROR(__xludf.DUMMYFUNCTION("""COMPUTED_VALUE"""),"")</f>
        <v/>
      </c>
      <c r="I587" s="6" t="str">
        <f ca="1">IFERROR(__xludf.DUMMYFUNCTION("""COMPUTED_VALUE"""),"")</f>
        <v/>
      </c>
      <c r="J587" s="6" t="str">
        <f ca="1">IFERROR(__xludf.DUMMYFUNCTION("""COMPUTED_VALUE"""),"")</f>
        <v/>
      </c>
    </row>
    <row r="588" spans="1:10" x14ac:dyDescent="0.2">
      <c r="A588" s="6" t="str">
        <f ca="1">IFERROR(__xludf.DUMMYFUNCTION("""COMPUTED_VALUE"""),"")</f>
        <v/>
      </c>
      <c r="B588" s="6" t="str">
        <f ca="1">IFERROR(__xludf.DUMMYFUNCTION("""COMPUTED_VALUE"""),"")</f>
        <v/>
      </c>
      <c r="C588" s="6" t="str">
        <f ca="1">IFERROR(__xludf.DUMMYFUNCTION("""COMPUTED_VALUE"""),"")</f>
        <v/>
      </c>
      <c r="D588" s="6" t="str">
        <f ca="1">IFERROR(__xludf.DUMMYFUNCTION("""COMPUTED_VALUE"""),"")</f>
        <v/>
      </c>
      <c r="E588" s="6" t="str">
        <f ca="1">IFERROR(__xludf.DUMMYFUNCTION("""COMPUTED_VALUE"""),"")</f>
        <v/>
      </c>
      <c r="F588" s="6" t="str">
        <f ca="1">IFERROR(__xludf.DUMMYFUNCTION("""COMPUTED_VALUE"""),"")</f>
        <v/>
      </c>
      <c r="G588" s="6" t="str">
        <f ca="1">IFERROR(__xludf.DUMMYFUNCTION("""COMPUTED_VALUE"""),"")</f>
        <v/>
      </c>
      <c r="H588" s="6" t="str">
        <f ca="1">IFERROR(__xludf.DUMMYFUNCTION("""COMPUTED_VALUE"""),"")</f>
        <v/>
      </c>
      <c r="I588" s="6" t="str">
        <f ca="1">IFERROR(__xludf.DUMMYFUNCTION("""COMPUTED_VALUE"""),"")</f>
        <v/>
      </c>
      <c r="J588" s="6" t="str">
        <f ca="1">IFERROR(__xludf.DUMMYFUNCTION("""COMPUTED_VALUE"""),"")</f>
        <v/>
      </c>
    </row>
    <row r="589" spans="1:10" x14ac:dyDescent="0.2">
      <c r="A589" s="6" t="str">
        <f ca="1">IFERROR(__xludf.DUMMYFUNCTION("""COMPUTED_VALUE"""),"")</f>
        <v/>
      </c>
      <c r="B589" s="6" t="str">
        <f ca="1">IFERROR(__xludf.DUMMYFUNCTION("""COMPUTED_VALUE"""),"")</f>
        <v/>
      </c>
      <c r="C589" s="6" t="str">
        <f ca="1">IFERROR(__xludf.DUMMYFUNCTION("""COMPUTED_VALUE"""),"")</f>
        <v/>
      </c>
      <c r="D589" s="6" t="str">
        <f ca="1">IFERROR(__xludf.DUMMYFUNCTION("""COMPUTED_VALUE"""),"")</f>
        <v/>
      </c>
      <c r="E589" s="6" t="str">
        <f ca="1">IFERROR(__xludf.DUMMYFUNCTION("""COMPUTED_VALUE"""),"")</f>
        <v/>
      </c>
      <c r="F589" s="6" t="str">
        <f ca="1">IFERROR(__xludf.DUMMYFUNCTION("""COMPUTED_VALUE"""),"")</f>
        <v/>
      </c>
      <c r="G589" s="6" t="str">
        <f ca="1">IFERROR(__xludf.DUMMYFUNCTION("""COMPUTED_VALUE"""),"")</f>
        <v/>
      </c>
      <c r="H589" s="6" t="str">
        <f ca="1">IFERROR(__xludf.DUMMYFUNCTION("""COMPUTED_VALUE"""),"")</f>
        <v/>
      </c>
      <c r="I589" s="6" t="str">
        <f ca="1">IFERROR(__xludf.DUMMYFUNCTION("""COMPUTED_VALUE"""),"")</f>
        <v/>
      </c>
      <c r="J589" s="6" t="str">
        <f ca="1">IFERROR(__xludf.DUMMYFUNCTION("""COMPUTED_VALUE"""),"")</f>
        <v/>
      </c>
    </row>
    <row r="590" spans="1:10" x14ac:dyDescent="0.2">
      <c r="A590" s="6" t="str">
        <f ca="1">IFERROR(__xludf.DUMMYFUNCTION("""COMPUTED_VALUE"""),"")</f>
        <v/>
      </c>
      <c r="B590" s="6" t="str">
        <f ca="1">IFERROR(__xludf.DUMMYFUNCTION("""COMPUTED_VALUE"""),"")</f>
        <v/>
      </c>
      <c r="C590" s="6" t="str">
        <f ca="1">IFERROR(__xludf.DUMMYFUNCTION("""COMPUTED_VALUE"""),"")</f>
        <v/>
      </c>
      <c r="D590" s="6" t="str">
        <f ca="1">IFERROR(__xludf.DUMMYFUNCTION("""COMPUTED_VALUE"""),"")</f>
        <v/>
      </c>
      <c r="E590" s="6" t="str">
        <f ca="1">IFERROR(__xludf.DUMMYFUNCTION("""COMPUTED_VALUE"""),"")</f>
        <v/>
      </c>
      <c r="F590" s="6" t="str">
        <f ca="1">IFERROR(__xludf.DUMMYFUNCTION("""COMPUTED_VALUE"""),"")</f>
        <v/>
      </c>
      <c r="G590" s="6" t="str">
        <f ca="1">IFERROR(__xludf.DUMMYFUNCTION("""COMPUTED_VALUE"""),"")</f>
        <v/>
      </c>
      <c r="H590" s="6" t="str">
        <f ca="1">IFERROR(__xludf.DUMMYFUNCTION("""COMPUTED_VALUE"""),"")</f>
        <v/>
      </c>
      <c r="I590" s="6" t="str">
        <f ca="1">IFERROR(__xludf.DUMMYFUNCTION("""COMPUTED_VALUE"""),"")</f>
        <v/>
      </c>
      <c r="J590" s="6" t="str">
        <f ca="1">IFERROR(__xludf.DUMMYFUNCTION("""COMPUTED_VALUE"""),"")</f>
        <v/>
      </c>
    </row>
    <row r="591" spans="1:10" x14ac:dyDescent="0.2">
      <c r="A591" s="6" t="str">
        <f ca="1">IFERROR(__xludf.DUMMYFUNCTION("""COMPUTED_VALUE"""),"")</f>
        <v/>
      </c>
      <c r="B591" s="6" t="str">
        <f ca="1">IFERROR(__xludf.DUMMYFUNCTION("""COMPUTED_VALUE"""),"")</f>
        <v/>
      </c>
      <c r="C591" s="6" t="str">
        <f ca="1">IFERROR(__xludf.DUMMYFUNCTION("""COMPUTED_VALUE"""),"")</f>
        <v/>
      </c>
      <c r="D591" s="6" t="str">
        <f ca="1">IFERROR(__xludf.DUMMYFUNCTION("""COMPUTED_VALUE"""),"")</f>
        <v/>
      </c>
      <c r="E591" s="6" t="str">
        <f ca="1">IFERROR(__xludf.DUMMYFUNCTION("""COMPUTED_VALUE"""),"")</f>
        <v/>
      </c>
      <c r="F591" s="6" t="str">
        <f ca="1">IFERROR(__xludf.DUMMYFUNCTION("""COMPUTED_VALUE"""),"")</f>
        <v/>
      </c>
      <c r="G591" s="6" t="str">
        <f ca="1">IFERROR(__xludf.DUMMYFUNCTION("""COMPUTED_VALUE"""),"")</f>
        <v/>
      </c>
      <c r="H591" s="6" t="str">
        <f ca="1">IFERROR(__xludf.DUMMYFUNCTION("""COMPUTED_VALUE"""),"")</f>
        <v/>
      </c>
      <c r="I591" s="6" t="str">
        <f ca="1">IFERROR(__xludf.DUMMYFUNCTION("""COMPUTED_VALUE"""),"")</f>
        <v/>
      </c>
      <c r="J591" s="6" t="str">
        <f ca="1">IFERROR(__xludf.DUMMYFUNCTION("""COMPUTED_VALUE"""),"")</f>
        <v/>
      </c>
    </row>
    <row r="592" spans="1:10" x14ac:dyDescent="0.2">
      <c r="A592" s="6" t="str">
        <f ca="1">IFERROR(__xludf.DUMMYFUNCTION("""COMPUTED_VALUE"""),"")</f>
        <v/>
      </c>
      <c r="B592" s="6" t="str">
        <f ca="1">IFERROR(__xludf.DUMMYFUNCTION("""COMPUTED_VALUE"""),"")</f>
        <v/>
      </c>
      <c r="C592" s="6" t="str">
        <f ca="1">IFERROR(__xludf.DUMMYFUNCTION("""COMPUTED_VALUE"""),"")</f>
        <v/>
      </c>
      <c r="D592" s="6" t="str">
        <f ca="1">IFERROR(__xludf.DUMMYFUNCTION("""COMPUTED_VALUE"""),"")</f>
        <v/>
      </c>
      <c r="E592" s="6" t="str">
        <f ca="1">IFERROR(__xludf.DUMMYFUNCTION("""COMPUTED_VALUE"""),"")</f>
        <v/>
      </c>
      <c r="F592" s="6" t="str">
        <f ca="1">IFERROR(__xludf.DUMMYFUNCTION("""COMPUTED_VALUE"""),"")</f>
        <v/>
      </c>
      <c r="G592" s="6" t="str">
        <f ca="1">IFERROR(__xludf.DUMMYFUNCTION("""COMPUTED_VALUE"""),"")</f>
        <v/>
      </c>
      <c r="H592" s="6" t="str">
        <f ca="1">IFERROR(__xludf.DUMMYFUNCTION("""COMPUTED_VALUE"""),"")</f>
        <v/>
      </c>
      <c r="I592" s="6" t="str">
        <f ca="1">IFERROR(__xludf.DUMMYFUNCTION("""COMPUTED_VALUE"""),"")</f>
        <v/>
      </c>
      <c r="J592" s="6" t="str">
        <f ca="1">IFERROR(__xludf.DUMMYFUNCTION("""COMPUTED_VALUE"""),"")</f>
        <v/>
      </c>
    </row>
    <row r="593" spans="1:10" x14ac:dyDescent="0.2">
      <c r="A593" s="6" t="str">
        <f ca="1">IFERROR(__xludf.DUMMYFUNCTION("""COMPUTED_VALUE"""),"")</f>
        <v/>
      </c>
      <c r="B593" s="6" t="str">
        <f ca="1">IFERROR(__xludf.DUMMYFUNCTION("""COMPUTED_VALUE"""),"")</f>
        <v/>
      </c>
      <c r="C593" s="6" t="str">
        <f ca="1">IFERROR(__xludf.DUMMYFUNCTION("""COMPUTED_VALUE"""),"")</f>
        <v/>
      </c>
      <c r="D593" s="6" t="str">
        <f ca="1">IFERROR(__xludf.DUMMYFUNCTION("""COMPUTED_VALUE"""),"")</f>
        <v/>
      </c>
      <c r="E593" s="6" t="str">
        <f ca="1">IFERROR(__xludf.DUMMYFUNCTION("""COMPUTED_VALUE"""),"")</f>
        <v/>
      </c>
      <c r="F593" s="6" t="str">
        <f ca="1">IFERROR(__xludf.DUMMYFUNCTION("""COMPUTED_VALUE"""),"")</f>
        <v/>
      </c>
      <c r="G593" s="6" t="str">
        <f ca="1">IFERROR(__xludf.DUMMYFUNCTION("""COMPUTED_VALUE"""),"")</f>
        <v/>
      </c>
      <c r="H593" s="6" t="str">
        <f ca="1">IFERROR(__xludf.DUMMYFUNCTION("""COMPUTED_VALUE"""),"")</f>
        <v/>
      </c>
      <c r="I593" s="6" t="str">
        <f ca="1">IFERROR(__xludf.DUMMYFUNCTION("""COMPUTED_VALUE"""),"")</f>
        <v/>
      </c>
      <c r="J593" s="6" t="str">
        <f ca="1">IFERROR(__xludf.DUMMYFUNCTION("""COMPUTED_VALUE"""),"")</f>
        <v/>
      </c>
    </row>
    <row r="594" spans="1:10" x14ac:dyDescent="0.2">
      <c r="A594" s="6" t="str">
        <f ca="1">IFERROR(__xludf.DUMMYFUNCTION("""COMPUTED_VALUE"""),"")</f>
        <v/>
      </c>
      <c r="B594" s="6" t="str">
        <f ca="1">IFERROR(__xludf.DUMMYFUNCTION("""COMPUTED_VALUE"""),"")</f>
        <v/>
      </c>
      <c r="C594" s="6" t="str">
        <f ca="1">IFERROR(__xludf.DUMMYFUNCTION("""COMPUTED_VALUE"""),"")</f>
        <v/>
      </c>
      <c r="D594" s="6" t="str">
        <f ca="1">IFERROR(__xludf.DUMMYFUNCTION("""COMPUTED_VALUE"""),"")</f>
        <v/>
      </c>
      <c r="E594" s="6" t="str">
        <f ca="1">IFERROR(__xludf.DUMMYFUNCTION("""COMPUTED_VALUE"""),"")</f>
        <v/>
      </c>
      <c r="F594" s="6" t="str">
        <f ca="1">IFERROR(__xludf.DUMMYFUNCTION("""COMPUTED_VALUE"""),"")</f>
        <v/>
      </c>
      <c r="G594" s="6" t="str">
        <f ca="1">IFERROR(__xludf.DUMMYFUNCTION("""COMPUTED_VALUE"""),"")</f>
        <v/>
      </c>
      <c r="H594" s="6" t="str">
        <f ca="1">IFERROR(__xludf.DUMMYFUNCTION("""COMPUTED_VALUE"""),"")</f>
        <v/>
      </c>
      <c r="I594" s="6" t="str">
        <f ca="1">IFERROR(__xludf.DUMMYFUNCTION("""COMPUTED_VALUE"""),"")</f>
        <v/>
      </c>
      <c r="J594" s="6" t="str">
        <f ca="1">IFERROR(__xludf.DUMMYFUNCTION("""COMPUTED_VALUE"""),"")</f>
        <v/>
      </c>
    </row>
    <row r="595" spans="1:10" x14ac:dyDescent="0.2">
      <c r="A595" s="6" t="str">
        <f ca="1">IFERROR(__xludf.DUMMYFUNCTION("""COMPUTED_VALUE"""),"")</f>
        <v/>
      </c>
      <c r="B595" s="6" t="str">
        <f ca="1">IFERROR(__xludf.DUMMYFUNCTION("""COMPUTED_VALUE"""),"")</f>
        <v/>
      </c>
      <c r="C595" s="6" t="str">
        <f ca="1">IFERROR(__xludf.DUMMYFUNCTION("""COMPUTED_VALUE"""),"")</f>
        <v/>
      </c>
      <c r="D595" s="6" t="str">
        <f ca="1">IFERROR(__xludf.DUMMYFUNCTION("""COMPUTED_VALUE"""),"")</f>
        <v/>
      </c>
      <c r="E595" s="6" t="str">
        <f ca="1">IFERROR(__xludf.DUMMYFUNCTION("""COMPUTED_VALUE"""),"")</f>
        <v/>
      </c>
      <c r="F595" s="6" t="str">
        <f ca="1">IFERROR(__xludf.DUMMYFUNCTION("""COMPUTED_VALUE"""),"")</f>
        <v/>
      </c>
      <c r="G595" s="6" t="str">
        <f ca="1">IFERROR(__xludf.DUMMYFUNCTION("""COMPUTED_VALUE"""),"")</f>
        <v/>
      </c>
      <c r="H595" s="6" t="str">
        <f ca="1">IFERROR(__xludf.DUMMYFUNCTION("""COMPUTED_VALUE"""),"")</f>
        <v/>
      </c>
      <c r="I595" s="6" t="str">
        <f ca="1">IFERROR(__xludf.DUMMYFUNCTION("""COMPUTED_VALUE"""),"")</f>
        <v/>
      </c>
      <c r="J595" s="6" t="str">
        <f ca="1">IFERROR(__xludf.DUMMYFUNCTION("""COMPUTED_VALUE"""),"")</f>
        <v/>
      </c>
    </row>
    <row r="596" spans="1:10" x14ac:dyDescent="0.2">
      <c r="A596" s="6" t="str">
        <f ca="1">IFERROR(__xludf.DUMMYFUNCTION("""COMPUTED_VALUE"""),"")</f>
        <v/>
      </c>
      <c r="B596" s="6" t="str">
        <f ca="1">IFERROR(__xludf.DUMMYFUNCTION("""COMPUTED_VALUE"""),"")</f>
        <v/>
      </c>
      <c r="C596" s="6" t="str">
        <f ca="1">IFERROR(__xludf.DUMMYFUNCTION("""COMPUTED_VALUE"""),"")</f>
        <v/>
      </c>
      <c r="D596" s="6" t="str">
        <f ca="1">IFERROR(__xludf.DUMMYFUNCTION("""COMPUTED_VALUE"""),"")</f>
        <v/>
      </c>
      <c r="E596" s="6" t="str">
        <f ca="1">IFERROR(__xludf.DUMMYFUNCTION("""COMPUTED_VALUE"""),"")</f>
        <v/>
      </c>
      <c r="F596" s="6" t="str">
        <f ca="1">IFERROR(__xludf.DUMMYFUNCTION("""COMPUTED_VALUE"""),"")</f>
        <v/>
      </c>
      <c r="G596" s="6" t="str">
        <f ca="1">IFERROR(__xludf.DUMMYFUNCTION("""COMPUTED_VALUE"""),"")</f>
        <v/>
      </c>
      <c r="H596" s="6" t="str">
        <f ca="1">IFERROR(__xludf.DUMMYFUNCTION("""COMPUTED_VALUE"""),"")</f>
        <v/>
      </c>
      <c r="I596" s="6" t="str">
        <f ca="1">IFERROR(__xludf.DUMMYFUNCTION("""COMPUTED_VALUE"""),"")</f>
        <v/>
      </c>
      <c r="J596" s="6" t="str">
        <f ca="1">IFERROR(__xludf.DUMMYFUNCTION("""COMPUTED_VALUE"""),"")</f>
        <v/>
      </c>
    </row>
    <row r="597" spans="1:10" x14ac:dyDescent="0.2">
      <c r="A597" s="6" t="str">
        <f ca="1">IFERROR(__xludf.DUMMYFUNCTION("""COMPUTED_VALUE"""),"")</f>
        <v/>
      </c>
      <c r="B597" s="6" t="str">
        <f ca="1">IFERROR(__xludf.DUMMYFUNCTION("""COMPUTED_VALUE"""),"")</f>
        <v/>
      </c>
      <c r="C597" s="6" t="str">
        <f ca="1">IFERROR(__xludf.DUMMYFUNCTION("""COMPUTED_VALUE"""),"")</f>
        <v/>
      </c>
      <c r="D597" s="6" t="str">
        <f ca="1">IFERROR(__xludf.DUMMYFUNCTION("""COMPUTED_VALUE"""),"")</f>
        <v/>
      </c>
      <c r="E597" s="6" t="str">
        <f ca="1">IFERROR(__xludf.DUMMYFUNCTION("""COMPUTED_VALUE"""),"")</f>
        <v/>
      </c>
      <c r="F597" s="6" t="str">
        <f ca="1">IFERROR(__xludf.DUMMYFUNCTION("""COMPUTED_VALUE"""),"")</f>
        <v/>
      </c>
      <c r="G597" s="6" t="str">
        <f ca="1">IFERROR(__xludf.DUMMYFUNCTION("""COMPUTED_VALUE"""),"")</f>
        <v/>
      </c>
      <c r="H597" s="6" t="str">
        <f ca="1">IFERROR(__xludf.DUMMYFUNCTION("""COMPUTED_VALUE"""),"")</f>
        <v/>
      </c>
      <c r="I597" s="6" t="str">
        <f ca="1">IFERROR(__xludf.DUMMYFUNCTION("""COMPUTED_VALUE"""),"")</f>
        <v/>
      </c>
      <c r="J597" s="6" t="str">
        <f ca="1">IFERROR(__xludf.DUMMYFUNCTION("""COMPUTED_VALUE"""),"")</f>
        <v/>
      </c>
    </row>
    <row r="598" spans="1:10" x14ac:dyDescent="0.2">
      <c r="A598" s="6" t="str">
        <f ca="1">IFERROR(__xludf.DUMMYFUNCTION("""COMPUTED_VALUE"""),"")</f>
        <v/>
      </c>
      <c r="B598" s="6" t="str">
        <f ca="1">IFERROR(__xludf.DUMMYFUNCTION("""COMPUTED_VALUE"""),"")</f>
        <v/>
      </c>
      <c r="C598" s="6" t="str">
        <f ca="1">IFERROR(__xludf.DUMMYFUNCTION("""COMPUTED_VALUE"""),"")</f>
        <v/>
      </c>
      <c r="D598" s="6" t="str">
        <f ca="1">IFERROR(__xludf.DUMMYFUNCTION("""COMPUTED_VALUE"""),"")</f>
        <v/>
      </c>
      <c r="E598" s="6" t="str">
        <f ca="1">IFERROR(__xludf.DUMMYFUNCTION("""COMPUTED_VALUE"""),"")</f>
        <v/>
      </c>
      <c r="F598" s="6" t="str">
        <f ca="1">IFERROR(__xludf.DUMMYFUNCTION("""COMPUTED_VALUE"""),"")</f>
        <v/>
      </c>
      <c r="G598" s="6" t="str">
        <f ca="1">IFERROR(__xludf.DUMMYFUNCTION("""COMPUTED_VALUE"""),"")</f>
        <v/>
      </c>
      <c r="H598" s="6" t="str">
        <f ca="1">IFERROR(__xludf.DUMMYFUNCTION("""COMPUTED_VALUE"""),"")</f>
        <v/>
      </c>
      <c r="I598" s="6" t="str">
        <f ca="1">IFERROR(__xludf.DUMMYFUNCTION("""COMPUTED_VALUE"""),"")</f>
        <v/>
      </c>
      <c r="J598" s="6" t="str">
        <f ca="1">IFERROR(__xludf.DUMMYFUNCTION("""COMPUTED_VALUE"""),"")</f>
        <v/>
      </c>
    </row>
    <row r="599" spans="1:10" x14ac:dyDescent="0.2">
      <c r="A599" s="6" t="str">
        <f ca="1">IFERROR(__xludf.DUMMYFUNCTION("""COMPUTED_VALUE"""),"")</f>
        <v/>
      </c>
      <c r="B599" s="6" t="str">
        <f ca="1">IFERROR(__xludf.DUMMYFUNCTION("""COMPUTED_VALUE"""),"")</f>
        <v/>
      </c>
      <c r="C599" s="6" t="str">
        <f ca="1">IFERROR(__xludf.DUMMYFUNCTION("""COMPUTED_VALUE"""),"")</f>
        <v/>
      </c>
      <c r="D599" s="6" t="str">
        <f ca="1">IFERROR(__xludf.DUMMYFUNCTION("""COMPUTED_VALUE"""),"")</f>
        <v/>
      </c>
      <c r="E599" s="6" t="str">
        <f ca="1">IFERROR(__xludf.DUMMYFUNCTION("""COMPUTED_VALUE"""),"")</f>
        <v/>
      </c>
      <c r="F599" s="6" t="str">
        <f ca="1">IFERROR(__xludf.DUMMYFUNCTION("""COMPUTED_VALUE"""),"")</f>
        <v/>
      </c>
      <c r="G599" s="6" t="str">
        <f ca="1">IFERROR(__xludf.DUMMYFUNCTION("""COMPUTED_VALUE"""),"")</f>
        <v/>
      </c>
      <c r="H599" s="6" t="str">
        <f ca="1">IFERROR(__xludf.DUMMYFUNCTION("""COMPUTED_VALUE"""),"")</f>
        <v/>
      </c>
      <c r="I599" s="6" t="str">
        <f ca="1">IFERROR(__xludf.DUMMYFUNCTION("""COMPUTED_VALUE"""),"")</f>
        <v/>
      </c>
      <c r="J599" s="6" t="str">
        <f ca="1">IFERROR(__xludf.DUMMYFUNCTION("""COMPUTED_VALUE"""),"")</f>
        <v/>
      </c>
    </row>
    <row r="600" spans="1:10" x14ac:dyDescent="0.2">
      <c r="A600" s="6" t="str">
        <f ca="1">IFERROR(__xludf.DUMMYFUNCTION("""COMPUTED_VALUE"""),"")</f>
        <v/>
      </c>
      <c r="B600" s="6" t="str">
        <f ca="1">IFERROR(__xludf.DUMMYFUNCTION("""COMPUTED_VALUE"""),"")</f>
        <v/>
      </c>
      <c r="C600" s="6" t="str">
        <f ca="1">IFERROR(__xludf.DUMMYFUNCTION("""COMPUTED_VALUE"""),"")</f>
        <v/>
      </c>
      <c r="D600" s="6" t="str">
        <f ca="1">IFERROR(__xludf.DUMMYFUNCTION("""COMPUTED_VALUE"""),"")</f>
        <v/>
      </c>
      <c r="E600" s="6" t="str">
        <f ca="1">IFERROR(__xludf.DUMMYFUNCTION("""COMPUTED_VALUE"""),"")</f>
        <v/>
      </c>
      <c r="F600" s="6" t="str">
        <f ca="1">IFERROR(__xludf.DUMMYFUNCTION("""COMPUTED_VALUE"""),"")</f>
        <v/>
      </c>
      <c r="G600" s="6" t="str">
        <f ca="1">IFERROR(__xludf.DUMMYFUNCTION("""COMPUTED_VALUE"""),"")</f>
        <v/>
      </c>
      <c r="H600" s="6" t="str">
        <f ca="1">IFERROR(__xludf.DUMMYFUNCTION("""COMPUTED_VALUE"""),"")</f>
        <v/>
      </c>
      <c r="I600" s="6" t="str">
        <f ca="1">IFERROR(__xludf.DUMMYFUNCTION("""COMPUTED_VALUE"""),"")</f>
        <v/>
      </c>
      <c r="J600" s="6" t="str">
        <f ca="1">IFERROR(__xludf.DUMMYFUNCTION("""COMPUTED_VALUE"""),"")</f>
        <v/>
      </c>
    </row>
    <row r="601" spans="1:10" x14ac:dyDescent="0.2">
      <c r="A601" s="6" t="str">
        <f ca="1">IFERROR(__xludf.DUMMYFUNCTION("""COMPUTED_VALUE"""),"")</f>
        <v/>
      </c>
      <c r="B601" s="6" t="str">
        <f ca="1">IFERROR(__xludf.DUMMYFUNCTION("""COMPUTED_VALUE"""),"")</f>
        <v/>
      </c>
      <c r="C601" s="6" t="str">
        <f ca="1">IFERROR(__xludf.DUMMYFUNCTION("""COMPUTED_VALUE"""),"")</f>
        <v/>
      </c>
      <c r="D601" s="6" t="str">
        <f ca="1">IFERROR(__xludf.DUMMYFUNCTION("""COMPUTED_VALUE"""),"")</f>
        <v/>
      </c>
      <c r="E601" s="6" t="str">
        <f ca="1">IFERROR(__xludf.DUMMYFUNCTION("""COMPUTED_VALUE"""),"")</f>
        <v/>
      </c>
      <c r="F601" s="6" t="str">
        <f ca="1">IFERROR(__xludf.DUMMYFUNCTION("""COMPUTED_VALUE"""),"")</f>
        <v/>
      </c>
      <c r="G601" s="6" t="str">
        <f ca="1">IFERROR(__xludf.DUMMYFUNCTION("""COMPUTED_VALUE"""),"")</f>
        <v/>
      </c>
      <c r="H601" s="6" t="str">
        <f ca="1">IFERROR(__xludf.DUMMYFUNCTION("""COMPUTED_VALUE"""),"")</f>
        <v/>
      </c>
      <c r="I601" s="6" t="str">
        <f ca="1">IFERROR(__xludf.DUMMYFUNCTION("""COMPUTED_VALUE"""),"")</f>
        <v/>
      </c>
      <c r="J601" s="6" t="str">
        <f ca="1">IFERROR(__xludf.DUMMYFUNCTION("""COMPUTED_VALUE"""),"")</f>
        <v/>
      </c>
    </row>
    <row r="602" spans="1:10" x14ac:dyDescent="0.2">
      <c r="A602" s="6" t="str">
        <f ca="1">IFERROR(__xludf.DUMMYFUNCTION("""COMPUTED_VALUE"""),"")</f>
        <v/>
      </c>
      <c r="B602" s="6" t="str">
        <f ca="1">IFERROR(__xludf.DUMMYFUNCTION("""COMPUTED_VALUE"""),"")</f>
        <v/>
      </c>
      <c r="C602" s="6" t="str">
        <f ca="1">IFERROR(__xludf.DUMMYFUNCTION("""COMPUTED_VALUE"""),"")</f>
        <v/>
      </c>
      <c r="D602" s="6" t="str">
        <f ca="1">IFERROR(__xludf.DUMMYFUNCTION("""COMPUTED_VALUE"""),"")</f>
        <v/>
      </c>
      <c r="E602" s="6" t="str">
        <f ca="1">IFERROR(__xludf.DUMMYFUNCTION("""COMPUTED_VALUE"""),"")</f>
        <v/>
      </c>
      <c r="F602" s="6" t="str">
        <f ca="1">IFERROR(__xludf.DUMMYFUNCTION("""COMPUTED_VALUE"""),"")</f>
        <v/>
      </c>
      <c r="G602" s="6" t="str">
        <f ca="1">IFERROR(__xludf.DUMMYFUNCTION("""COMPUTED_VALUE"""),"")</f>
        <v/>
      </c>
      <c r="H602" s="6" t="str">
        <f ca="1">IFERROR(__xludf.DUMMYFUNCTION("""COMPUTED_VALUE"""),"")</f>
        <v/>
      </c>
      <c r="I602" s="6" t="str">
        <f ca="1">IFERROR(__xludf.DUMMYFUNCTION("""COMPUTED_VALUE"""),"")</f>
        <v/>
      </c>
      <c r="J602" s="6" t="str">
        <f ca="1">IFERROR(__xludf.DUMMYFUNCTION("""COMPUTED_VALUE"""),"")</f>
        <v/>
      </c>
    </row>
    <row r="603" spans="1:10" x14ac:dyDescent="0.2">
      <c r="A603" s="6" t="str">
        <f ca="1">IFERROR(__xludf.DUMMYFUNCTION("""COMPUTED_VALUE"""),"")</f>
        <v/>
      </c>
      <c r="B603" s="6" t="str">
        <f ca="1">IFERROR(__xludf.DUMMYFUNCTION("""COMPUTED_VALUE"""),"")</f>
        <v/>
      </c>
      <c r="C603" s="6" t="str">
        <f ca="1">IFERROR(__xludf.DUMMYFUNCTION("""COMPUTED_VALUE"""),"")</f>
        <v/>
      </c>
      <c r="D603" s="6" t="str">
        <f ca="1">IFERROR(__xludf.DUMMYFUNCTION("""COMPUTED_VALUE"""),"")</f>
        <v/>
      </c>
      <c r="E603" s="6" t="str">
        <f ca="1">IFERROR(__xludf.DUMMYFUNCTION("""COMPUTED_VALUE"""),"")</f>
        <v/>
      </c>
      <c r="F603" s="6" t="str">
        <f ca="1">IFERROR(__xludf.DUMMYFUNCTION("""COMPUTED_VALUE"""),"")</f>
        <v/>
      </c>
      <c r="G603" s="6" t="str">
        <f ca="1">IFERROR(__xludf.DUMMYFUNCTION("""COMPUTED_VALUE"""),"")</f>
        <v/>
      </c>
      <c r="H603" s="6" t="str">
        <f ca="1">IFERROR(__xludf.DUMMYFUNCTION("""COMPUTED_VALUE"""),"")</f>
        <v/>
      </c>
      <c r="I603" s="6" t="str">
        <f ca="1">IFERROR(__xludf.DUMMYFUNCTION("""COMPUTED_VALUE"""),"")</f>
        <v/>
      </c>
      <c r="J603" s="6" t="str">
        <f ca="1">IFERROR(__xludf.DUMMYFUNCTION("""COMPUTED_VALUE"""),"")</f>
        <v/>
      </c>
    </row>
    <row r="604" spans="1:10" x14ac:dyDescent="0.2">
      <c r="A604" s="6" t="str">
        <f ca="1">IFERROR(__xludf.DUMMYFUNCTION("""COMPUTED_VALUE"""),"")</f>
        <v/>
      </c>
      <c r="B604" s="6" t="str">
        <f ca="1">IFERROR(__xludf.DUMMYFUNCTION("""COMPUTED_VALUE"""),"")</f>
        <v/>
      </c>
      <c r="C604" s="6" t="str">
        <f ca="1">IFERROR(__xludf.DUMMYFUNCTION("""COMPUTED_VALUE"""),"")</f>
        <v/>
      </c>
      <c r="D604" s="6" t="str">
        <f ca="1">IFERROR(__xludf.DUMMYFUNCTION("""COMPUTED_VALUE"""),"")</f>
        <v/>
      </c>
      <c r="E604" s="6" t="str">
        <f ca="1">IFERROR(__xludf.DUMMYFUNCTION("""COMPUTED_VALUE"""),"")</f>
        <v/>
      </c>
      <c r="F604" s="6" t="str">
        <f ca="1">IFERROR(__xludf.DUMMYFUNCTION("""COMPUTED_VALUE"""),"")</f>
        <v/>
      </c>
      <c r="G604" s="6" t="str">
        <f ca="1">IFERROR(__xludf.DUMMYFUNCTION("""COMPUTED_VALUE"""),"")</f>
        <v/>
      </c>
      <c r="H604" s="6" t="str">
        <f ca="1">IFERROR(__xludf.DUMMYFUNCTION("""COMPUTED_VALUE"""),"")</f>
        <v/>
      </c>
      <c r="I604" s="6" t="str">
        <f ca="1">IFERROR(__xludf.DUMMYFUNCTION("""COMPUTED_VALUE"""),"")</f>
        <v/>
      </c>
      <c r="J604" s="6" t="str">
        <f ca="1">IFERROR(__xludf.DUMMYFUNCTION("""COMPUTED_VALUE"""),"")</f>
        <v/>
      </c>
    </row>
    <row r="605" spans="1:10" x14ac:dyDescent="0.2">
      <c r="A605" s="6" t="str">
        <f ca="1">IFERROR(__xludf.DUMMYFUNCTION("""COMPUTED_VALUE"""),"")</f>
        <v/>
      </c>
      <c r="B605" s="6" t="str">
        <f ca="1">IFERROR(__xludf.DUMMYFUNCTION("""COMPUTED_VALUE"""),"")</f>
        <v/>
      </c>
      <c r="C605" s="6" t="str">
        <f ca="1">IFERROR(__xludf.DUMMYFUNCTION("""COMPUTED_VALUE"""),"")</f>
        <v/>
      </c>
      <c r="D605" s="6" t="str">
        <f ca="1">IFERROR(__xludf.DUMMYFUNCTION("""COMPUTED_VALUE"""),"")</f>
        <v/>
      </c>
      <c r="E605" s="6" t="str">
        <f ca="1">IFERROR(__xludf.DUMMYFUNCTION("""COMPUTED_VALUE"""),"")</f>
        <v/>
      </c>
      <c r="F605" s="6" t="str">
        <f ca="1">IFERROR(__xludf.DUMMYFUNCTION("""COMPUTED_VALUE"""),"")</f>
        <v/>
      </c>
      <c r="G605" s="6" t="str">
        <f ca="1">IFERROR(__xludf.DUMMYFUNCTION("""COMPUTED_VALUE"""),"")</f>
        <v/>
      </c>
      <c r="H605" s="6" t="str">
        <f ca="1">IFERROR(__xludf.DUMMYFUNCTION("""COMPUTED_VALUE"""),"")</f>
        <v/>
      </c>
      <c r="I605" s="6" t="str">
        <f ca="1">IFERROR(__xludf.DUMMYFUNCTION("""COMPUTED_VALUE"""),"")</f>
        <v/>
      </c>
      <c r="J605" s="6" t="str">
        <f ca="1">IFERROR(__xludf.DUMMYFUNCTION("""COMPUTED_VALUE"""),"")</f>
        <v/>
      </c>
    </row>
    <row r="606" spans="1:10" x14ac:dyDescent="0.2">
      <c r="A606" s="6" t="str">
        <f ca="1">IFERROR(__xludf.DUMMYFUNCTION("""COMPUTED_VALUE"""),"")</f>
        <v/>
      </c>
      <c r="B606" s="6" t="str">
        <f ca="1">IFERROR(__xludf.DUMMYFUNCTION("""COMPUTED_VALUE"""),"")</f>
        <v/>
      </c>
      <c r="C606" s="6" t="str">
        <f ca="1">IFERROR(__xludf.DUMMYFUNCTION("""COMPUTED_VALUE"""),"")</f>
        <v/>
      </c>
      <c r="D606" s="6" t="str">
        <f ca="1">IFERROR(__xludf.DUMMYFUNCTION("""COMPUTED_VALUE"""),"")</f>
        <v/>
      </c>
      <c r="E606" s="6" t="str">
        <f ca="1">IFERROR(__xludf.DUMMYFUNCTION("""COMPUTED_VALUE"""),"")</f>
        <v/>
      </c>
      <c r="F606" s="6" t="str">
        <f ca="1">IFERROR(__xludf.DUMMYFUNCTION("""COMPUTED_VALUE"""),"")</f>
        <v/>
      </c>
      <c r="G606" s="6" t="str">
        <f ca="1">IFERROR(__xludf.DUMMYFUNCTION("""COMPUTED_VALUE"""),"")</f>
        <v/>
      </c>
      <c r="H606" s="6" t="str">
        <f ca="1">IFERROR(__xludf.DUMMYFUNCTION("""COMPUTED_VALUE"""),"")</f>
        <v/>
      </c>
      <c r="I606" s="6" t="str">
        <f ca="1">IFERROR(__xludf.DUMMYFUNCTION("""COMPUTED_VALUE"""),"")</f>
        <v/>
      </c>
      <c r="J606" s="6" t="str">
        <f ca="1">IFERROR(__xludf.DUMMYFUNCTION("""COMPUTED_VALUE"""),"")</f>
        <v/>
      </c>
    </row>
    <row r="607" spans="1:10" x14ac:dyDescent="0.2">
      <c r="A607" s="6" t="str">
        <f ca="1">IFERROR(__xludf.DUMMYFUNCTION("""COMPUTED_VALUE"""),"")</f>
        <v/>
      </c>
      <c r="B607" s="6" t="str">
        <f ca="1">IFERROR(__xludf.DUMMYFUNCTION("""COMPUTED_VALUE"""),"")</f>
        <v/>
      </c>
      <c r="C607" s="6" t="str">
        <f ca="1">IFERROR(__xludf.DUMMYFUNCTION("""COMPUTED_VALUE"""),"")</f>
        <v/>
      </c>
      <c r="D607" s="6" t="str">
        <f ca="1">IFERROR(__xludf.DUMMYFUNCTION("""COMPUTED_VALUE"""),"")</f>
        <v/>
      </c>
      <c r="E607" s="6" t="str">
        <f ca="1">IFERROR(__xludf.DUMMYFUNCTION("""COMPUTED_VALUE"""),"")</f>
        <v/>
      </c>
      <c r="F607" s="6" t="str">
        <f ca="1">IFERROR(__xludf.DUMMYFUNCTION("""COMPUTED_VALUE"""),"")</f>
        <v/>
      </c>
      <c r="G607" s="6" t="str">
        <f ca="1">IFERROR(__xludf.DUMMYFUNCTION("""COMPUTED_VALUE"""),"")</f>
        <v/>
      </c>
      <c r="H607" s="6" t="str">
        <f ca="1">IFERROR(__xludf.DUMMYFUNCTION("""COMPUTED_VALUE"""),"")</f>
        <v/>
      </c>
      <c r="I607" s="6" t="str">
        <f ca="1">IFERROR(__xludf.DUMMYFUNCTION("""COMPUTED_VALUE"""),"")</f>
        <v/>
      </c>
      <c r="J607" s="6" t="str">
        <f ca="1">IFERROR(__xludf.DUMMYFUNCTION("""COMPUTED_VALUE"""),"")</f>
        <v/>
      </c>
    </row>
    <row r="608" spans="1:10" x14ac:dyDescent="0.2">
      <c r="A608" s="6" t="str">
        <f ca="1">IFERROR(__xludf.DUMMYFUNCTION("""COMPUTED_VALUE"""),"")</f>
        <v/>
      </c>
      <c r="B608" s="6" t="str">
        <f ca="1">IFERROR(__xludf.DUMMYFUNCTION("""COMPUTED_VALUE"""),"")</f>
        <v/>
      </c>
      <c r="C608" s="6" t="str">
        <f ca="1">IFERROR(__xludf.DUMMYFUNCTION("""COMPUTED_VALUE"""),"")</f>
        <v/>
      </c>
      <c r="D608" s="6" t="str">
        <f ca="1">IFERROR(__xludf.DUMMYFUNCTION("""COMPUTED_VALUE"""),"")</f>
        <v/>
      </c>
      <c r="E608" s="6" t="str">
        <f ca="1">IFERROR(__xludf.DUMMYFUNCTION("""COMPUTED_VALUE"""),"")</f>
        <v/>
      </c>
      <c r="F608" s="6" t="str">
        <f ca="1">IFERROR(__xludf.DUMMYFUNCTION("""COMPUTED_VALUE"""),"")</f>
        <v/>
      </c>
      <c r="G608" s="6" t="str">
        <f ca="1">IFERROR(__xludf.DUMMYFUNCTION("""COMPUTED_VALUE"""),"")</f>
        <v/>
      </c>
      <c r="H608" s="6" t="str">
        <f ca="1">IFERROR(__xludf.DUMMYFUNCTION("""COMPUTED_VALUE"""),"")</f>
        <v/>
      </c>
      <c r="I608" s="6" t="str">
        <f ca="1">IFERROR(__xludf.DUMMYFUNCTION("""COMPUTED_VALUE"""),"")</f>
        <v/>
      </c>
      <c r="J608" s="6" t="str">
        <f ca="1">IFERROR(__xludf.DUMMYFUNCTION("""COMPUTED_VALUE"""),"")</f>
        <v/>
      </c>
    </row>
    <row r="609" spans="1:10" x14ac:dyDescent="0.2">
      <c r="A609" s="6" t="str">
        <f ca="1">IFERROR(__xludf.DUMMYFUNCTION("""COMPUTED_VALUE"""),"")</f>
        <v/>
      </c>
      <c r="B609" s="6" t="str">
        <f ca="1">IFERROR(__xludf.DUMMYFUNCTION("""COMPUTED_VALUE"""),"")</f>
        <v/>
      </c>
      <c r="C609" s="6" t="str">
        <f ca="1">IFERROR(__xludf.DUMMYFUNCTION("""COMPUTED_VALUE"""),"")</f>
        <v/>
      </c>
      <c r="D609" s="6" t="str">
        <f ca="1">IFERROR(__xludf.DUMMYFUNCTION("""COMPUTED_VALUE"""),"")</f>
        <v/>
      </c>
      <c r="E609" s="6" t="str">
        <f ca="1">IFERROR(__xludf.DUMMYFUNCTION("""COMPUTED_VALUE"""),"")</f>
        <v/>
      </c>
      <c r="F609" s="6" t="str">
        <f ca="1">IFERROR(__xludf.DUMMYFUNCTION("""COMPUTED_VALUE"""),"")</f>
        <v/>
      </c>
      <c r="G609" s="6" t="str">
        <f ca="1">IFERROR(__xludf.DUMMYFUNCTION("""COMPUTED_VALUE"""),"")</f>
        <v/>
      </c>
      <c r="H609" s="6" t="str">
        <f ca="1">IFERROR(__xludf.DUMMYFUNCTION("""COMPUTED_VALUE"""),"")</f>
        <v/>
      </c>
      <c r="I609" s="6" t="str">
        <f ca="1">IFERROR(__xludf.DUMMYFUNCTION("""COMPUTED_VALUE"""),"")</f>
        <v/>
      </c>
      <c r="J609" s="6" t="str">
        <f ca="1">IFERROR(__xludf.DUMMYFUNCTION("""COMPUTED_VALUE"""),"")</f>
        <v/>
      </c>
    </row>
    <row r="610" spans="1:10" x14ac:dyDescent="0.2">
      <c r="A610" s="6" t="str">
        <f ca="1">IFERROR(__xludf.DUMMYFUNCTION("""COMPUTED_VALUE"""),"")</f>
        <v/>
      </c>
      <c r="B610" s="6" t="str">
        <f ca="1">IFERROR(__xludf.DUMMYFUNCTION("""COMPUTED_VALUE"""),"")</f>
        <v/>
      </c>
      <c r="C610" s="6" t="str">
        <f ca="1">IFERROR(__xludf.DUMMYFUNCTION("""COMPUTED_VALUE"""),"")</f>
        <v/>
      </c>
      <c r="D610" s="6" t="str">
        <f ca="1">IFERROR(__xludf.DUMMYFUNCTION("""COMPUTED_VALUE"""),"")</f>
        <v/>
      </c>
      <c r="E610" s="6" t="str">
        <f ca="1">IFERROR(__xludf.DUMMYFUNCTION("""COMPUTED_VALUE"""),"")</f>
        <v/>
      </c>
      <c r="F610" s="6" t="str">
        <f ca="1">IFERROR(__xludf.DUMMYFUNCTION("""COMPUTED_VALUE"""),"")</f>
        <v/>
      </c>
      <c r="G610" s="6" t="str">
        <f ca="1">IFERROR(__xludf.DUMMYFUNCTION("""COMPUTED_VALUE"""),"")</f>
        <v/>
      </c>
      <c r="H610" s="6" t="str">
        <f ca="1">IFERROR(__xludf.DUMMYFUNCTION("""COMPUTED_VALUE"""),"")</f>
        <v/>
      </c>
      <c r="I610" s="6" t="str">
        <f ca="1">IFERROR(__xludf.DUMMYFUNCTION("""COMPUTED_VALUE"""),"")</f>
        <v/>
      </c>
      <c r="J610" s="6" t="str">
        <f ca="1">IFERROR(__xludf.DUMMYFUNCTION("""COMPUTED_VALUE"""),"")</f>
        <v/>
      </c>
    </row>
    <row r="611" spans="1:10" x14ac:dyDescent="0.2">
      <c r="A611" s="6" t="str">
        <f ca="1">IFERROR(__xludf.DUMMYFUNCTION("""COMPUTED_VALUE"""),"")</f>
        <v/>
      </c>
      <c r="B611" s="6" t="str">
        <f ca="1">IFERROR(__xludf.DUMMYFUNCTION("""COMPUTED_VALUE"""),"")</f>
        <v/>
      </c>
      <c r="C611" s="6" t="str">
        <f ca="1">IFERROR(__xludf.DUMMYFUNCTION("""COMPUTED_VALUE"""),"")</f>
        <v/>
      </c>
      <c r="D611" s="6" t="str">
        <f ca="1">IFERROR(__xludf.DUMMYFUNCTION("""COMPUTED_VALUE"""),"")</f>
        <v/>
      </c>
      <c r="E611" s="6" t="str">
        <f ca="1">IFERROR(__xludf.DUMMYFUNCTION("""COMPUTED_VALUE"""),"")</f>
        <v/>
      </c>
      <c r="F611" s="6" t="str">
        <f ca="1">IFERROR(__xludf.DUMMYFUNCTION("""COMPUTED_VALUE"""),"")</f>
        <v/>
      </c>
      <c r="G611" s="6" t="str">
        <f ca="1">IFERROR(__xludf.DUMMYFUNCTION("""COMPUTED_VALUE"""),"")</f>
        <v/>
      </c>
      <c r="H611" s="6" t="str">
        <f ca="1">IFERROR(__xludf.DUMMYFUNCTION("""COMPUTED_VALUE"""),"")</f>
        <v/>
      </c>
      <c r="I611" s="6" t="str">
        <f ca="1">IFERROR(__xludf.DUMMYFUNCTION("""COMPUTED_VALUE"""),"")</f>
        <v/>
      </c>
      <c r="J611" s="6" t="str">
        <f ca="1">IFERROR(__xludf.DUMMYFUNCTION("""COMPUTED_VALUE"""),"")</f>
        <v/>
      </c>
    </row>
    <row r="612" spans="1:10" x14ac:dyDescent="0.2">
      <c r="A612" s="6" t="str">
        <f ca="1">IFERROR(__xludf.DUMMYFUNCTION("""COMPUTED_VALUE"""),"")</f>
        <v/>
      </c>
      <c r="B612" s="6" t="str">
        <f ca="1">IFERROR(__xludf.DUMMYFUNCTION("""COMPUTED_VALUE"""),"")</f>
        <v/>
      </c>
      <c r="C612" s="6" t="str">
        <f ca="1">IFERROR(__xludf.DUMMYFUNCTION("""COMPUTED_VALUE"""),"")</f>
        <v/>
      </c>
      <c r="D612" s="6" t="str">
        <f ca="1">IFERROR(__xludf.DUMMYFUNCTION("""COMPUTED_VALUE"""),"")</f>
        <v/>
      </c>
      <c r="E612" s="6" t="str">
        <f ca="1">IFERROR(__xludf.DUMMYFUNCTION("""COMPUTED_VALUE"""),"")</f>
        <v/>
      </c>
      <c r="F612" s="6" t="str">
        <f ca="1">IFERROR(__xludf.DUMMYFUNCTION("""COMPUTED_VALUE"""),"")</f>
        <v/>
      </c>
      <c r="G612" s="6" t="str">
        <f ca="1">IFERROR(__xludf.DUMMYFUNCTION("""COMPUTED_VALUE"""),"")</f>
        <v/>
      </c>
      <c r="H612" s="6" t="str">
        <f ca="1">IFERROR(__xludf.DUMMYFUNCTION("""COMPUTED_VALUE"""),"")</f>
        <v/>
      </c>
      <c r="I612" s="6" t="str">
        <f ca="1">IFERROR(__xludf.DUMMYFUNCTION("""COMPUTED_VALUE"""),"")</f>
        <v/>
      </c>
      <c r="J612" s="6" t="str">
        <f ca="1">IFERROR(__xludf.DUMMYFUNCTION("""COMPUTED_VALUE"""),"")</f>
        <v/>
      </c>
    </row>
    <row r="613" spans="1:10" x14ac:dyDescent="0.2">
      <c r="A613" s="6" t="str">
        <f ca="1">IFERROR(__xludf.DUMMYFUNCTION("""COMPUTED_VALUE"""),"")</f>
        <v/>
      </c>
      <c r="B613" s="6" t="str">
        <f ca="1">IFERROR(__xludf.DUMMYFUNCTION("""COMPUTED_VALUE"""),"")</f>
        <v/>
      </c>
      <c r="C613" s="6" t="str">
        <f ca="1">IFERROR(__xludf.DUMMYFUNCTION("""COMPUTED_VALUE"""),"")</f>
        <v/>
      </c>
      <c r="D613" s="6" t="str">
        <f ca="1">IFERROR(__xludf.DUMMYFUNCTION("""COMPUTED_VALUE"""),"")</f>
        <v/>
      </c>
      <c r="E613" s="6" t="str">
        <f ca="1">IFERROR(__xludf.DUMMYFUNCTION("""COMPUTED_VALUE"""),"")</f>
        <v/>
      </c>
      <c r="F613" s="6" t="str">
        <f ca="1">IFERROR(__xludf.DUMMYFUNCTION("""COMPUTED_VALUE"""),"")</f>
        <v/>
      </c>
      <c r="G613" s="6" t="str">
        <f ca="1">IFERROR(__xludf.DUMMYFUNCTION("""COMPUTED_VALUE"""),"")</f>
        <v/>
      </c>
      <c r="H613" s="6" t="str">
        <f ca="1">IFERROR(__xludf.DUMMYFUNCTION("""COMPUTED_VALUE"""),"")</f>
        <v/>
      </c>
      <c r="I613" s="6" t="str">
        <f ca="1">IFERROR(__xludf.DUMMYFUNCTION("""COMPUTED_VALUE"""),"")</f>
        <v/>
      </c>
      <c r="J613" s="6" t="str">
        <f ca="1">IFERROR(__xludf.DUMMYFUNCTION("""COMPUTED_VALUE"""),"")</f>
        <v/>
      </c>
    </row>
    <row r="614" spans="1:10" x14ac:dyDescent="0.2">
      <c r="A614" s="6" t="str">
        <f ca="1">IFERROR(__xludf.DUMMYFUNCTION("""COMPUTED_VALUE"""),"")</f>
        <v/>
      </c>
      <c r="B614" s="6" t="str">
        <f ca="1">IFERROR(__xludf.DUMMYFUNCTION("""COMPUTED_VALUE"""),"")</f>
        <v/>
      </c>
      <c r="C614" s="6" t="str">
        <f ca="1">IFERROR(__xludf.DUMMYFUNCTION("""COMPUTED_VALUE"""),"")</f>
        <v/>
      </c>
      <c r="D614" s="6" t="str">
        <f ca="1">IFERROR(__xludf.DUMMYFUNCTION("""COMPUTED_VALUE"""),"")</f>
        <v/>
      </c>
      <c r="E614" s="6" t="str">
        <f ca="1">IFERROR(__xludf.DUMMYFUNCTION("""COMPUTED_VALUE"""),"")</f>
        <v/>
      </c>
      <c r="F614" s="6" t="str">
        <f ca="1">IFERROR(__xludf.DUMMYFUNCTION("""COMPUTED_VALUE"""),"")</f>
        <v/>
      </c>
      <c r="G614" s="6" t="str">
        <f ca="1">IFERROR(__xludf.DUMMYFUNCTION("""COMPUTED_VALUE"""),"")</f>
        <v/>
      </c>
      <c r="H614" s="6" t="str">
        <f ca="1">IFERROR(__xludf.DUMMYFUNCTION("""COMPUTED_VALUE"""),"")</f>
        <v/>
      </c>
      <c r="I614" s="6" t="str">
        <f ca="1">IFERROR(__xludf.DUMMYFUNCTION("""COMPUTED_VALUE"""),"")</f>
        <v/>
      </c>
      <c r="J614" s="6" t="str">
        <f ca="1">IFERROR(__xludf.DUMMYFUNCTION("""COMPUTED_VALUE"""),"")</f>
        <v/>
      </c>
    </row>
    <row r="615" spans="1:10" x14ac:dyDescent="0.2">
      <c r="A615" s="6" t="str">
        <f ca="1">IFERROR(__xludf.DUMMYFUNCTION("""COMPUTED_VALUE"""),"")</f>
        <v/>
      </c>
      <c r="B615" s="6" t="str">
        <f ca="1">IFERROR(__xludf.DUMMYFUNCTION("""COMPUTED_VALUE"""),"")</f>
        <v/>
      </c>
      <c r="C615" s="6" t="str">
        <f ca="1">IFERROR(__xludf.DUMMYFUNCTION("""COMPUTED_VALUE"""),"")</f>
        <v/>
      </c>
      <c r="D615" s="6" t="str">
        <f ca="1">IFERROR(__xludf.DUMMYFUNCTION("""COMPUTED_VALUE"""),"")</f>
        <v/>
      </c>
      <c r="E615" s="6" t="str">
        <f ca="1">IFERROR(__xludf.DUMMYFUNCTION("""COMPUTED_VALUE"""),"")</f>
        <v/>
      </c>
      <c r="F615" s="6" t="str">
        <f ca="1">IFERROR(__xludf.DUMMYFUNCTION("""COMPUTED_VALUE"""),"")</f>
        <v/>
      </c>
      <c r="G615" s="6" t="str">
        <f ca="1">IFERROR(__xludf.DUMMYFUNCTION("""COMPUTED_VALUE"""),"")</f>
        <v/>
      </c>
      <c r="H615" s="6" t="str">
        <f ca="1">IFERROR(__xludf.DUMMYFUNCTION("""COMPUTED_VALUE"""),"")</f>
        <v/>
      </c>
      <c r="I615" s="6" t="str">
        <f ca="1">IFERROR(__xludf.DUMMYFUNCTION("""COMPUTED_VALUE"""),"")</f>
        <v/>
      </c>
      <c r="J615" s="6" t="str">
        <f ca="1">IFERROR(__xludf.DUMMYFUNCTION("""COMPUTED_VALUE"""),"")</f>
        <v/>
      </c>
    </row>
    <row r="616" spans="1:10" x14ac:dyDescent="0.2">
      <c r="A616" s="6" t="str">
        <f ca="1">IFERROR(__xludf.DUMMYFUNCTION("""COMPUTED_VALUE"""),"")</f>
        <v/>
      </c>
      <c r="B616" s="6" t="str">
        <f ca="1">IFERROR(__xludf.DUMMYFUNCTION("""COMPUTED_VALUE"""),"")</f>
        <v/>
      </c>
      <c r="C616" s="6" t="str">
        <f ca="1">IFERROR(__xludf.DUMMYFUNCTION("""COMPUTED_VALUE"""),"")</f>
        <v/>
      </c>
      <c r="D616" s="6" t="str">
        <f ca="1">IFERROR(__xludf.DUMMYFUNCTION("""COMPUTED_VALUE"""),"")</f>
        <v/>
      </c>
      <c r="E616" s="6" t="str">
        <f ca="1">IFERROR(__xludf.DUMMYFUNCTION("""COMPUTED_VALUE"""),"")</f>
        <v/>
      </c>
      <c r="F616" s="6" t="str">
        <f ca="1">IFERROR(__xludf.DUMMYFUNCTION("""COMPUTED_VALUE"""),"")</f>
        <v/>
      </c>
      <c r="G616" s="6" t="str">
        <f ca="1">IFERROR(__xludf.DUMMYFUNCTION("""COMPUTED_VALUE"""),"")</f>
        <v/>
      </c>
      <c r="H616" s="6" t="str">
        <f ca="1">IFERROR(__xludf.DUMMYFUNCTION("""COMPUTED_VALUE"""),"")</f>
        <v/>
      </c>
      <c r="I616" s="6" t="str">
        <f ca="1">IFERROR(__xludf.DUMMYFUNCTION("""COMPUTED_VALUE"""),"")</f>
        <v/>
      </c>
      <c r="J616" s="6" t="str">
        <f ca="1">IFERROR(__xludf.DUMMYFUNCTION("""COMPUTED_VALUE"""),"")</f>
        <v/>
      </c>
    </row>
    <row r="617" spans="1:10" x14ac:dyDescent="0.2">
      <c r="A617" s="6" t="str">
        <f ca="1">IFERROR(__xludf.DUMMYFUNCTION("""COMPUTED_VALUE"""),"")</f>
        <v/>
      </c>
      <c r="B617" s="6" t="str">
        <f ca="1">IFERROR(__xludf.DUMMYFUNCTION("""COMPUTED_VALUE"""),"")</f>
        <v/>
      </c>
      <c r="C617" s="6" t="str">
        <f ca="1">IFERROR(__xludf.DUMMYFUNCTION("""COMPUTED_VALUE"""),"")</f>
        <v/>
      </c>
      <c r="D617" s="6" t="str">
        <f ca="1">IFERROR(__xludf.DUMMYFUNCTION("""COMPUTED_VALUE"""),"")</f>
        <v/>
      </c>
      <c r="E617" s="6" t="str">
        <f ca="1">IFERROR(__xludf.DUMMYFUNCTION("""COMPUTED_VALUE"""),"")</f>
        <v/>
      </c>
      <c r="F617" s="6" t="str">
        <f ca="1">IFERROR(__xludf.DUMMYFUNCTION("""COMPUTED_VALUE"""),"")</f>
        <v/>
      </c>
      <c r="G617" s="6" t="str">
        <f ca="1">IFERROR(__xludf.DUMMYFUNCTION("""COMPUTED_VALUE"""),"")</f>
        <v/>
      </c>
      <c r="H617" s="6" t="str">
        <f ca="1">IFERROR(__xludf.DUMMYFUNCTION("""COMPUTED_VALUE"""),"")</f>
        <v/>
      </c>
      <c r="I617" s="6" t="str">
        <f ca="1">IFERROR(__xludf.DUMMYFUNCTION("""COMPUTED_VALUE"""),"")</f>
        <v/>
      </c>
      <c r="J617" s="6" t="str">
        <f ca="1">IFERROR(__xludf.DUMMYFUNCTION("""COMPUTED_VALUE"""),"")</f>
        <v/>
      </c>
    </row>
    <row r="618" spans="1:10" x14ac:dyDescent="0.2">
      <c r="A618" s="6" t="str">
        <f ca="1">IFERROR(__xludf.DUMMYFUNCTION("""COMPUTED_VALUE"""),"")</f>
        <v/>
      </c>
      <c r="B618" s="6" t="str">
        <f ca="1">IFERROR(__xludf.DUMMYFUNCTION("""COMPUTED_VALUE"""),"")</f>
        <v/>
      </c>
      <c r="C618" s="6" t="str">
        <f ca="1">IFERROR(__xludf.DUMMYFUNCTION("""COMPUTED_VALUE"""),"")</f>
        <v/>
      </c>
      <c r="D618" s="6" t="str">
        <f ca="1">IFERROR(__xludf.DUMMYFUNCTION("""COMPUTED_VALUE"""),"")</f>
        <v/>
      </c>
      <c r="E618" s="6" t="str">
        <f ca="1">IFERROR(__xludf.DUMMYFUNCTION("""COMPUTED_VALUE"""),"")</f>
        <v/>
      </c>
      <c r="F618" s="6" t="str">
        <f ca="1">IFERROR(__xludf.DUMMYFUNCTION("""COMPUTED_VALUE"""),"")</f>
        <v/>
      </c>
      <c r="G618" s="6" t="str">
        <f ca="1">IFERROR(__xludf.DUMMYFUNCTION("""COMPUTED_VALUE"""),"")</f>
        <v/>
      </c>
      <c r="H618" s="6" t="str">
        <f ca="1">IFERROR(__xludf.DUMMYFUNCTION("""COMPUTED_VALUE"""),"")</f>
        <v/>
      </c>
      <c r="I618" s="6" t="str">
        <f ca="1">IFERROR(__xludf.DUMMYFUNCTION("""COMPUTED_VALUE"""),"")</f>
        <v/>
      </c>
      <c r="J618" s="6" t="str">
        <f ca="1">IFERROR(__xludf.DUMMYFUNCTION("""COMPUTED_VALUE"""),"")</f>
        <v/>
      </c>
    </row>
    <row r="619" spans="1:10" x14ac:dyDescent="0.2">
      <c r="A619" s="6" t="str">
        <f ca="1">IFERROR(__xludf.DUMMYFUNCTION("""COMPUTED_VALUE"""),"")</f>
        <v/>
      </c>
      <c r="B619" s="6" t="str">
        <f ca="1">IFERROR(__xludf.DUMMYFUNCTION("""COMPUTED_VALUE"""),"")</f>
        <v/>
      </c>
      <c r="C619" s="6" t="str">
        <f ca="1">IFERROR(__xludf.DUMMYFUNCTION("""COMPUTED_VALUE"""),"")</f>
        <v/>
      </c>
      <c r="D619" s="6" t="str">
        <f ca="1">IFERROR(__xludf.DUMMYFUNCTION("""COMPUTED_VALUE"""),"")</f>
        <v/>
      </c>
      <c r="E619" s="6" t="str">
        <f ca="1">IFERROR(__xludf.DUMMYFUNCTION("""COMPUTED_VALUE"""),"")</f>
        <v/>
      </c>
      <c r="F619" s="6" t="str">
        <f ca="1">IFERROR(__xludf.DUMMYFUNCTION("""COMPUTED_VALUE"""),"")</f>
        <v/>
      </c>
      <c r="G619" s="6" t="str">
        <f ca="1">IFERROR(__xludf.DUMMYFUNCTION("""COMPUTED_VALUE"""),"")</f>
        <v/>
      </c>
      <c r="H619" s="6" t="str">
        <f ca="1">IFERROR(__xludf.DUMMYFUNCTION("""COMPUTED_VALUE"""),"")</f>
        <v/>
      </c>
      <c r="I619" s="6" t="str">
        <f ca="1">IFERROR(__xludf.DUMMYFUNCTION("""COMPUTED_VALUE"""),"")</f>
        <v/>
      </c>
      <c r="J619" s="6" t="str">
        <f ca="1">IFERROR(__xludf.DUMMYFUNCTION("""COMPUTED_VALUE"""),"")</f>
        <v/>
      </c>
    </row>
    <row r="620" spans="1:10" x14ac:dyDescent="0.2">
      <c r="A620" s="6" t="str">
        <f ca="1">IFERROR(__xludf.DUMMYFUNCTION("""COMPUTED_VALUE"""),"")</f>
        <v/>
      </c>
      <c r="B620" s="6" t="str">
        <f ca="1">IFERROR(__xludf.DUMMYFUNCTION("""COMPUTED_VALUE"""),"")</f>
        <v/>
      </c>
      <c r="C620" s="6" t="str">
        <f ca="1">IFERROR(__xludf.DUMMYFUNCTION("""COMPUTED_VALUE"""),"")</f>
        <v/>
      </c>
      <c r="D620" s="6" t="str">
        <f ca="1">IFERROR(__xludf.DUMMYFUNCTION("""COMPUTED_VALUE"""),"")</f>
        <v/>
      </c>
      <c r="E620" s="6" t="str">
        <f ca="1">IFERROR(__xludf.DUMMYFUNCTION("""COMPUTED_VALUE"""),"")</f>
        <v/>
      </c>
      <c r="F620" s="6" t="str">
        <f ca="1">IFERROR(__xludf.DUMMYFUNCTION("""COMPUTED_VALUE"""),"")</f>
        <v/>
      </c>
      <c r="G620" s="6" t="str">
        <f ca="1">IFERROR(__xludf.DUMMYFUNCTION("""COMPUTED_VALUE"""),"")</f>
        <v/>
      </c>
      <c r="H620" s="6" t="str">
        <f ca="1">IFERROR(__xludf.DUMMYFUNCTION("""COMPUTED_VALUE"""),"")</f>
        <v/>
      </c>
      <c r="I620" s="6" t="str">
        <f ca="1">IFERROR(__xludf.DUMMYFUNCTION("""COMPUTED_VALUE"""),"")</f>
        <v/>
      </c>
      <c r="J620" s="6" t="str">
        <f ca="1">IFERROR(__xludf.DUMMYFUNCTION("""COMPUTED_VALUE"""),"")</f>
        <v/>
      </c>
    </row>
    <row r="621" spans="1:10" x14ac:dyDescent="0.2">
      <c r="A621" s="6" t="str">
        <f ca="1">IFERROR(__xludf.DUMMYFUNCTION("""COMPUTED_VALUE"""),"")</f>
        <v/>
      </c>
      <c r="B621" s="6" t="str">
        <f ca="1">IFERROR(__xludf.DUMMYFUNCTION("""COMPUTED_VALUE"""),"")</f>
        <v/>
      </c>
      <c r="C621" s="6" t="str">
        <f ca="1">IFERROR(__xludf.DUMMYFUNCTION("""COMPUTED_VALUE"""),"")</f>
        <v/>
      </c>
      <c r="D621" s="6" t="str">
        <f ca="1">IFERROR(__xludf.DUMMYFUNCTION("""COMPUTED_VALUE"""),"")</f>
        <v/>
      </c>
      <c r="E621" s="6" t="str">
        <f ca="1">IFERROR(__xludf.DUMMYFUNCTION("""COMPUTED_VALUE"""),"")</f>
        <v/>
      </c>
      <c r="F621" s="6" t="str">
        <f ca="1">IFERROR(__xludf.DUMMYFUNCTION("""COMPUTED_VALUE"""),"")</f>
        <v/>
      </c>
      <c r="G621" s="6" t="str">
        <f ca="1">IFERROR(__xludf.DUMMYFUNCTION("""COMPUTED_VALUE"""),"")</f>
        <v/>
      </c>
      <c r="H621" s="6" t="str">
        <f ca="1">IFERROR(__xludf.DUMMYFUNCTION("""COMPUTED_VALUE"""),"")</f>
        <v/>
      </c>
      <c r="I621" s="6" t="str">
        <f ca="1">IFERROR(__xludf.DUMMYFUNCTION("""COMPUTED_VALUE"""),"")</f>
        <v/>
      </c>
      <c r="J621" s="6" t="str">
        <f ca="1">IFERROR(__xludf.DUMMYFUNCTION("""COMPUTED_VALUE"""),"")</f>
        <v/>
      </c>
    </row>
    <row r="622" spans="1:10" x14ac:dyDescent="0.2">
      <c r="A622" s="6" t="str">
        <f ca="1">IFERROR(__xludf.DUMMYFUNCTION("""COMPUTED_VALUE"""),"")</f>
        <v/>
      </c>
      <c r="B622" s="6" t="str">
        <f ca="1">IFERROR(__xludf.DUMMYFUNCTION("""COMPUTED_VALUE"""),"")</f>
        <v/>
      </c>
      <c r="C622" s="6" t="str">
        <f ca="1">IFERROR(__xludf.DUMMYFUNCTION("""COMPUTED_VALUE"""),"")</f>
        <v/>
      </c>
      <c r="D622" s="6" t="str">
        <f ca="1">IFERROR(__xludf.DUMMYFUNCTION("""COMPUTED_VALUE"""),"")</f>
        <v/>
      </c>
      <c r="E622" s="6" t="str">
        <f ca="1">IFERROR(__xludf.DUMMYFUNCTION("""COMPUTED_VALUE"""),"")</f>
        <v/>
      </c>
      <c r="F622" s="6" t="str">
        <f ca="1">IFERROR(__xludf.DUMMYFUNCTION("""COMPUTED_VALUE"""),"")</f>
        <v/>
      </c>
      <c r="G622" s="6" t="str">
        <f ca="1">IFERROR(__xludf.DUMMYFUNCTION("""COMPUTED_VALUE"""),"")</f>
        <v/>
      </c>
      <c r="H622" s="6" t="str">
        <f ca="1">IFERROR(__xludf.DUMMYFUNCTION("""COMPUTED_VALUE"""),"")</f>
        <v/>
      </c>
      <c r="I622" s="6" t="str">
        <f ca="1">IFERROR(__xludf.DUMMYFUNCTION("""COMPUTED_VALUE"""),"")</f>
        <v/>
      </c>
      <c r="J622" s="6" t="str">
        <f ca="1">IFERROR(__xludf.DUMMYFUNCTION("""COMPUTED_VALUE"""),"")</f>
        <v/>
      </c>
    </row>
    <row r="623" spans="1:10" x14ac:dyDescent="0.2">
      <c r="A623" s="6" t="str">
        <f ca="1">IFERROR(__xludf.DUMMYFUNCTION("""COMPUTED_VALUE"""),"")</f>
        <v/>
      </c>
      <c r="B623" s="6" t="str">
        <f ca="1">IFERROR(__xludf.DUMMYFUNCTION("""COMPUTED_VALUE"""),"")</f>
        <v/>
      </c>
      <c r="C623" s="6" t="str">
        <f ca="1">IFERROR(__xludf.DUMMYFUNCTION("""COMPUTED_VALUE"""),"")</f>
        <v/>
      </c>
      <c r="D623" s="6" t="str">
        <f ca="1">IFERROR(__xludf.DUMMYFUNCTION("""COMPUTED_VALUE"""),"")</f>
        <v/>
      </c>
      <c r="E623" s="6" t="str">
        <f ca="1">IFERROR(__xludf.DUMMYFUNCTION("""COMPUTED_VALUE"""),"")</f>
        <v/>
      </c>
      <c r="F623" s="6" t="str">
        <f ca="1">IFERROR(__xludf.DUMMYFUNCTION("""COMPUTED_VALUE"""),"")</f>
        <v/>
      </c>
      <c r="G623" s="6" t="str">
        <f ca="1">IFERROR(__xludf.DUMMYFUNCTION("""COMPUTED_VALUE"""),"")</f>
        <v/>
      </c>
      <c r="H623" s="6" t="str">
        <f ca="1">IFERROR(__xludf.DUMMYFUNCTION("""COMPUTED_VALUE"""),"")</f>
        <v/>
      </c>
      <c r="I623" s="6" t="str">
        <f ca="1">IFERROR(__xludf.DUMMYFUNCTION("""COMPUTED_VALUE"""),"")</f>
        <v/>
      </c>
      <c r="J623" s="6" t="str">
        <f ca="1">IFERROR(__xludf.DUMMYFUNCTION("""COMPUTED_VALUE"""),"")</f>
        <v/>
      </c>
    </row>
    <row r="624" spans="1:10" x14ac:dyDescent="0.2">
      <c r="A624" s="6" t="str">
        <f ca="1">IFERROR(__xludf.DUMMYFUNCTION("""COMPUTED_VALUE"""),"")</f>
        <v/>
      </c>
      <c r="B624" s="6" t="str">
        <f ca="1">IFERROR(__xludf.DUMMYFUNCTION("""COMPUTED_VALUE"""),"")</f>
        <v/>
      </c>
      <c r="C624" s="6" t="str">
        <f ca="1">IFERROR(__xludf.DUMMYFUNCTION("""COMPUTED_VALUE"""),"")</f>
        <v/>
      </c>
      <c r="D624" s="6" t="str">
        <f ca="1">IFERROR(__xludf.DUMMYFUNCTION("""COMPUTED_VALUE"""),"")</f>
        <v/>
      </c>
      <c r="E624" s="6" t="str">
        <f ca="1">IFERROR(__xludf.DUMMYFUNCTION("""COMPUTED_VALUE"""),"")</f>
        <v/>
      </c>
      <c r="F624" s="6" t="str">
        <f ca="1">IFERROR(__xludf.DUMMYFUNCTION("""COMPUTED_VALUE"""),"")</f>
        <v/>
      </c>
      <c r="G624" s="6" t="str">
        <f ca="1">IFERROR(__xludf.DUMMYFUNCTION("""COMPUTED_VALUE"""),"")</f>
        <v/>
      </c>
      <c r="H624" s="6" t="str">
        <f ca="1">IFERROR(__xludf.DUMMYFUNCTION("""COMPUTED_VALUE"""),"")</f>
        <v/>
      </c>
      <c r="I624" s="6" t="str">
        <f ca="1">IFERROR(__xludf.DUMMYFUNCTION("""COMPUTED_VALUE"""),"")</f>
        <v/>
      </c>
      <c r="J624" s="6" t="str">
        <f ca="1">IFERROR(__xludf.DUMMYFUNCTION("""COMPUTED_VALUE"""),"")</f>
        <v/>
      </c>
    </row>
    <row r="625" spans="1:10" x14ac:dyDescent="0.2">
      <c r="A625" s="6" t="str">
        <f ca="1">IFERROR(__xludf.DUMMYFUNCTION("""COMPUTED_VALUE"""),"")</f>
        <v/>
      </c>
      <c r="B625" s="6" t="str">
        <f ca="1">IFERROR(__xludf.DUMMYFUNCTION("""COMPUTED_VALUE"""),"")</f>
        <v/>
      </c>
      <c r="C625" s="6" t="str">
        <f ca="1">IFERROR(__xludf.DUMMYFUNCTION("""COMPUTED_VALUE"""),"")</f>
        <v/>
      </c>
      <c r="D625" s="6" t="str">
        <f ca="1">IFERROR(__xludf.DUMMYFUNCTION("""COMPUTED_VALUE"""),"")</f>
        <v/>
      </c>
      <c r="E625" s="6" t="str">
        <f ca="1">IFERROR(__xludf.DUMMYFUNCTION("""COMPUTED_VALUE"""),"")</f>
        <v/>
      </c>
      <c r="F625" s="6" t="str">
        <f ca="1">IFERROR(__xludf.DUMMYFUNCTION("""COMPUTED_VALUE"""),"")</f>
        <v/>
      </c>
      <c r="G625" s="6" t="str">
        <f ca="1">IFERROR(__xludf.DUMMYFUNCTION("""COMPUTED_VALUE"""),"")</f>
        <v/>
      </c>
      <c r="H625" s="6" t="str">
        <f ca="1">IFERROR(__xludf.DUMMYFUNCTION("""COMPUTED_VALUE"""),"")</f>
        <v/>
      </c>
      <c r="I625" s="6" t="str">
        <f ca="1">IFERROR(__xludf.DUMMYFUNCTION("""COMPUTED_VALUE"""),"")</f>
        <v/>
      </c>
      <c r="J625" s="6" t="str">
        <f ca="1">IFERROR(__xludf.DUMMYFUNCTION("""COMPUTED_VALUE"""),"")</f>
        <v/>
      </c>
    </row>
    <row r="626" spans="1:10" x14ac:dyDescent="0.2">
      <c r="A626" s="6" t="str">
        <f ca="1">IFERROR(__xludf.DUMMYFUNCTION("""COMPUTED_VALUE"""),"")</f>
        <v/>
      </c>
      <c r="B626" s="6" t="str">
        <f ca="1">IFERROR(__xludf.DUMMYFUNCTION("""COMPUTED_VALUE"""),"")</f>
        <v/>
      </c>
      <c r="C626" s="6" t="str">
        <f ca="1">IFERROR(__xludf.DUMMYFUNCTION("""COMPUTED_VALUE"""),"")</f>
        <v/>
      </c>
      <c r="D626" s="6" t="str">
        <f ca="1">IFERROR(__xludf.DUMMYFUNCTION("""COMPUTED_VALUE"""),"")</f>
        <v/>
      </c>
      <c r="E626" s="6" t="str">
        <f ca="1">IFERROR(__xludf.DUMMYFUNCTION("""COMPUTED_VALUE"""),"")</f>
        <v/>
      </c>
      <c r="F626" s="6" t="str">
        <f ca="1">IFERROR(__xludf.DUMMYFUNCTION("""COMPUTED_VALUE"""),"")</f>
        <v/>
      </c>
      <c r="G626" s="6" t="str">
        <f ca="1">IFERROR(__xludf.DUMMYFUNCTION("""COMPUTED_VALUE"""),"")</f>
        <v/>
      </c>
      <c r="H626" s="6" t="str">
        <f ca="1">IFERROR(__xludf.DUMMYFUNCTION("""COMPUTED_VALUE"""),"")</f>
        <v/>
      </c>
      <c r="I626" s="6" t="str">
        <f ca="1">IFERROR(__xludf.DUMMYFUNCTION("""COMPUTED_VALUE"""),"")</f>
        <v/>
      </c>
      <c r="J626" s="6" t="str">
        <f ca="1">IFERROR(__xludf.DUMMYFUNCTION("""COMPUTED_VALUE"""),"")</f>
        <v/>
      </c>
    </row>
    <row r="627" spans="1:10" x14ac:dyDescent="0.2">
      <c r="A627" s="6" t="str">
        <f ca="1">IFERROR(__xludf.DUMMYFUNCTION("""COMPUTED_VALUE"""),"")</f>
        <v/>
      </c>
      <c r="B627" s="6" t="str">
        <f ca="1">IFERROR(__xludf.DUMMYFUNCTION("""COMPUTED_VALUE"""),"")</f>
        <v/>
      </c>
      <c r="C627" s="6" t="str">
        <f ca="1">IFERROR(__xludf.DUMMYFUNCTION("""COMPUTED_VALUE"""),"")</f>
        <v/>
      </c>
      <c r="D627" s="6" t="str">
        <f ca="1">IFERROR(__xludf.DUMMYFUNCTION("""COMPUTED_VALUE"""),"")</f>
        <v/>
      </c>
      <c r="E627" s="6" t="str">
        <f ca="1">IFERROR(__xludf.DUMMYFUNCTION("""COMPUTED_VALUE"""),"")</f>
        <v/>
      </c>
      <c r="F627" s="6" t="str">
        <f ca="1">IFERROR(__xludf.DUMMYFUNCTION("""COMPUTED_VALUE"""),"")</f>
        <v/>
      </c>
      <c r="G627" s="6" t="str">
        <f ca="1">IFERROR(__xludf.DUMMYFUNCTION("""COMPUTED_VALUE"""),"")</f>
        <v/>
      </c>
      <c r="H627" s="6" t="str">
        <f ca="1">IFERROR(__xludf.DUMMYFUNCTION("""COMPUTED_VALUE"""),"")</f>
        <v/>
      </c>
      <c r="I627" s="6" t="str">
        <f ca="1">IFERROR(__xludf.DUMMYFUNCTION("""COMPUTED_VALUE"""),"")</f>
        <v/>
      </c>
      <c r="J627" s="6" t="str">
        <f ca="1">IFERROR(__xludf.DUMMYFUNCTION("""COMPUTED_VALUE"""),"")</f>
        <v/>
      </c>
    </row>
    <row r="628" spans="1:10" x14ac:dyDescent="0.2">
      <c r="A628" s="6" t="str">
        <f ca="1">IFERROR(__xludf.DUMMYFUNCTION("""COMPUTED_VALUE"""),"")</f>
        <v/>
      </c>
      <c r="B628" s="6" t="str">
        <f ca="1">IFERROR(__xludf.DUMMYFUNCTION("""COMPUTED_VALUE"""),"")</f>
        <v/>
      </c>
      <c r="C628" s="6" t="str">
        <f ca="1">IFERROR(__xludf.DUMMYFUNCTION("""COMPUTED_VALUE"""),"")</f>
        <v/>
      </c>
      <c r="D628" s="6" t="str">
        <f ca="1">IFERROR(__xludf.DUMMYFUNCTION("""COMPUTED_VALUE"""),"")</f>
        <v/>
      </c>
      <c r="E628" s="6" t="str">
        <f ca="1">IFERROR(__xludf.DUMMYFUNCTION("""COMPUTED_VALUE"""),"")</f>
        <v/>
      </c>
      <c r="F628" s="6" t="str">
        <f ca="1">IFERROR(__xludf.DUMMYFUNCTION("""COMPUTED_VALUE"""),"")</f>
        <v/>
      </c>
      <c r="G628" s="6" t="str">
        <f ca="1">IFERROR(__xludf.DUMMYFUNCTION("""COMPUTED_VALUE"""),"")</f>
        <v/>
      </c>
      <c r="H628" s="6" t="str">
        <f ca="1">IFERROR(__xludf.DUMMYFUNCTION("""COMPUTED_VALUE"""),"")</f>
        <v/>
      </c>
      <c r="I628" s="6" t="str">
        <f ca="1">IFERROR(__xludf.DUMMYFUNCTION("""COMPUTED_VALUE"""),"")</f>
        <v/>
      </c>
      <c r="J628" s="6" t="str">
        <f ca="1">IFERROR(__xludf.DUMMYFUNCTION("""COMPUTED_VALUE"""),"")</f>
        <v/>
      </c>
    </row>
    <row r="629" spans="1:10" x14ac:dyDescent="0.2">
      <c r="A629" s="6" t="str">
        <f ca="1">IFERROR(__xludf.DUMMYFUNCTION("""COMPUTED_VALUE"""),"")</f>
        <v/>
      </c>
      <c r="B629" s="6" t="str">
        <f ca="1">IFERROR(__xludf.DUMMYFUNCTION("""COMPUTED_VALUE"""),"")</f>
        <v/>
      </c>
      <c r="C629" s="6" t="str">
        <f ca="1">IFERROR(__xludf.DUMMYFUNCTION("""COMPUTED_VALUE"""),"")</f>
        <v/>
      </c>
      <c r="D629" s="6" t="str">
        <f ca="1">IFERROR(__xludf.DUMMYFUNCTION("""COMPUTED_VALUE"""),"")</f>
        <v/>
      </c>
      <c r="E629" s="6" t="str">
        <f ca="1">IFERROR(__xludf.DUMMYFUNCTION("""COMPUTED_VALUE"""),"")</f>
        <v/>
      </c>
      <c r="F629" s="6" t="str">
        <f ca="1">IFERROR(__xludf.DUMMYFUNCTION("""COMPUTED_VALUE"""),"")</f>
        <v/>
      </c>
      <c r="G629" s="6" t="str">
        <f ca="1">IFERROR(__xludf.DUMMYFUNCTION("""COMPUTED_VALUE"""),"")</f>
        <v/>
      </c>
      <c r="H629" s="6" t="str">
        <f ca="1">IFERROR(__xludf.DUMMYFUNCTION("""COMPUTED_VALUE"""),"")</f>
        <v/>
      </c>
      <c r="I629" s="6" t="str">
        <f ca="1">IFERROR(__xludf.DUMMYFUNCTION("""COMPUTED_VALUE"""),"")</f>
        <v/>
      </c>
      <c r="J629" s="6" t="str">
        <f ca="1">IFERROR(__xludf.DUMMYFUNCTION("""COMPUTED_VALUE"""),"")</f>
        <v/>
      </c>
    </row>
    <row r="630" spans="1:10" x14ac:dyDescent="0.2">
      <c r="A630" s="6" t="str">
        <f ca="1">IFERROR(__xludf.DUMMYFUNCTION("""COMPUTED_VALUE"""),"")</f>
        <v/>
      </c>
      <c r="B630" s="6" t="str">
        <f ca="1">IFERROR(__xludf.DUMMYFUNCTION("""COMPUTED_VALUE"""),"")</f>
        <v/>
      </c>
      <c r="C630" s="6" t="str">
        <f ca="1">IFERROR(__xludf.DUMMYFUNCTION("""COMPUTED_VALUE"""),"")</f>
        <v/>
      </c>
      <c r="D630" s="6" t="str">
        <f ca="1">IFERROR(__xludf.DUMMYFUNCTION("""COMPUTED_VALUE"""),"")</f>
        <v/>
      </c>
      <c r="E630" s="6" t="str">
        <f ca="1">IFERROR(__xludf.DUMMYFUNCTION("""COMPUTED_VALUE"""),"")</f>
        <v/>
      </c>
      <c r="F630" s="6" t="str">
        <f ca="1">IFERROR(__xludf.DUMMYFUNCTION("""COMPUTED_VALUE"""),"")</f>
        <v/>
      </c>
      <c r="G630" s="6" t="str">
        <f ca="1">IFERROR(__xludf.DUMMYFUNCTION("""COMPUTED_VALUE"""),"")</f>
        <v/>
      </c>
      <c r="H630" s="6" t="str">
        <f ca="1">IFERROR(__xludf.DUMMYFUNCTION("""COMPUTED_VALUE"""),"")</f>
        <v/>
      </c>
      <c r="I630" s="6" t="str">
        <f ca="1">IFERROR(__xludf.DUMMYFUNCTION("""COMPUTED_VALUE"""),"")</f>
        <v/>
      </c>
      <c r="J630" s="6" t="str">
        <f ca="1">IFERROR(__xludf.DUMMYFUNCTION("""COMPUTED_VALUE"""),"")</f>
        <v/>
      </c>
    </row>
    <row r="631" spans="1:10" x14ac:dyDescent="0.2">
      <c r="A631" s="6" t="str">
        <f ca="1">IFERROR(__xludf.DUMMYFUNCTION("""COMPUTED_VALUE"""),"")</f>
        <v/>
      </c>
      <c r="B631" s="6" t="str">
        <f ca="1">IFERROR(__xludf.DUMMYFUNCTION("""COMPUTED_VALUE"""),"")</f>
        <v/>
      </c>
      <c r="C631" s="6" t="str">
        <f ca="1">IFERROR(__xludf.DUMMYFUNCTION("""COMPUTED_VALUE"""),"")</f>
        <v/>
      </c>
      <c r="D631" s="6" t="str">
        <f ca="1">IFERROR(__xludf.DUMMYFUNCTION("""COMPUTED_VALUE"""),"")</f>
        <v/>
      </c>
      <c r="E631" s="6" t="str">
        <f ca="1">IFERROR(__xludf.DUMMYFUNCTION("""COMPUTED_VALUE"""),"")</f>
        <v/>
      </c>
      <c r="F631" s="6" t="str">
        <f ca="1">IFERROR(__xludf.DUMMYFUNCTION("""COMPUTED_VALUE"""),"")</f>
        <v/>
      </c>
      <c r="G631" s="6" t="str">
        <f ca="1">IFERROR(__xludf.DUMMYFUNCTION("""COMPUTED_VALUE"""),"")</f>
        <v/>
      </c>
      <c r="H631" s="6" t="str">
        <f ca="1">IFERROR(__xludf.DUMMYFUNCTION("""COMPUTED_VALUE"""),"")</f>
        <v/>
      </c>
      <c r="I631" s="6" t="str">
        <f ca="1">IFERROR(__xludf.DUMMYFUNCTION("""COMPUTED_VALUE"""),"")</f>
        <v/>
      </c>
      <c r="J631" s="6" t="str">
        <f ca="1">IFERROR(__xludf.DUMMYFUNCTION("""COMPUTED_VALUE"""),"")</f>
        <v/>
      </c>
    </row>
    <row r="632" spans="1:10" x14ac:dyDescent="0.2">
      <c r="A632" s="6" t="str">
        <f ca="1">IFERROR(__xludf.DUMMYFUNCTION("""COMPUTED_VALUE"""),"")</f>
        <v/>
      </c>
      <c r="B632" s="6" t="str">
        <f ca="1">IFERROR(__xludf.DUMMYFUNCTION("""COMPUTED_VALUE"""),"")</f>
        <v/>
      </c>
      <c r="C632" s="6" t="str">
        <f ca="1">IFERROR(__xludf.DUMMYFUNCTION("""COMPUTED_VALUE"""),"")</f>
        <v/>
      </c>
      <c r="D632" s="6" t="str">
        <f ca="1">IFERROR(__xludf.DUMMYFUNCTION("""COMPUTED_VALUE"""),"")</f>
        <v/>
      </c>
      <c r="E632" s="6" t="str">
        <f ca="1">IFERROR(__xludf.DUMMYFUNCTION("""COMPUTED_VALUE"""),"")</f>
        <v/>
      </c>
      <c r="F632" s="6" t="str">
        <f ca="1">IFERROR(__xludf.DUMMYFUNCTION("""COMPUTED_VALUE"""),"")</f>
        <v/>
      </c>
      <c r="G632" s="6" t="str">
        <f ca="1">IFERROR(__xludf.DUMMYFUNCTION("""COMPUTED_VALUE"""),"")</f>
        <v/>
      </c>
      <c r="H632" s="6" t="str">
        <f ca="1">IFERROR(__xludf.DUMMYFUNCTION("""COMPUTED_VALUE"""),"")</f>
        <v/>
      </c>
      <c r="I632" s="6" t="str">
        <f ca="1">IFERROR(__xludf.DUMMYFUNCTION("""COMPUTED_VALUE"""),"")</f>
        <v/>
      </c>
      <c r="J632" s="6" t="str">
        <f ca="1">IFERROR(__xludf.DUMMYFUNCTION("""COMPUTED_VALUE"""),"")</f>
        <v/>
      </c>
    </row>
    <row r="633" spans="1:10" x14ac:dyDescent="0.2">
      <c r="A633" s="6" t="str">
        <f ca="1">IFERROR(__xludf.DUMMYFUNCTION("""COMPUTED_VALUE"""),"")</f>
        <v/>
      </c>
      <c r="B633" s="6" t="str">
        <f ca="1">IFERROR(__xludf.DUMMYFUNCTION("""COMPUTED_VALUE"""),"")</f>
        <v/>
      </c>
      <c r="C633" s="6" t="str">
        <f ca="1">IFERROR(__xludf.DUMMYFUNCTION("""COMPUTED_VALUE"""),"")</f>
        <v/>
      </c>
      <c r="D633" s="6" t="str">
        <f ca="1">IFERROR(__xludf.DUMMYFUNCTION("""COMPUTED_VALUE"""),"")</f>
        <v/>
      </c>
      <c r="E633" s="6" t="str">
        <f ca="1">IFERROR(__xludf.DUMMYFUNCTION("""COMPUTED_VALUE"""),"")</f>
        <v/>
      </c>
      <c r="F633" s="6" t="str">
        <f ca="1">IFERROR(__xludf.DUMMYFUNCTION("""COMPUTED_VALUE"""),"")</f>
        <v/>
      </c>
      <c r="G633" s="6" t="str">
        <f ca="1">IFERROR(__xludf.DUMMYFUNCTION("""COMPUTED_VALUE"""),"")</f>
        <v/>
      </c>
      <c r="H633" s="6" t="str">
        <f ca="1">IFERROR(__xludf.DUMMYFUNCTION("""COMPUTED_VALUE"""),"")</f>
        <v/>
      </c>
      <c r="I633" s="6" t="str">
        <f ca="1">IFERROR(__xludf.DUMMYFUNCTION("""COMPUTED_VALUE"""),"")</f>
        <v/>
      </c>
      <c r="J633" s="6" t="str">
        <f ca="1">IFERROR(__xludf.DUMMYFUNCTION("""COMPUTED_VALUE"""),"")</f>
        <v/>
      </c>
    </row>
    <row r="634" spans="1:10" x14ac:dyDescent="0.2">
      <c r="A634" s="6" t="str">
        <f ca="1">IFERROR(__xludf.DUMMYFUNCTION("""COMPUTED_VALUE"""),"")</f>
        <v/>
      </c>
      <c r="B634" s="6" t="str">
        <f ca="1">IFERROR(__xludf.DUMMYFUNCTION("""COMPUTED_VALUE"""),"")</f>
        <v/>
      </c>
      <c r="C634" s="6" t="str">
        <f ca="1">IFERROR(__xludf.DUMMYFUNCTION("""COMPUTED_VALUE"""),"")</f>
        <v/>
      </c>
      <c r="D634" s="6" t="str">
        <f ca="1">IFERROR(__xludf.DUMMYFUNCTION("""COMPUTED_VALUE"""),"")</f>
        <v/>
      </c>
      <c r="E634" s="6" t="str">
        <f ca="1">IFERROR(__xludf.DUMMYFUNCTION("""COMPUTED_VALUE"""),"")</f>
        <v/>
      </c>
      <c r="F634" s="6" t="str">
        <f ca="1">IFERROR(__xludf.DUMMYFUNCTION("""COMPUTED_VALUE"""),"")</f>
        <v/>
      </c>
      <c r="G634" s="6" t="str">
        <f ca="1">IFERROR(__xludf.DUMMYFUNCTION("""COMPUTED_VALUE"""),"")</f>
        <v/>
      </c>
      <c r="H634" s="6" t="str">
        <f ca="1">IFERROR(__xludf.DUMMYFUNCTION("""COMPUTED_VALUE"""),"")</f>
        <v/>
      </c>
      <c r="I634" s="6" t="str">
        <f ca="1">IFERROR(__xludf.DUMMYFUNCTION("""COMPUTED_VALUE"""),"")</f>
        <v/>
      </c>
      <c r="J634" s="6" t="str">
        <f ca="1">IFERROR(__xludf.DUMMYFUNCTION("""COMPUTED_VALUE"""),"")</f>
        <v/>
      </c>
    </row>
    <row r="635" spans="1:10" x14ac:dyDescent="0.2">
      <c r="A635" s="6" t="str">
        <f ca="1">IFERROR(__xludf.DUMMYFUNCTION("""COMPUTED_VALUE"""),"")</f>
        <v/>
      </c>
      <c r="B635" s="6" t="str">
        <f ca="1">IFERROR(__xludf.DUMMYFUNCTION("""COMPUTED_VALUE"""),"")</f>
        <v/>
      </c>
      <c r="C635" s="6" t="str">
        <f ca="1">IFERROR(__xludf.DUMMYFUNCTION("""COMPUTED_VALUE"""),"")</f>
        <v/>
      </c>
      <c r="D635" s="6" t="str">
        <f ca="1">IFERROR(__xludf.DUMMYFUNCTION("""COMPUTED_VALUE"""),"")</f>
        <v/>
      </c>
      <c r="E635" s="6" t="str">
        <f ca="1">IFERROR(__xludf.DUMMYFUNCTION("""COMPUTED_VALUE"""),"")</f>
        <v/>
      </c>
      <c r="F635" s="6" t="str">
        <f ca="1">IFERROR(__xludf.DUMMYFUNCTION("""COMPUTED_VALUE"""),"")</f>
        <v/>
      </c>
      <c r="G635" s="6" t="str">
        <f ca="1">IFERROR(__xludf.DUMMYFUNCTION("""COMPUTED_VALUE"""),"")</f>
        <v/>
      </c>
      <c r="H635" s="6" t="str">
        <f ca="1">IFERROR(__xludf.DUMMYFUNCTION("""COMPUTED_VALUE"""),"")</f>
        <v/>
      </c>
      <c r="I635" s="6" t="str">
        <f ca="1">IFERROR(__xludf.DUMMYFUNCTION("""COMPUTED_VALUE"""),"")</f>
        <v/>
      </c>
      <c r="J635" s="6" t="str">
        <f ca="1">IFERROR(__xludf.DUMMYFUNCTION("""COMPUTED_VALUE"""),"")</f>
        <v/>
      </c>
    </row>
    <row r="636" spans="1:10" x14ac:dyDescent="0.2">
      <c r="A636" s="6" t="str">
        <f ca="1">IFERROR(__xludf.DUMMYFUNCTION("""COMPUTED_VALUE"""),"")</f>
        <v/>
      </c>
      <c r="B636" s="6" t="str">
        <f ca="1">IFERROR(__xludf.DUMMYFUNCTION("""COMPUTED_VALUE"""),"")</f>
        <v/>
      </c>
      <c r="C636" s="6" t="str">
        <f ca="1">IFERROR(__xludf.DUMMYFUNCTION("""COMPUTED_VALUE"""),"")</f>
        <v/>
      </c>
      <c r="D636" s="6" t="str">
        <f ca="1">IFERROR(__xludf.DUMMYFUNCTION("""COMPUTED_VALUE"""),"")</f>
        <v/>
      </c>
      <c r="E636" s="6" t="str">
        <f ca="1">IFERROR(__xludf.DUMMYFUNCTION("""COMPUTED_VALUE"""),"")</f>
        <v/>
      </c>
      <c r="F636" s="6" t="str">
        <f ca="1">IFERROR(__xludf.DUMMYFUNCTION("""COMPUTED_VALUE"""),"")</f>
        <v/>
      </c>
      <c r="G636" s="6" t="str">
        <f ca="1">IFERROR(__xludf.DUMMYFUNCTION("""COMPUTED_VALUE"""),"")</f>
        <v/>
      </c>
      <c r="H636" s="6" t="str">
        <f ca="1">IFERROR(__xludf.DUMMYFUNCTION("""COMPUTED_VALUE"""),"")</f>
        <v/>
      </c>
      <c r="I636" s="6" t="str">
        <f ca="1">IFERROR(__xludf.DUMMYFUNCTION("""COMPUTED_VALUE"""),"")</f>
        <v/>
      </c>
      <c r="J636" s="6" t="str">
        <f ca="1">IFERROR(__xludf.DUMMYFUNCTION("""COMPUTED_VALUE"""),"")</f>
        <v/>
      </c>
    </row>
    <row r="637" spans="1:10" x14ac:dyDescent="0.2">
      <c r="A637" s="6" t="str">
        <f ca="1">IFERROR(__xludf.DUMMYFUNCTION("""COMPUTED_VALUE"""),"")</f>
        <v/>
      </c>
      <c r="B637" s="6" t="str">
        <f ca="1">IFERROR(__xludf.DUMMYFUNCTION("""COMPUTED_VALUE"""),"")</f>
        <v/>
      </c>
      <c r="C637" s="6" t="str">
        <f ca="1">IFERROR(__xludf.DUMMYFUNCTION("""COMPUTED_VALUE"""),"")</f>
        <v/>
      </c>
      <c r="D637" s="6" t="str">
        <f ca="1">IFERROR(__xludf.DUMMYFUNCTION("""COMPUTED_VALUE"""),"")</f>
        <v/>
      </c>
      <c r="E637" s="6" t="str">
        <f ca="1">IFERROR(__xludf.DUMMYFUNCTION("""COMPUTED_VALUE"""),"")</f>
        <v/>
      </c>
      <c r="F637" s="6" t="str">
        <f ca="1">IFERROR(__xludf.DUMMYFUNCTION("""COMPUTED_VALUE"""),"")</f>
        <v/>
      </c>
      <c r="G637" s="6" t="str">
        <f ca="1">IFERROR(__xludf.DUMMYFUNCTION("""COMPUTED_VALUE"""),"")</f>
        <v/>
      </c>
      <c r="H637" s="6" t="str">
        <f ca="1">IFERROR(__xludf.DUMMYFUNCTION("""COMPUTED_VALUE"""),"")</f>
        <v/>
      </c>
      <c r="I637" s="6" t="str">
        <f ca="1">IFERROR(__xludf.DUMMYFUNCTION("""COMPUTED_VALUE"""),"")</f>
        <v/>
      </c>
      <c r="J637" s="6" t="str">
        <f ca="1">IFERROR(__xludf.DUMMYFUNCTION("""COMPUTED_VALUE"""),"")</f>
        <v/>
      </c>
    </row>
    <row r="638" spans="1:10" x14ac:dyDescent="0.2">
      <c r="A638" s="6" t="str">
        <f ca="1">IFERROR(__xludf.DUMMYFUNCTION("""COMPUTED_VALUE"""),"")</f>
        <v/>
      </c>
      <c r="B638" s="6" t="str">
        <f ca="1">IFERROR(__xludf.DUMMYFUNCTION("""COMPUTED_VALUE"""),"")</f>
        <v/>
      </c>
      <c r="C638" s="6" t="str">
        <f ca="1">IFERROR(__xludf.DUMMYFUNCTION("""COMPUTED_VALUE"""),"")</f>
        <v/>
      </c>
      <c r="D638" s="6" t="str">
        <f ca="1">IFERROR(__xludf.DUMMYFUNCTION("""COMPUTED_VALUE"""),"")</f>
        <v/>
      </c>
      <c r="E638" s="6" t="str">
        <f ca="1">IFERROR(__xludf.DUMMYFUNCTION("""COMPUTED_VALUE"""),"")</f>
        <v/>
      </c>
      <c r="F638" s="6" t="str">
        <f ca="1">IFERROR(__xludf.DUMMYFUNCTION("""COMPUTED_VALUE"""),"")</f>
        <v/>
      </c>
      <c r="G638" s="6" t="str">
        <f ca="1">IFERROR(__xludf.DUMMYFUNCTION("""COMPUTED_VALUE"""),"")</f>
        <v/>
      </c>
      <c r="H638" s="6" t="str">
        <f ca="1">IFERROR(__xludf.DUMMYFUNCTION("""COMPUTED_VALUE"""),"")</f>
        <v/>
      </c>
      <c r="I638" s="6" t="str">
        <f ca="1">IFERROR(__xludf.DUMMYFUNCTION("""COMPUTED_VALUE"""),"")</f>
        <v/>
      </c>
      <c r="J638" s="6" t="str">
        <f ca="1">IFERROR(__xludf.DUMMYFUNCTION("""COMPUTED_VALUE"""),"")</f>
        <v/>
      </c>
    </row>
    <row r="639" spans="1:10" x14ac:dyDescent="0.2">
      <c r="A639" s="6" t="str">
        <f ca="1">IFERROR(__xludf.DUMMYFUNCTION("""COMPUTED_VALUE"""),"")</f>
        <v/>
      </c>
      <c r="B639" s="6" t="str">
        <f ca="1">IFERROR(__xludf.DUMMYFUNCTION("""COMPUTED_VALUE"""),"")</f>
        <v/>
      </c>
      <c r="C639" s="6" t="str">
        <f ca="1">IFERROR(__xludf.DUMMYFUNCTION("""COMPUTED_VALUE"""),"")</f>
        <v/>
      </c>
      <c r="D639" s="6" t="str">
        <f ca="1">IFERROR(__xludf.DUMMYFUNCTION("""COMPUTED_VALUE"""),"")</f>
        <v/>
      </c>
      <c r="E639" s="6" t="str">
        <f ca="1">IFERROR(__xludf.DUMMYFUNCTION("""COMPUTED_VALUE"""),"")</f>
        <v/>
      </c>
      <c r="F639" s="6" t="str">
        <f ca="1">IFERROR(__xludf.DUMMYFUNCTION("""COMPUTED_VALUE"""),"")</f>
        <v/>
      </c>
      <c r="G639" s="6" t="str">
        <f ca="1">IFERROR(__xludf.DUMMYFUNCTION("""COMPUTED_VALUE"""),"")</f>
        <v/>
      </c>
      <c r="H639" s="6" t="str">
        <f ca="1">IFERROR(__xludf.DUMMYFUNCTION("""COMPUTED_VALUE"""),"")</f>
        <v/>
      </c>
      <c r="I639" s="6" t="str">
        <f ca="1">IFERROR(__xludf.DUMMYFUNCTION("""COMPUTED_VALUE"""),"")</f>
        <v/>
      </c>
      <c r="J639" s="6" t="str">
        <f ca="1">IFERROR(__xludf.DUMMYFUNCTION("""COMPUTED_VALUE"""),"")</f>
        <v/>
      </c>
    </row>
    <row r="640" spans="1:10" x14ac:dyDescent="0.2">
      <c r="A640" s="6" t="str">
        <f ca="1">IFERROR(__xludf.DUMMYFUNCTION("""COMPUTED_VALUE"""),"")</f>
        <v/>
      </c>
      <c r="B640" s="6" t="str">
        <f ca="1">IFERROR(__xludf.DUMMYFUNCTION("""COMPUTED_VALUE"""),"")</f>
        <v/>
      </c>
      <c r="C640" s="6" t="str">
        <f ca="1">IFERROR(__xludf.DUMMYFUNCTION("""COMPUTED_VALUE"""),"")</f>
        <v/>
      </c>
      <c r="D640" s="6" t="str">
        <f ca="1">IFERROR(__xludf.DUMMYFUNCTION("""COMPUTED_VALUE"""),"")</f>
        <v/>
      </c>
      <c r="E640" s="6" t="str">
        <f ca="1">IFERROR(__xludf.DUMMYFUNCTION("""COMPUTED_VALUE"""),"")</f>
        <v/>
      </c>
      <c r="F640" s="6" t="str">
        <f ca="1">IFERROR(__xludf.DUMMYFUNCTION("""COMPUTED_VALUE"""),"")</f>
        <v/>
      </c>
      <c r="G640" s="6" t="str">
        <f ca="1">IFERROR(__xludf.DUMMYFUNCTION("""COMPUTED_VALUE"""),"")</f>
        <v/>
      </c>
      <c r="H640" s="6" t="str">
        <f ca="1">IFERROR(__xludf.DUMMYFUNCTION("""COMPUTED_VALUE"""),"")</f>
        <v/>
      </c>
      <c r="I640" s="6" t="str">
        <f ca="1">IFERROR(__xludf.DUMMYFUNCTION("""COMPUTED_VALUE"""),"")</f>
        <v/>
      </c>
      <c r="J640" s="6" t="str">
        <f ca="1">IFERROR(__xludf.DUMMYFUNCTION("""COMPUTED_VALUE"""),"")</f>
        <v/>
      </c>
    </row>
    <row r="641" spans="1:10" x14ac:dyDescent="0.2">
      <c r="A641" s="6" t="str">
        <f ca="1">IFERROR(__xludf.DUMMYFUNCTION("""COMPUTED_VALUE"""),"")</f>
        <v/>
      </c>
      <c r="B641" s="6" t="str">
        <f ca="1">IFERROR(__xludf.DUMMYFUNCTION("""COMPUTED_VALUE"""),"")</f>
        <v/>
      </c>
      <c r="C641" s="6" t="str">
        <f ca="1">IFERROR(__xludf.DUMMYFUNCTION("""COMPUTED_VALUE"""),"")</f>
        <v/>
      </c>
      <c r="D641" s="6" t="str">
        <f ca="1">IFERROR(__xludf.DUMMYFUNCTION("""COMPUTED_VALUE"""),"")</f>
        <v/>
      </c>
      <c r="E641" s="6" t="str">
        <f ca="1">IFERROR(__xludf.DUMMYFUNCTION("""COMPUTED_VALUE"""),"")</f>
        <v/>
      </c>
      <c r="F641" s="6" t="str">
        <f ca="1">IFERROR(__xludf.DUMMYFUNCTION("""COMPUTED_VALUE"""),"")</f>
        <v/>
      </c>
      <c r="G641" s="6" t="str">
        <f ca="1">IFERROR(__xludf.DUMMYFUNCTION("""COMPUTED_VALUE"""),"")</f>
        <v/>
      </c>
      <c r="H641" s="6" t="str">
        <f ca="1">IFERROR(__xludf.DUMMYFUNCTION("""COMPUTED_VALUE"""),"")</f>
        <v/>
      </c>
      <c r="I641" s="6" t="str">
        <f ca="1">IFERROR(__xludf.DUMMYFUNCTION("""COMPUTED_VALUE"""),"")</f>
        <v/>
      </c>
      <c r="J641" s="6" t="str">
        <f ca="1">IFERROR(__xludf.DUMMYFUNCTION("""COMPUTED_VALUE"""),"")</f>
        <v/>
      </c>
    </row>
    <row r="642" spans="1:10" x14ac:dyDescent="0.2">
      <c r="A642" s="6" t="str">
        <f ca="1">IFERROR(__xludf.DUMMYFUNCTION("""COMPUTED_VALUE"""),"")</f>
        <v/>
      </c>
      <c r="B642" s="6" t="str">
        <f ca="1">IFERROR(__xludf.DUMMYFUNCTION("""COMPUTED_VALUE"""),"")</f>
        <v/>
      </c>
      <c r="C642" s="6" t="str">
        <f ca="1">IFERROR(__xludf.DUMMYFUNCTION("""COMPUTED_VALUE"""),"")</f>
        <v/>
      </c>
      <c r="D642" s="6" t="str">
        <f ca="1">IFERROR(__xludf.DUMMYFUNCTION("""COMPUTED_VALUE"""),"")</f>
        <v/>
      </c>
      <c r="E642" s="6" t="str">
        <f ca="1">IFERROR(__xludf.DUMMYFUNCTION("""COMPUTED_VALUE"""),"")</f>
        <v/>
      </c>
      <c r="F642" s="6" t="str">
        <f ca="1">IFERROR(__xludf.DUMMYFUNCTION("""COMPUTED_VALUE"""),"")</f>
        <v/>
      </c>
      <c r="G642" s="6" t="str">
        <f ca="1">IFERROR(__xludf.DUMMYFUNCTION("""COMPUTED_VALUE"""),"")</f>
        <v/>
      </c>
      <c r="H642" s="6" t="str">
        <f ca="1">IFERROR(__xludf.DUMMYFUNCTION("""COMPUTED_VALUE"""),"")</f>
        <v/>
      </c>
      <c r="I642" s="6" t="str">
        <f ca="1">IFERROR(__xludf.DUMMYFUNCTION("""COMPUTED_VALUE"""),"")</f>
        <v/>
      </c>
      <c r="J642" s="6" t="str">
        <f ca="1">IFERROR(__xludf.DUMMYFUNCTION("""COMPUTED_VALUE"""),"")</f>
        <v/>
      </c>
    </row>
    <row r="643" spans="1:10" x14ac:dyDescent="0.2">
      <c r="A643" s="6" t="str">
        <f ca="1">IFERROR(__xludf.DUMMYFUNCTION("""COMPUTED_VALUE"""),"")</f>
        <v/>
      </c>
      <c r="B643" s="6" t="str">
        <f ca="1">IFERROR(__xludf.DUMMYFUNCTION("""COMPUTED_VALUE"""),"")</f>
        <v/>
      </c>
      <c r="C643" s="6" t="str">
        <f ca="1">IFERROR(__xludf.DUMMYFUNCTION("""COMPUTED_VALUE"""),"")</f>
        <v/>
      </c>
      <c r="D643" s="6" t="str">
        <f ca="1">IFERROR(__xludf.DUMMYFUNCTION("""COMPUTED_VALUE"""),"")</f>
        <v/>
      </c>
      <c r="E643" s="6" t="str">
        <f ca="1">IFERROR(__xludf.DUMMYFUNCTION("""COMPUTED_VALUE"""),"")</f>
        <v/>
      </c>
      <c r="F643" s="6" t="str">
        <f ca="1">IFERROR(__xludf.DUMMYFUNCTION("""COMPUTED_VALUE"""),"")</f>
        <v/>
      </c>
      <c r="G643" s="6" t="str">
        <f ca="1">IFERROR(__xludf.DUMMYFUNCTION("""COMPUTED_VALUE"""),"")</f>
        <v/>
      </c>
      <c r="H643" s="6" t="str">
        <f ca="1">IFERROR(__xludf.DUMMYFUNCTION("""COMPUTED_VALUE"""),"")</f>
        <v/>
      </c>
      <c r="I643" s="6" t="str">
        <f ca="1">IFERROR(__xludf.DUMMYFUNCTION("""COMPUTED_VALUE"""),"")</f>
        <v/>
      </c>
      <c r="J643" s="6" t="str">
        <f ca="1">IFERROR(__xludf.DUMMYFUNCTION("""COMPUTED_VALUE"""),"")</f>
        <v/>
      </c>
    </row>
    <row r="644" spans="1:10" x14ac:dyDescent="0.2">
      <c r="A644" s="6" t="str">
        <f ca="1">IFERROR(__xludf.DUMMYFUNCTION("""COMPUTED_VALUE"""),"")</f>
        <v/>
      </c>
      <c r="B644" s="6" t="str">
        <f ca="1">IFERROR(__xludf.DUMMYFUNCTION("""COMPUTED_VALUE"""),"")</f>
        <v/>
      </c>
      <c r="C644" s="6" t="str">
        <f ca="1">IFERROR(__xludf.DUMMYFUNCTION("""COMPUTED_VALUE"""),"")</f>
        <v/>
      </c>
      <c r="D644" s="6" t="str">
        <f ca="1">IFERROR(__xludf.DUMMYFUNCTION("""COMPUTED_VALUE"""),"")</f>
        <v/>
      </c>
      <c r="E644" s="6" t="str">
        <f ca="1">IFERROR(__xludf.DUMMYFUNCTION("""COMPUTED_VALUE"""),"")</f>
        <v/>
      </c>
      <c r="F644" s="6" t="str">
        <f ca="1">IFERROR(__xludf.DUMMYFUNCTION("""COMPUTED_VALUE"""),"")</f>
        <v/>
      </c>
      <c r="G644" s="6" t="str">
        <f ca="1">IFERROR(__xludf.DUMMYFUNCTION("""COMPUTED_VALUE"""),"")</f>
        <v/>
      </c>
      <c r="H644" s="6" t="str">
        <f ca="1">IFERROR(__xludf.DUMMYFUNCTION("""COMPUTED_VALUE"""),"")</f>
        <v/>
      </c>
      <c r="I644" s="6" t="str">
        <f ca="1">IFERROR(__xludf.DUMMYFUNCTION("""COMPUTED_VALUE"""),"")</f>
        <v/>
      </c>
      <c r="J644" s="6" t="str">
        <f ca="1">IFERROR(__xludf.DUMMYFUNCTION("""COMPUTED_VALUE"""),"")</f>
        <v/>
      </c>
    </row>
    <row r="645" spans="1:10" x14ac:dyDescent="0.2">
      <c r="A645" s="6" t="str">
        <f ca="1">IFERROR(__xludf.DUMMYFUNCTION("""COMPUTED_VALUE"""),"")</f>
        <v/>
      </c>
      <c r="B645" s="6" t="str">
        <f ca="1">IFERROR(__xludf.DUMMYFUNCTION("""COMPUTED_VALUE"""),"")</f>
        <v/>
      </c>
      <c r="C645" s="6" t="str">
        <f ca="1">IFERROR(__xludf.DUMMYFUNCTION("""COMPUTED_VALUE"""),"")</f>
        <v/>
      </c>
      <c r="D645" s="6" t="str">
        <f ca="1">IFERROR(__xludf.DUMMYFUNCTION("""COMPUTED_VALUE"""),"")</f>
        <v/>
      </c>
      <c r="E645" s="6" t="str">
        <f ca="1">IFERROR(__xludf.DUMMYFUNCTION("""COMPUTED_VALUE"""),"")</f>
        <v/>
      </c>
      <c r="F645" s="6" t="str">
        <f ca="1">IFERROR(__xludf.DUMMYFUNCTION("""COMPUTED_VALUE"""),"")</f>
        <v/>
      </c>
      <c r="G645" s="6" t="str">
        <f ca="1">IFERROR(__xludf.DUMMYFUNCTION("""COMPUTED_VALUE"""),"")</f>
        <v/>
      </c>
      <c r="H645" s="6" t="str">
        <f ca="1">IFERROR(__xludf.DUMMYFUNCTION("""COMPUTED_VALUE"""),"")</f>
        <v/>
      </c>
      <c r="I645" s="6" t="str">
        <f ca="1">IFERROR(__xludf.DUMMYFUNCTION("""COMPUTED_VALUE"""),"")</f>
        <v/>
      </c>
      <c r="J645" s="6" t="str">
        <f ca="1">IFERROR(__xludf.DUMMYFUNCTION("""COMPUTED_VALUE"""),"")</f>
        <v/>
      </c>
    </row>
    <row r="646" spans="1:10" x14ac:dyDescent="0.2">
      <c r="A646" s="6" t="str">
        <f ca="1">IFERROR(__xludf.DUMMYFUNCTION("""COMPUTED_VALUE"""),"")</f>
        <v/>
      </c>
      <c r="B646" s="6" t="str">
        <f ca="1">IFERROR(__xludf.DUMMYFUNCTION("""COMPUTED_VALUE"""),"")</f>
        <v/>
      </c>
      <c r="C646" s="6" t="str">
        <f ca="1">IFERROR(__xludf.DUMMYFUNCTION("""COMPUTED_VALUE"""),"")</f>
        <v/>
      </c>
      <c r="D646" s="6" t="str">
        <f ca="1">IFERROR(__xludf.DUMMYFUNCTION("""COMPUTED_VALUE"""),"")</f>
        <v/>
      </c>
      <c r="E646" s="6" t="str">
        <f ca="1">IFERROR(__xludf.DUMMYFUNCTION("""COMPUTED_VALUE"""),"")</f>
        <v/>
      </c>
      <c r="F646" s="6" t="str">
        <f ca="1">IFERROR(__xludf.DUMMYFUNCTION("""COMPUTED_VALUE"""),"")</f>
        <v/>
      </c>
      <c r="G646" s="6" t="str">
        <f ca="1">IFERROR(__xludf.DUMMYFUNCTION("""COMPUTED_VALUE"""),"")</f>
        <v/>
      </c>
      <c r="H646" s="6" t="str">
        <f ca="1">IFERROR(__xludf.DUMMYFUNCTION("""COMPUTED_VALUE"""),"")</f>
        <v/>
      </c>
      <c r="I646" s="6" t="str">
        <f ca="1">IFERROR(__xludf.DUMMYFUNCTION("""COMPUTED_VALUE"""),"")</f>
        <v/>
      </c>
      <c r="J646" s="6" t="str">
        <f ca="1">IFERROR(__xludf.DUMMYFUNCTION("""COMPUTED_VALUE"""),"")</f>
        <v/>
      </c>
    </row>
    <row r="647" spans="1:10" x14ac:dyDescent="0.2">
      <c r="A647" s="6" t="str">
        <f ca="1">IFERROR(__xludf.DUMMYFUNCTION("""COMPUTED_VALUE"""),"")</f>
        <v/>
      </c>
      <c r="B647" s="6" t="str">
        <f ca="1">IFERROR(__xludf.DUMMYFUNCTION("""COMPUTED_VALUE"""),"")</f>
        <v/>
      </c>
      <c r="C647" s="6" t="str">
        <f ca="1">IFERROR(__xludf.DUMMYFUNCTION("""COMPUTED_VALUE"""),"")</f>
        <v/>
      </c>
      <c r="D647" s="6" t="str">
        <f ca="1">IFERROR(__xludf.DUMMYFUNCTION("""COMPUTED_VALUE"""),"")</f>
        <v/>
      </c>
      <c r="E647" s="6" t="str">
        <f ca="1">IFERROR(__xludf.DUMMYFUNCTION("""COMPUTED_VALUE"""),"")</f>
        <v/>
      </c>
      <c r="F647" s="6" t="str">
        <f ca="1">IFERROR(__xludf.DUMMYFUNCTION("""COMPUTED_VALUE"""),"")</f>
        <v/>
      </c>
      <c r="G647" s="6" t="str">
        <f ca="1">IFERROR(__xludf.DUMMYFUNCTION("""COMPUTED_VALUE"""),"")</f>
        <v/>
      </c>
      <c r="H647" s="6" t="str">
        <f ca="1">IFERROR(__xludf.DUMMYFUNCTION("""COMPUTED_VALUE"""),"")</f>
        <v/>
      </c>
      <c r="I647" s="6" t="str">
        <f ca="1">IFERROR(__xludf.DUMMYFUNCTION("""COMPUTED_VALUE"""),"")</f>
        <v/>
      </c>
      <c r="J647" s="6" t="str">
        <f ca="1">IFERROR(__xludf.DUMMYFUNCTION("""COMPUTED_VALUE"""),"")</f>
        <v/>
      </c>
    </row>
    <row r="648" spans="1:10" x14ac:dyDescent="0.2">
      <c r="A648" s="6" t="str">
        <f ca="1">IFERROR(__xludf.DUMMYFUNCTION("""COMPUTED_VALUE"""),"")</f>
        <v/>
      </c>
      <c r="B648" s="6" t="str">
        <f ca="1">IFERROR(__xludf.DUMMYFUNCTION("""COMPUTED_VALUE"""),"")</f>
        <v/>
      </c>
      <c r="C648" s="6" t="str">
        <f ca="1">IFERROR(__xludf.DUMMYFUNCTION("""COMPUTED_VALUE"""),"")</f>
        <v/>
      </c>
      <c r="D648" s="6" t="str">
        <f ca="1">IFERROR(__xludf.DUMMYFUNCTION("""COMPUTED_VALUE"""),"")</f>
        <v/>
      </c>
      <c r="E648" s="6" t="str">
        <f ca="1">IFERROR(__xludf.DUMMYFUNCTION("""COMPUTED_VALUE"""),"")</f>
        <v/>
      </c>
      <c r="F648" s="6" t="str">
        <f ca="1">IFERROR(__xludf.DUMMYFUNCTION("""COMPUTED_VALUE"""),"")</f>
        <v/>
      </c>
      <c r="G648" s="6" t="str">
        <f ca="1">IFERROR(__xludf.DUMMYFUNCTION("""COMPUTED_VALUE"""),"")</f>
        <v/>
      </c>
      <c r="H648" s="6" t="str">
        <f ca="1">IFERROR(__xludf.DUMMYFUNCTION("""COMPUTED_VALUE"""),"")</f>
        <v/>
      </c>
      <c r="I648" s="6" t="str">
        <f ca="1">IFERROR(__xludf.DUMMYFUNCTION("""COMPUTED_VALUE"""),"")</f>
        <v/>
      </c>
      <c r="J648" s="6" t="str">
        <f ca="1">IFERROR(__xludf.DUMMYFUNCTION("""COMPUTED_VALUE"""),"")</f>
        <v/>
      </c>
    </row>
    <row r="649" spans="1:10" x14ac:dyDescent="0.2">
      <c r="A649" s="6" t="str">
        <f ca="1">IFERROR(__xludf.DUMMYFUNCTION("""COMPUTED_VALUE"""),"")</f>
        <v/>
      </c>
      <c r="B649" s="6" t="str">
        <f ca="1">IFERROR(__xludf.DUMMYFUNCTION("""COMPUTED_VALUE"""),"")</f>
        <v/>
      </c>
      <c r="C649" s="6" t="str">
        <f ca="1">IFERROR(__xludf.DUMMYFUNCTION("""COMPUTED_VALUE"""),"")</f>
        <v/>
      </c>
      <c r="D649" s="6" t="str">
        <f ca="1">IFERROR(__xludf.DUMMYFUNCTION("""COMPUTED_VALUE"""),"")</f>
        <v/>
      </c>
      <c r="E649" s="6" t="str">
        <f ca="1">IFERROR(__xludf.DUMMYFUNCTION("""COMPUTED_VALUE"""),"")</f>
        <v/>
      </c>
      <c r="F649" s="6" t="str">
        <f ca="1">IFERROR(__xludf.DUMMYFUNCTION("""COMPUTED_VALUE"""),"")</f>
        <v/>
      </c>
      <c r="G649" s="6" t="str">
        <f ca="1">IFERROR(__xludf.DUMMYFUNCTION("""COMPUTED_VALUE"""),"")</f>
        <v/>
      </c>
      <c r="H649" s="6" t="str">
        <f ca="1">IFERROR(__xludf.DUMMYFUNCTION("""COMPUTED_VALUE"""),"")</f>
        <v/>
      </c>
      <c r="I649" s="6" t="str">
        <f ca="1">IFERROR(__xludf.DUMMYFUNCTION("""COMPUTED_VALUE"""),"")</f>
        <v/>
      </c>
      <c r="J649" s="6" t="str">
        <f ca="1">IFERROR(__xludf.DUMMYFUNCTION("""COMPUTED_VALUE"""),"")</f>
        <v/>
      </c>
    </row>
    <row r="650" spans="1:10" x14ac:dyDescent="0.2">
      <c r="A650" s="6" t="str">
        <f ca="1">IFERROR(__xludf.DUMMYFUNCTION("""COMPUTED_VALUE"""),"")</f>
        <v/>
      </c>
      <c r="B650" s="6" t="str">
        <f ca="1">IFERROR(__xludf.DUMMYFUNCTION("""COMPUTED_VALUE"""),"")</f>
        <v/>
      </c>
      <c r="C650" s="6" t="str">
        <f ca="1">IFERROR(__xludf.DUMMYFUNCTION("""COMPUTED_VALUE"""),"")</f>
        <v/>
      </c>
      <c r="D650" s="6" t="str">
        <f ca="1">IFERROR(__xludf.DUMMYFUNCTION("""COMPUTED_VALUE"""),"")</f>
        <v/>
      </c>
      <c r="E650" s="6" t="str">
        <f ca="1">IFERROR(__xludf.DUMMYFUNCTION("""COMPUTED_VALUE"""),"")</f>
        <v/>
      </c>
      <c r="F650" s="6" t="str">
        <f ca="1">IFERROR(__xludf.DUMMYFUNCTION("""COMPUTED_VALUE"""),"")</f>
        <v/>
      </c>
      <c r="G650" s="6" t="str">
        <f ca="1">IFERROR(__xludf.DUMMYFUNCTION("""COMPUTED_VALUE"""),"")</f>
        <v/>
      </c>
      <c r="H650" s="6" t="str">
        <f ca="1">IFERROR(__xludf.DUMMYFUNCTION("""COMPUTED_VALUE"""),"")</f>
        <v/>
      </c>
      <c r="I650" s="6" t="str">
        <f ca="1">IFERROR(__xludf.DUMMYFUNCTION("""COMPUTED_VALUE"""),"")</f>
        <v/>
      </c>
      <c r="J650" s="6" t="str">
        <f ca="1">IFERROR(__xludf.DUMMYFUNCTION("""COMPUTED_VALUE"""),"")</f>
        <v/>
      </c>
    </row>
    <row r="651" spans="1:10" x14ac:dyDescent="0.2">
      <c r="A651" s="6" t="str">
        <f ca="1">IFERROR(__xludf.DUMMYFUNCTION("""COMPUTED_VALUE"""),"")</f>
        <v/>
      </c>
      <c r="B651" s="6" t="str">
        <f ca="1">IFERROR(__xludf.DUMMYFUNCTION("""COMPUTED_VALUE"""),"")</f>
        <v/>
      </c>
      <c r="C651" s="6" t="str">
        <f ca="1">IFERROR(__xludf.DUMMYFUNCTION("""COMPUTED_VALUE"""),"")</f>
        <v/>
      </c>
      <c r="D651" s="6" t="str">
        <f ca="1">IFERROR(__xludf.DUMMYFUNCTION("""COMPUTED_VALUE"""),"")</f>
        <v/>
      </c>
      <c r="E651" s="6" t="str">
        <f ca="1">IFERROR(__xludf.DUMMYFUNCTION("""COMPUTED_VALUE"""),"")</f>
        <v/>
      </c>
      <c r="F651" s="6" t="str">
        <f ca="1">IFERROR(__xludf.DUMMYFUNCTION("""COMPUTED_VALUE"""),"")</f>
        <v/>
      </c>
      <c r="G651" s="6" t="str">
        <f ca="1">IFERROR(__xludf.DUMMYFUNCTION("""COMPUTED_VALUE"""),"")</f>
        <v/>
      </c>
      <c r="H651" s="6" t="str">
        <f ca="1">IFERROR(__xludf.DUMMYFUNCTION("""COMPUTED_VALUE"""),"")</f>
        <v/>
      </c>
      <c r="I651" s="6" t="str">
        <f ca="1">IFERROR(__xludf.DUMMYFUNCTION("""COMPUTED_VALUE"""),"")</f>
        <v/>
      </c>
      <c r="J651" s="6" t="str">
        <f ca="1">IFERROR(__xludf.DUMMYFUNCTION("""COMPUTED_VALUE"""),"")</f>
        <v/>
      </c>
    </row>
    <row r="652" spans="1:10" x14ac:dyDescent="0.2">
      <c r="A652" s="6" t="str">
        <f ca="1">IFERROR(__xludf.DUMMYFUNCTION("""COMPUTED_VALUE"""),"")</f>
        <v/>
      </c>
      <c r="B652" s="6" t="str">
        <f ca="1">IFERROR(__xludf.DUMMYFUNCTION("""COMPUTED_VALUE"""),"")</f>
        <v/>
      </c>
      <c r="C652" s="6" t="str">
        <f ca="1">IFERROR(__xludf.DUMMYFUNCTION("""COMPUTED_VALUE"""),"")</f>
        <v/>
      </c>
      <c r="D652" s="6" t="str">
        <f ca="1">IFERROR(__xludf.DUMMYFUNCTION("""COMPUTED_VALUE"""),"")</f>
        <v/>
      </c>
      <c r="E652" s="6" t="str">
        <f ca="1">IFERROR(__xludf.DUMMYFUNCTION("""COMPUTED_VALUE"""),"")</f>
        <v/>
      </c>
      <c r="F652" s="6" t="str">
        <f ca="1">IFERROR(__xludf.DUMMYFUNCTION("""COMPUTED_VALUE"""),"")</f>
        <v/>
      </c>
      <c r="G652" s="6" t="str">
        <f ca="1">IFERROR(__xludf.DUMMYFUNCTION("""COMPUTED_VALUE"""),"")</f>
        <v/>
      </c>
      <c r="H652" s="6" t="str">
        <f ca="1">IFERROR(__xludf.DUMMYFUNCTION("""COMPUTED_VALUE"""),"")</f>
        <v/>
      </c>
      <c r="I652" s="6" t="str">
        <f ca="1">IFERROR(__xludf.DUMMYFUNCTION("""COMPUTED_VALUE"""),"")</f>
        <v/>
      </c>
      <c r="J652" s="6" t="str">
        <f ca="1">IFERROR(__xludf.DUMMYFUNCTION("""COMPUTED_VALUE"""),"")</f>
        <v/>
      </c>
    </row>
    <row r="653" spans="1:10" x14ac:dyDescent="0.2">
      <c r="A653" s="6" t="str">
        <f ca="1">IFERROR(__xludf.DUMMYFUNCTION("""COMPUTED_VALUE"""),"")</f>
        <v/>
      </c>
      <c r="B653" s="6" t="str">
        <f ca="1">IFERROR(__xludf.DUMMYFUNCTION("""COMPUTED_VALUE"""),"")</f>
        <v/>
      </c>
      <c r="C653" s="6" t="str">
        <f ca="1">IFERROR(__xludf.DUMMYFUNCTION("""COMPUTED_VALUE"""),"")</f>
        <v/>
      </c>
      <c r="D653" s="6" t="str">
        <f ca="1">IFERROR(__xludf.DUMMYFUNCTION("""COMPUTED_VALUE"""),"")</f>
        <v/>
      </c>
      <c r="E653" s="6" t="str">
        <f ca="1">IFERROR(__xludf.DUMMYFUNCTION("""COMPUTED_VALUE"""),"")</f>
        <v/>
      </c>
      <c r="F653" s="6" t="str">
        <f ca="1">IFERROR(__xludf.DUMMYFUNCTION("""COMPUTED_VALUE"""),"")</f>
        <v/>
      </c>
      <c r="G653" s="6" t="str">
        <f ca="1">IFERROR(__xludf.DUMMYFUNCTION("""COMPUTED_VALUE"""),"")</f>
        <v/>
      </c>
      <c r="H653" s="6" t="str">
        <f ca="1">IFERROR(__xludf.DUMMYFUNCTION("""COMPUTED_VALUE"""),"")</f>
        <v/>
      </c>
      <c r="I653" s="6" t="str">
        <f ca="1">IFERROR(__xludf.DUMMYFUNCTION("""COMPUTED_VALUE"""),"")</f>
        <v/>
      </c>
      <c r="J653" s="6" t="str">
        <f ca="1">IFERROR(__xludf.DUMMYFUNCTION("""COMPUTED_VALUE"""),"")</f>
        <v/>
      </c>
    </row>
    <row r="654" spans="1:10" x14ac:dyDescent="0.2">
      <c r="A654" s="6" t="str">
        <f ca="1">IFERROR(__xludf.DUMMYFUNCTION("""COMPUTED_VALUE"""),"")</f>
        <v/>
      </c>
      <c r="B654" s="6" t="str">
        <f ca="1">IFERROR(__xludf.DUMMYFUNCTION("""COMPUTED_VALUE"""),"")</f>
        <v/>
      </c>
      <c r="C654" s="6" t="str">
        <f ca="1">IFERROR(__xludf.DUMMYFUNCTION("""COMPUTED_VALUE"""),"")</f>
        <v/>
      </c>
      <c r="D654" s="6" t="str">
        <f ca="1">IFERROR(__xludf.DUMMYFUNCTION("""COMPUTED_VALUE"""),"")</f>
        <v/>
      </c>
      <c r="E654" s="6" t="str">
        <f ca="1">IFERROR(__xludf.DUMMYFUNCTION("""COMPUTED_VALUE"""),"")</f>
        <v/>
      </c>
      <c r="F654" s="6" t="str">
        <f ca="1">IFERROR(__xludf.DUMMYFUNCTION("""COMPUTED_VALUE"""),"")</f>
        <v/>
      </c>
      <c r="G654" s="6" t="str">
        <f ca="1">IFERROR(__xludf.DUMMYFUNCTION("""COMPUTED_VALUE"""),"")</f>
        <v/>
      </c>
      <c r="H654" s="6" t="str">
        <f ca="1">IFERROR(__xludf.DUMMYFUNCTION("""COMPUTED_VALUE"""),"")</f>
        <v/>
      </c>
      <c r="I654" s="6" t="str">
        <f ca="1">IFERROR(__xludf.DUMMYFUNCTION("""COMPUTED_VALUE"""),"")</f>
        <v/>
      </c>
      <c r="J654" s="6" t="str">
        <f ca="1">IFERROR(__xludf.DUMMYFUNCTION("""COMPUTED_VALUE"""),"")</f>
        <v/>
      </c>
    </row>
    <row r="655" spans="1:10" x14ac:dyDescent="0.2">
      <c r="A655" s="6" t="str">
        <f ca="1">IFERROR(__xludf.DUMMYFUNCTION("""COMPUTED_VALUE"""),"")</f>
        <v/>
      </c>
      <c r="B655" s="6" t="str">
        <f ca="1">IFERROR(__xludf.DUMMYFUNCTION("""COMPUTED_VALUE"""),"")</f>
        <v/>
      </c>
      <c r="C655" s="6" t="str">
        <f ca="1">IFERROR(__xludf.DUMMYFUNCTION("""COMPUTED_VALUE"""),"")</f>
        <v/>
      </c>
      <c r="D655" s="6" t="str">
        <f ca="1">IFERROR(__xludf.DUMMYFUNCTION("""COMPUTED_VALUE"""),"")</f>
        <v/>
      </c>
      <c r="E655" s="6" t="str">
        <f ca="1">IFERROR(__xludf.DUMMYFUNCTION("""COMPUTED_VALUE"""),"")</f>
        <v/>
      </c>
      <c r="F655" s="6" t="str">
        <f ca="1">IFERROR(__xludf.DUMMYFUNCTION("""COMPUTED_VALUE"""),"")</f>
        <v/>
      </c>
      <c r="G655" s="6" t="str">
        <f ca="1">IFERROR(__xludf.DUMMYFUNCTION("""COMPUTED_VALUE"""),"")</f>
        <v/>
      </c>
      <c r="H655" s="6" t="str">
        <f ca="1">IFERROR(__xludf.DUMMYFUNCTION("""COMPUTED_VALUE"""),"")</f>
        <v/>
      </c>
      <c r="I655" s="6" t="str">
        <f ca="1">IFERROR(__xludf.DUMMYFUNCTION("""COMPUTED_VALUE"""),"")</f>
        <v/>
      </c>
      <c r="J655" s="6" t="str">
        <f ca="1">IFERROR(__xludf.DUMMYFUNCTION("""COMPUTED_VALUE"""),"")</f>
        <v/>
      </c>
    </row>
    <row r="656" spans="1:10" x14ac:dyDescent="0.2">
      <c r="A656" s="6" t="str">
        <f ca="1">IFERROR(__xludf.DUMMYFUNCTION("""COMPUTED_VALUE"""),"")</f>
        <v/>
      </c>
      <c r="B656" s="6" t="str">
        <f ca="1">IFERROR(__xludf.DUMMYFUNCTION("""COMPUTED_VALUE"""),"")</f>
        <v/>
      </c>
      <c r="C656" s="6" t="str">
        <f ca="1">IFERROR(__xludf.DUMMYFUNCTION("""COMPUTED_VALUE"""),"")</f>
        <v/>
      </c>
      <c r="D656" s="6" t="str">
        <f ca="1">IFERROR(__xludf.DUMMYFUNCTION("""COMPUTED_VALUE"""),"")</f>
        <v/>
      </c>
      <c r="E656" s="6" t="str">
        <f ca="1">IFERROR(__xludf.DUMMYFUNCTION("""COMPUTED_VALUE"""),"")</f>
        <v/>
      </c>
      <c r="F656" s="6" t="str">
        <f ca="1">IFERROR(__xludf.DUMMYFUNCTION("""COMPUTED_VALUE"""),"")</f>
        <v/>
      </c>
      <c r="G656" s="6" t="str">
        <f ca="1">IFERROR(__xludf.DUMMYFUNCTION("""COMPUTED_VALUE"""),"")</f>
        <v/>
      </c>
      <c r="H656" s="6" t="str">
        <f ca="1">IFERROR(__xludf.DUMMYFUNCTION("""COMPUTED_VALUE"""),"")</f>
        <v/>
      </c>
      <c r="I656" s="6" t="str">
        <f ca="1">IFERROR(__xludf.DUMMYFUNCTION("""COMPUTED_VALUE"""),"")</f>
        <v/>
      </c>
      <c r="J656" s="6" t="str">
        <f ca="1">IFERROR(__xludf.DUMMYFUNCTION("""COMPUTED_VALUE"""),"")</f>
        <v/>
      </c>
    </row>
    <row r="657" spans="1:10" x14ac:dyDescent="0.2">
      <c r="A657" s="6" t="str">
        <f ca="1">IFERROR(__xludf.DUMMYFUNCTION("""COMPUTED_VALUE"""),"")</f>
        <v/>
      </c>
      <c r="B657" s="6" t="str">
        <f ca="1">IFERROR(__xludf.DUMMYFUNCTION("""COMPUTED_VALUE"""),"")</f>
        <v/>
      </c>
      <c r="C657" s="6" t="str">
        <f ca="1">IFERROR(__xludf.DUMMYFUNCTION("""COMPUTED_VALUE"""),"")</f>
        <v/>
      </c>
      <c r="D657" s="6" t="str">
        <f ca="1">IFERROR(__xludf.DUMMYFUNCTION("""COMPUTED_VALUE"""),"")</f>
        <v/>
      </c>
      <c r="E657" s="6" t="str">
        <f ca="1">IFERROR(__xludf.DUMMYFUNCTION("""COMPUTED_VALUE"""),"")</f>
        <v/>
      </c>
      <c r="F657" s="6" t="str">
        <f ca="1">IFERROR(__xludf.DUMMYFUNCTION("""COMPUTED_VALUE"""),"")</f>
        <v/>
      </c>
      <c r="G657" s="6" t="str">
        <f ca="1">IFERROR(__xludf.DUMMYFUNCTION("""COMPUTED_VALUE"""),"")</f>
        <v/>
      </c>
      <c r="H657" s="6" t="str">
        <f ca="1">IFERROR(__xludf.DUMMYFUNCTION("""COMPUTED_VALUE"""),"")</f>
        <v/>
      </c>
      <c r="I657" s="6" t="str">
        <f ca="1">IFERROR(__xludf.DUMMYFUNCTION("""COMPUTED_VALUE"""),"")</f>
        <v/>
      </c>
      <c r="J657" s="6" t="str">
        <f ca="1">IFERROR(__xludf.DUMMYFUNCTION("""COMPUTED_VALUE"""),"")</f>
        <v/>
      </c>
    </row>
    <row r="658" spans="1:10" x14ac:dyDescent="0.2">
      <c r="A658" s="6" t="str">
        <f ca="1">IFERROR(__xludf.DUMMYFUNCTION("""COMPUTED_VALUE"""),"")</f>
        <v/>
      </c>
      <c r="B658" s="6" t="str">
        <f ca="1">IFERROR(__xludf.DUMMYFUNCTION("""COMPUTED_VALUE"""),"")</f>
        <v/>
      </c>
      <c r="C658" s="6" t="str">
        <f ca="1">IFERROR(__xludf.DUMMYFUNCTION("""COMPUTED_VALUE"""),"")</f>
        <v/>
      </c>
      <c r="D658" s="6" t="str">
        <f ca="1">IFERROR(__xludf.DUMMYFUNCTION("""COMPUTED_VALUE"""),"")</f>
        <v/>
      </c>
      <c r="E658" s="6" t="str">
        <f ca="1">IFERROR(__xludf.DUMMYFUNCTION("""COMPUTED_VALUE"""),"")</f>
        <v/>
      </c>
      <c r="F658" s="6" t="str">
        <f ca="1">IFERROR(__xludf.DUMMYFUNCTION("""COMPUTED_VALUE"""),"")</f>
        <v/>
      </c>
      <c r="G658" s="6" t="str">
        <f ca="1">IFERROR(__xludf.DUMMYFUNCTION("""COMPUTED_VALUE"""),"")</f>
        <v/>
      </c>
      <c r="H658" s="6" t="str">
        <f ca="1">IFERROR(__xludf.DUMMYFUNCTION("""COMPUTED_VALUE"""),"")</f>
        <v/>
      </c>
      <c r="I658" s="6" t="str">
        <f ca="1">IFERROR(__xludf.DUMMYFUNCTION("""COMPUTED_VALUE"""),"")</f>
        <v/>
      </c>
      <c r="J658" s="6" t="str">
        <f ca="1">IFERROR(__xludf.DUMMYFUNCTION("""COMPUTED_VALUE"""),"")</f>
        <v/>
      </c>
    </row>
    <row r="659" spans="1:10" x14ac:dyDescent="0.2">
      <c r="A659" s="6" t="str">
        <f ca="1">IFERROR(__xludf.DUMMYFUNCTION("""COMPUTED_VALUE"""),"")</f>
        <v/>
      </c>
      <c r="B659" s="6" t="str">
        <f ca="1">IFERROR(__xludf.DUMMYFUNCTION("""COMPUTED_VALUE"""),"")</f>
        <v/>
      </c>
      <c r="C659" s="6" t="str">
        <f ca="1">IFERROR(__xludf.DUMMYFUNCTION("""COMPUTED_VALUE"""),"")</f>
        <v/>
      </c>
      <c r="D659" s="6" t="str">
        <f ca="1">IFERROR(__xludf.DUMMYFUNCTION("""COMPUTED_VALUE"""),"")</f>
        <v/>
      </c>
      <c r="E659" s="6" t="str">
        <f ca="1">IFERROR(__xludf.DUMMYFUNCTION("""COMPUTED_VALUE"""),"")</f>
        <v/>
      </c>
      <c r="F659" s="6" t="str">
        <f ca="1">IFERROR(__xludf.DUMMYFUNCTION("""COMPUTED_VALUE"""),"")</f>
        <v/>
      </c>
      <c r="G659" s="6" t="str">
        <f ca="1">IFERROR(__xludf.DUMMYFUNCTION("""COMPUTED_VALUE"""),"")</f>
        <v/>
      </c>
      <c r="H659" s="6" t="str">
        <f ca="1">IFERROR(__xludf.DUMMYFUNCTION("""COMPUTED_VALUE"""),"")</f>
        <v/>
      </c>
      <c r="I659" s="6" t="str">
        <f ca="1">IFERROR(__xludf.DUMMYFUNCTION("""COMPUTED_VALUE"""),"")</f>
        <v/>
      </c>
      <c r="J659" s="6" t="str">
        <f ca="1">IFERROR(__xludf.DUMMYFUNCTION("""COMPUTED_VALUE"""),"")</f>
        <v/>
      </c>
    </row>
    <row r="660" spans="1:10" x14ac:dyDescent="0.2">
      <c r="A660" s="6" t="str">
        <f ca="1">IFERROR(__xludf.DUMMYFUNCTION("""COMPUTED_VALUE"""),"")</f>
        <v/>
      </c>
      <c r="B660" s="6" t="str">
        <f ca="1">IFERROR(__xludf.DUMMYFUNCTION("""COMPUTED_VALUE"""),"")</f>
        <v/>
      </c>
      <c r="C660" s="6" t="str">
        <f ca="1">IFERROR(__xludf.DUMMYFUNCTION("""COMPUTED_VALUE"""),"")</f>
        <v/>
      </c>
      <c r="D660" s="6" t="str">
        <f ca="1">IFERROR(__xludf.DUMMYFUNCTION("""COMPUTED_VALUE"""),"")</f>
        <v/>
      </c>
      <c r="E660" s="6" t="str">
        <f ca="1">IFERROR(__xludf.DUMMYFUNCTION("""COMPUTED_VALUE"""),"")</f>
        <v/>
      </c>
      <c r="F660" s="6" t="str">
        <f ca="1">IFERROR(__xludf.DUMMYFUNCTION("""COMPUTED_VALUE"""),"")</f>
        <v/>
      </c>
      <c r="G660" s="6" t="str">
        <f ca="1">IFERROR(__xludf.DUMMYFUNCTION("""COMPUTED_VALUE"""),"")</f>
        <v/>
      </c>
      <c r="H660" s="6" t="str">
        <f ca="1">IFERROR(__xludf.DUMMYFUNCTION("""COMPUTED_VALUE"""),"")</f>
        <v/>
      </c>
      <c r="I660" s="6" t="str">
        <f ca="1">IFERROR(__xludf.DUMMYFUNCTION("""COMPUTED_VALUE"""),"")</f>
        <v/>
      </c>
      <c r="J660" s="6" t="str">
        <f ca="1">IFERROR(__xludf.DUMMYFUNCTION("""COMPUTED_VALUE"""),"")</f>
        <v/>
      </c>
    </row>
    <row r="661" spans="1:10" x14ac:dyDescent="0.2">
      <c r="A661" s="6" t="str">
        <f ca="1">IFERROR(__xludf.DUMMYFUNCTION("""COMPUTED_VALUE"""),"")</f>
        <v/>
      </c>
      <c r="B661" s="6" t="str">
        <f ca="1">IFERROR(__xludf.DUMMYFUNCTION("""COMPUTED_VALUE"""),"")</f>
        <v/>
      </c>
      <c r="C661" s="6" t="str">
        <f ca="1">IFERROR(__xludf.DUMMYFUNCTION("""COMPUTED_VALUE"""),"")</f>
        <v/>
      </c>
      <c r="D661" s="6" t="str">
        <f ca="1">IFERROR(__xludf.DUMMYFUNCTION("""COMPUTED_VALUE"""),"")</f>
        <v/>
      </c>
      <c r="E661" s="6" t="str">
        <f ca="1">IFERROR(__xludf.DUMMYFUNCTION("""COMPUTED_VALUE"""),"")</f>
        <v/>
      </c>
      <c r="F661" s="6" t="str">
        <f ca="1">IFERROR(__xludf.DUMMYFUNCTION("""COMPUTED_VALUE"""),"")</f>
        <v/>
      </c>
      <c r="G661" s="6" t="str">
        <f ca="1">IFERROR(__xludf.DUMMYFUNCTION("""COMPUTED_VALUE"""),"")</f>
        <v/>
      </c>
      <c r="H661" s="6" t="str">
        <f ca="1">IFERROR(__xludf.DUMMYFUNCTION("""COMPUTED_VALUE"""),"")</f>
        <v/>
      </c>
      <c r="I661" s="6" t="str">
        <f ca="1">IFERROR(__xludf.DUMMYFUNCTION("""COMPUTED_VALUE"""),"")</f>
        <v/>
      </c>
      <c r="J661" s="6" t="str">
        <f ca="1">IFERROR(__xludf.DUMMYFUNCTION("""COMPUTED_VALUE"""),"")</f>
        <v/>
      </c>
    </row>
    <row r="662" spans="1:10" x14ac:dyDescent="0.2">
      <c r="A662" s="6" t="str">
        <f ca="1">IFERROR(__xludf.DUMMYFUNCTION("""COMPUTED_VALUE"""),"")</f>
        <v/>
      </c>
      <c r="B662" s="6" t="str">
        <f ca="1">IFERROR(__xludf.DUMMYFUNCTION("""COMPUTED_VALUE"""),"")</f>
        <v/>
      </c>
      <c r="C662" s="6" t="str">
        <f ca="1">IFERROR(__xludf.DUMMYFUNCTION("""COMPUTED_VALUE"""),"")</f>
        <v/>
      </c>
      <c r="D662" s="6" t="str">
        <f ca="1">IFERROR(__xludf.DUMMYFUNCTION("""COMPUTED_VALUE"""),"")</f>
        <v/>
      </c>
      <c r="E662" s="6" t="str">
        <f ca="1">IFERROR(__xludf.DUMMYFUNCTION("""COMPUTED_VALUE"""),"")</f>
        <v/>
      </c>
      <c r="F662" s="6" t="str">
        <f ca="1">IFERROR(__xludf.DUMMYFUNCTION("""COMPUTED_VALUE"""),"")</f>
        <v/>
      </c>
      <c r="G662" s="6" t="str">
        <f ca="1">IFERROR(__xludf.DUMMYFUNCTION("""COMPUTED_VALUE"""),"")</f>
        <v/>
      </c>
      <c r="H662" s="6" t="str">
        <f ca="1">IFERROR(__xludf.DUMMYFUNCTION("""COMPUTED_VALUE"""),"")</f>
        <v/>
      </c>
      <c r="I662" s="6" t="str">
        <f ca="1">IFERROR(__xludf.DUMMYFUNCTION("""COMPUTED_VALUE"""),"")</f>
        <v/>
      </c>
      <c r="J662" s="6" t="str">
        <f ca="1">IFERROR(__xludf.DUMMYFUNCTION("""COMPUTED_VALUE"""),"")</f>
        <v/>
      </c>
    </row>
    <row r="663" spans="1:10" x14ac:dyDescent="0.2">
      <c r="A663" s="6" t="str">
        <f ca="1">IFERROR(__xludf.DUMMYFUNCTION("""COMPUTED_VALUE"""),"")</f>
        <v/>
      </c>
      <c r="B663" s="6" t="str">
        <f ca="1">IFERROR(__xludf.DUMMYFUNCTION("""COMPUTED_VALUE"""),"")</f>
        <v/>
      </c>
      <c r="C663" s="6" t="str">
        <f ca="1">IFERROR(__xludf.DUMMYFUNCTION("""COMPUTED_VALUE"""),"")</f>
        <v/>
      </c>
      <c r="D663" s="6" t="str">
        <f ca="1">IFERROR(__xludf.DUMMYFUNCTION("""COMPUTED_VALUE"""),"")</f>
        <v/>
      </c>
      <c r="E663" s="6" t="str">
        <f ca="1">IFERROR(__xludf.DUMMYFUNCTION("""COMPUTED_VALUE"""),"")</f>
        <v/>
      </c>
      <c r="F663" s="6" t="str">
        <f ca="1">IFERROR(__xludf.DUMMYFUNCTION("""COMPUTED_VALUE"""),"")</f>
        <v/>
      </c>
      <c r="G663" s="6" t="str">
        <f ca="1">IFERROR(__xludf.DUMMYFUNCTION("""COMPUTED_VALUE"""),"")</f>
        <v/>
      </c>
      <c r="H663" s="6" t="str">
        <f ca="1">IFERROR(__xludf.DUMMYFUNCTION("""COMPUTED_VALUE"""),"")</f>
        <v/>
      </c>
      <c r="I663" s="6" t="str">
        <f ca="1">IFERROR(__xludf.DUMMYFUNCTION("""COMPUTED_VALUE"""),"")</f>
        <v/>
      </c>
      <c r="J663" s="6" t="str">
        <f ca="1">IFERROR(__xludf.DUMMYFUNCTION("""COMPUTED_VALUE"""),"")</f>
        <v/>
      </c>
    </row>
    <row r="664" spans="1:10" x14ac:dyDescent="0.2">
      <c r="A664" s="6" t="str">
        <f ca="1">IFERROR(__xludf.DUMMYFUNCTION("""COMPUTED_VALUE"""),"")</f>
        <v/>
      </c>
      <c r="B664" s="6" t="str">
        <f ca="1">IFERROR(__xludf.DUMMYFUNCTION("""COMPUTED_VALUE"""),"")</f>
        <v/>
      </c>
      <c r="C664" s="6" t="str">
        <f ca="1">IFERROR(__xludf.DUMMYFUNCTION("""COMPUTED_VALUE"""),"")</f>
        <v/>
      </c>
      <c r="D664" s="6" t="str">
        <f ca="1">IFERROR(__xludf.DUMMYFUNCTION("""COMPUTED_VALUE"""),"")</f>
        <v/>
      </c>
      <c r="E664" s="6" t="str">
        <f ca="1">IFERROR(__xludf.DUMMYFUNCTION("""COMPUTED_VALUE"""),"")</f>
        <v/>
      </c>
      <c r="F664" s="6" t="str">
        <f ca="1">IFERROR(__xludf.DUMMYFUNCTION("""COMPUTED_VALUE"""),"")</f>
        <v/>
      </c>
      <c r="G664" s="6" t="str">
        <f ca="1">IFERROR(__xludf.DUMMYFUNCTION("""COMPUTED_VALUE"""),"")</f>
        <v/>
      </c>
      <c r="H664" s="6" t="str">
        <f ca="1">IFERROR(__xludf.DUMMYFUNCTION("""COMPUTED_VALUE"""),"")</f>
        <v/>
      </c>
      <c r="I664" s="6" t="str">
        <f ca="1">IFERROR(__xludf.DUMMYFUNCTION("""COMPUTED_VALUE"""),"")</f>
        <v/>
      </c>
      <c r="J664" s="6" t="str">
        <f ca="1">IFERROR(__xludf.DUMMYFUNCTION("""COMPUTED_VALUE"""),"")</f>
        <v/>
      </c>
    </row>
    <row r="665" spans="1:10" x14ac:dyDescent="0.2">
      <c r="A665" s="6" t="str">
        <f ca="1">IFERROR(__xludf.DUMMYFUNCTION("""COMPUTED_VALUE"""),"")</f>
        <v/>
      </c>
      <c r="B665" s="6" t="str">
        <f ca="1">IFERROR(__xludf.DUMMYFUNCTION("""COMPUTED_VALUE"""),"")</f>
        <v/>
      </c>
      <c r="C665" s="6" t="str">
        <f ca="1">IFERROR(__xludf.DUMMYFUNCTION("""COMPUTED_VALUE"""),"")</f>
        <v/>
      </c>
      <c r="D665" s="6" t="str">
        <f ca="1">IFERROR(__xludf.DUMMYFUNCTION("""COMPUTED_VALUE"""),"")</f>
        <v/>
      </c>
      <c r="E665" s="6" t="str">
        <f ca="1">IFERROR(__xludf.DUMMYFUNCTION("""COMPUTED_VALUE"""),"")</f>
        <v/>
      </c>
      <c r="F665" s="6" t="str">
        <f ca="1">IFERROR(__xludf.DUMMYFUNCTION("""COMPUTED_VALUE"""),"")</f>
        <v/>
      </c>
      <c r="G665" s="6" t="str">
        <f ca="1">IFERROR(__xludf.DUMMYFUNCTION("""COMPUTED_VALUE"""),"")</f>
        <v/>
      </c>
      <c r="H665" s="6" t="str">
        <f ca="1">IFERROR(__xludf.DUMMYFUNCTION("""COMPUTED_VALUE"""),"")</f>
        <v/>
      </c>
      <c r="I665" s="6" t="str">
        <f ca="1">IFERROR(__xludf.DUMMYFUNCTION("""COMPUTED_VALUE"""),"")</f>
        <v/>
      </c>
      <c r="J665" s="6" t="str">
        <f ca="1">IFERROR(__xludf.DUMMYFUNCTION("""COMPUTED_VALUE"""),"")</f>
        <v/>
      </c>
    </row>
    <row r="666" spans="1:10" x14ac:dyDescent="0.2">
      <c r="A666" s="6" t="str">
        <f ca="1">IFERROR(__xludf.DUMMYFUNCTION("""COMPUTED_VALUE"""),"")</f>
        <v/>
      </c>
      <c r="B666" s="6" t="str">
        <f ca="1">IFERROR(__xludf.DUMMYFUNCTION("""COMPUTED_VALUE"""),"")</f>
        <v/>
      </c>
      <c r="C666" s="6" t="str">
        <f ca="1">IFERROR(__xludf.DUMMYFUNCTION("""COMPUTED_VALUE"""),"")</f>
        <v/>
      </c>
      <c r="D666" s="6" t="str">
        <f ca="1">IFERROR(__xludf.DUMMYFUNCTION("""COMPUTED_VALUE"""),"")</f>
        <v/>
      </c>
      <c r="E666" s="6" t="str">
        <f ca="1">IFERROR(__xludf.DUMMYFUNCTION("""COMPUTED_VALUE"""),"")</f>
        <v/>
      </c>
      <c r="F666" s="6" t="str">
        <f ca="1">IFERROR(__xludf.DUMMYFUNCTION("""COMPUTED_VALUE"""),"")</f>
        <v/>
      </c>
      <c r="G666" s="6" t="str">
        <f ca="1">IFERROR(__xludf.DUMMYFUNCTION("""COMPUTED_VALUE"""),"")</f>
        <v/>
      </c>
      <c r="H666" s="6" t="str">
        <f ca="1">IFERROR(__xludf.DUMMYFUNCTION("""COMPUTED_VALUE"""),"")</f>
        <v/>
      </c>
      <c r="I666" s="6" t="str">
        <f ca="1">IFERROR(__xludf.DUMMYFUNCTION("""COMPUTED_VALUE"""),"")</f>
        <v/>
      </c>
      <c r="J666" s="6" t="str">
        <f ca="1">IFERROR(__xludf.DUMMYFUNCTION("""COMPUTED_VALUE"""),"")</f>
        <v/>
      </c>
    </row>
    <row r="667" spans="1:10" x14ac:dyDescent="0.2">
      <c r="A667" s="6" t="str">
        <f ca="1">IFERROR(__xludf.DUMMYFUNCTION("""COMPUTED_VALUE"""),"")</f>
        <v/>
      </c>
      <c r="B667" s="6" t="str">
        <f ca="1">IFERROR(__xludf.DUMMYFUNCTION("""COMPUTED_VALUE"""),"")</f>
        <v/>
      </c>
      <c r="C667" s="6" t="str">
        <f ca="1">IFERROR(__xludf.DUMMYFUNCTION("""COMPUTED_VALUE"""),"")</f>
        <v/>
      </c>
      <c r="D667" s="6" t="str">
        <f ca="1">IFERROR(__xludf.DUMMYFUNCTION("""COMPUTED_VALUE"""),"")</f>
        <v/>
      </c>
      <c r="E667" s="6" t="str">
        <f ca="1">IFERROR(__xludf.DUMMYFUNCTION("""COMPUTED_VALUE"""),"")</f>
        <v/>
      </c>
      <c r="F667" s="6" t="str">
        <f ca="1">IFERROR(__xludf.DUMMYFUNCTION("""COMPUTED_VALUE"""),"")</f>
        <v/>
      </c>
      <c r="G667" s="6" t="str">
        <f ca="1">IFERROR(__xludf.DUMMYFUNCTION("""COMPUTED_VALUE"""),"")</f>
        <v/>
      </c>
      <c r="H667" s="6" t="str">
        <f ca="1">IFERROR(__xludf.DUMMYFUNCTION("""COMPUTED_VALUE"""),"")</f>
        <v/>
      </c>
      <c r="I667" s="6" t="str">
        <f ca="1">IFERROR(__xludf.DUMMYFUNCTION("""COMPUTED_VALUE"""),"")</f>
        <v/>
      </c>
      <c r="J667" s="6" t="str">
        <f ca="1">IFERROR(__xludf.DUMMYFUNCTION("""COMPUTED_VALUE"""),"")</f>
        <v/>
      </c>
    </row>
    <row r="668" spans="1:10" x14ac:dyDescent="0.2">
      <c r="A668" s="6" t="str">
        <f ca="1">IFERROR(__xludf.DUMMYFUNCTION("""COMPUTED_VALUE"""),"")</f>
        <v/>
      </c>
      <c r="B668" s="6" t="str">
        <f ca="1">IFERROR(__xludf.DUMMYFUNCTION("""COMPUTED_VALUE"""),"")</f>
        <v/>
      </c>
      <c r="C668" s="6" t="str">
        <f ca="1">IFERROR(__xludf.DUMMYFUNCTION("""COMPUTED_VALUE"""),"")</f>
        <v/>
      </c>
      <c r="D668" s="6" t="str">
        <f ca="1">IFERROR(__xludf.DUMMYFUNCTION("""COMPUTED_VALUE"""),"")</f>
        <v/>
      </c>
      <c r="E668" s="6" t="str">
        <f ca="1">IFERROR(__xludf.DUMMYFUNCTION("""COMPUTED_VALUE"""),"")</f>
        <v/>
      </c>
      <c r="F668" s="6" t="str">
        <f ca="1">IFERROR(__xludf.DUMMYFUNCTION("""COMPUTED_VALUE"""),"")</f>
        <v/>
      </c>
      <c r="G668" s="6" t="str">
        <f ca="1">IFERROR(__xludf.DUMMYFUNCTION("""COMPUTED_VALUE"""),"")</f>
        <v/>
      </c>
      <c r="H668" s="6" t="str">
        <f ca="1">IFERROR(__xludf.DUMMYFUNCTION("""COMPUTED_VALUE"""),"")</f>
        <v/>
      </c>
      <c r="I668" s="6" t="str">
        <f ca="1">IFERROR(__xludf.DUMMYFUNCTION("""COMPUTED_VALUE"""),"")</f>
        <v/>
      </c>
      <c r="J668" s="6" t="str">
        <f ca="1">IFERROR(__xludf.DUMMYFUNCTION("""COMPUTED_VALUE"""),"")</f>
        <v/>
      </c>
    </row>
    <row r="669" spans="1:10" x14ac:dyDescent="0.2">
      <c r="A669" s="6" t="str">
        <f ca="1">IFERROR(__xludf.DUMMYFUNCTION("""COMPUTED_VALUE"""),"")</f>
        <v/>
      </c>
      <c r="B669" s="6" t="str">
        <f ca="1">IFERROR(__xludf.DUMMYFUNCTION("""COMPUTED_VALUE"""),"")</f>
        <v/>
      </c>
      <c r="C669" s="6" t="str">
        <f ca="1">IFERROR(__xludf.DUMMYFUNCTION("""COMPUTED_VALUE"""),"")</f>
        <v/>
      </c>
      <c r="D669" s="6" t="str">
        <f ca="1">IFERROR(__xludf.DUMMYFUNCTION("""COMPUTED_VALUE"""),"")</f>
        <v/>
      </c>
      <c r="E669" s="6" t="str">
        <f ca="1">IFERROR(__xludf.DUMMYFUNCTION("""COMPUTED_VALUE"""),"")</f>
        <v/>
      </c>
      <c r="F669" s="6" t="str">
        <f ca="1">IFERROR(__xludf.DUMMYFUNCTION("""COMPUTED_VALUE"""),"")</f>
        <v/>
      </c>
      <c r="G669" s="6" t="str">
        <f ca="1">IFERROR(__xludf.DUMMYFUNCTION("""COMPUTED_VALUE"""),"")</f>
        <v/>
      </c>
      <c r="H669" s="6" t="str">
        <f ca="1">IFERROR(__xludf.DUMMYFUNCTION("""COMPUTED_VALUE"""),"")</f>
        <v/>
      </c>
      <c r="I669" s="6" t="str">
        <f ca="1">IFERROR(__xludf.DUMMYFUNCTION("""COMPUTED_VALUE"""),"")</f>
        <v/>
      </c>
      <c r="J669" s="6" t="str">
        <f ca="1">IFERROR(__xludf.DUMMYFUNCTION("""COMPUTED_VALUE"""),"")</f>
        <v/>
      </c>
    </row>
    <row r="670" spans="1:10" x14ac:dyDescent="0.2">
      <c r="A670" s="6" t="str">
        <f ca="1">IFERROR(__xludf.DUMMYFUNCTION("""COMPUTED_VALUE"""),"")</f>
        <v/>
      </c>
      <c r="B670" s="6" t="str">
        <f ca="1">IFERROR(__xludf.DUMMYFUNCTION("""COMPUTED_VALUE"""),"")</f>
        <v/>
      </c>
      <c r="C670" s="6" t="str">
        <f ca="1">IFERROR(__xludf.DUMMYFUNCTION("""COMPUTED_VALUE"""),"")</f>
        <v/>
      </c>
      <c r="D670" s="6" t="str">
        <f ca="1">IFERROR(__xludf.DUMMYFUNCTION("""COMPUTED_VALUE"""),"")</f>
        <v/>
      </c>
      <c r="E670" s="6" t="str">
        <f ca="1">IFERROR(__xludf.DUMMYFUNCTION("""COMPUTED_VALUE"""),"")</f>
        <v/>
      </c>
      <c r="F670" s="6" t="str">
        <f ca="1">IFERROR(__xludf.DUMMYFUNCTION("""COMPUTED_VALUE"""),"")</f>
        <v/>
      </c>
      <c r="G670" s="6" t="str">
        <f ca="1">IFERROR(__xludf.DUMMYFUNCTION("""COMPUTED_VALUE"""),"")</f>
        <v/>
      </c>
      <c r="H670" s="6" t="str">
        <f ca="1">IFERROR(__xludf.DUMMYFUNCTION("""COMPUTED_VALUE"""),"")</f>
        <v/>
      </c>
      <c r="I670" s="6" t="str">
        <f ca="1">IFERROR(__xludf.DUMMYFUNCTION("""COMPUTED_VALUE"""),"")</f>
        <v/>
      </c>
      <c r="J670" s="6" t="str">
        <f ca="1">IFERROR(__xludf.DUMMYFUNCTION("""COMPUTED_VALUE"""),"")</f>
        <v/>
      </c>
    </row>
    <row r="671" spans="1:10" x14ac:dyDescent="0.2">
      <c r="A671" s="6" t="str">
        <f ca="1">IFERROR(__xludf.DUMMYFUNCTION("""COMPUTED_VALUE"""),"")</f>
        <v/>
      </c>
      <c r="B671" s="6" t="str">
        <f ca="1">IFERROR(__xludf.DUMMYFUNCTION("""COMPUTED_VALUE"""),"")</f>
        <v/>
      </c>
      <c r="C671" s="6" t="str">
        <f ca="1">IFERROR(__xludf.DUMMYFUNCTION("""COMPUTED_VALUE"""),"")</f>
        <v/>
      </c>
      <c r="D671" s="6" t="str">
        <f ca="1">IFERROR(__xludf.DUMMYFUNCTION("""COMPUTED_VALUE"""),"")</f>
        <v/>
      </c>
      <c r="E671" s="6" t="str">
        <f ca="1">IFERROR(__xludf.DUMMYFUNCTION("""COMPUTED_VALUE"""),"")</f>
        <v/>
      </c>
      <c r="F671" s="6" t="str">
        <f ca="1">IFERROR(__xludf.DUMMYFUNCTION("""COMPUTED_VALUE"""),"")</f>
        <v/>
      </c>
      <c r="G671" s="6" t="str">
        <f ca="1">IFERROR(__xludf.DUMMYFUNCTION("""COMPUTED_VALUE"""),"")</f>
        <v/>
      </c>
      <c r="H671" s="6" t="str">
        <f ca="1">IFERROR(__xludf.DUMMYFUNCTION("""COMPUTED_VALUE"""),"")</f>
        <v/>
      </c>
      <c r="I671" s="6" t="str">
        <f ca="1">IFERROR(__xludf.DUMMYFUNCTION("""COMPUTED_VALUE"""),"")</f>
        <v/>
      </c>
      <c r="J671" s="6" t="str">
        <f ca="1">IFERROR(__xludf.DUMMYFUNCTION("""COMPUTED_VALUE"""),"")</f>
        <v/>
      </c>
    </row>
    <row r="672" spans="1:10" x14ac:dyDescent="0.2">
      <c r="A672" s="6" t="str">
        <f ca="1">IFERROR(__xludf.DUMMYFUNCTION("""COMPUTED_VALUE"""),"")</f>
        <v/>
      </c>
      <c r="B672" s="6" t="str">
        <f ca="1">IFERROR(__xludf.DUMMYFUNCTION("""COMPUTED_VALUE"""),"")</f>
        <v/>
      </c>
      <c r="C672" s="6" t="str">
        <f ca="1">IFERROR(__xludf.DUMMYFUNCTION("""COMPUTED_VALUE"""),"")</f>
        <v/>
      </c>
      <c r="D672" s="6" t="str">
        <f ca="1">IFERROR(__xludf.DUMMYFUNCTION("""COMPUTED_VALUE"""),"")</f>
        <v/>
      </c>
      <c r="E672" s="6" t="str">
        <f ca="1">IFERROR(__xludf.DUMMYFUNCTION("""COMPUTED_VALUE"""),"")</f>
        <v/>
      </c>
      <c r="F672" s="6" t="str">
        <f ca="1">IFERROR(__xludf.DUMMYFUNCTION("""COMPUTED_VALUE"""),"")</f>
        <v/>
      </c>
      <c r="G672" s="6" t="str">
        <f ca="1">IFERROR(__xludf.DUMMYFUNCTION("""COMPUTED_VALUE"""),"")</f>
        <v/>
      </c>
      <c r="H672" s="6" t="str">
        <f ca="1">IFERROR(__xludf.DUMMYFUNCTION("""COMPUTED_VALUE"""),"")</f>
        <v/>
      </c>
      <c r="I672" s="6" t="str">
        <f ca="1">IFERROR(__xludf.DUMMYFUNCTION("""COMPUTED_VALUE"""),"")</f>
        <v/>
      </c>
      <c r="J672" s="6" t="str">
        <f ca="1">IFERROR(__xludf.DUMMYFUNCTION("""COMPUTED_VALUE"""),"")</f>
        <v/>
      </c>
    </row>
    <row r="673" spans="1:10" x14ac:dyDescent="0.2">
      <c r="A673" s="6" t="str">
        <f ca="1">IFERROR(__xludf.DUMMYFUNCTION("""COMPUTED_VALUE"""),"")</f>
        <v/>
      </c>
      <c r="B673" s="6" t="str">
        <f ca="1">IFERROR(__xludf.DUMMYFUNCTION("""COMPUTED_VALUE"""),"")</f>
        <v/>
      </c>
      <c r="C673" s="6" t="str">
        <f ca="1">IFERROR(__xludf.DUMMYFUNCTION("""COMPUTED_VALUE"""),"")</f>
        <v/>
      </c>
      <c r="D673" s="6" t="str">
        <f ca="1">IFERROR(__xludf.DUMMYFUNCTION("""COMPUTED_VALUE"""),"")</f>
        <v/>
      </c>
      <c r="E673" s="6" t="str">
        <f ca="1">IFERROR(__xludf.DUMMYFUNCTION("""COMPUTED_VALUE"""),"")</f>
        <v/>
      </c>
      <c r="F673" s="6" t="str">
        <f ca="1">IFERROR(__xludf.DUMMYFUNCTION("""COMPUTED_VALUE"""),"")</f>
        <v/>
      </c>
      <c r="G673" s="6" t="str">
        <f ca="1">IFERROR(__xludf.DUMMYFUNCTION("""COMPUTED_VALUE"""),"")</f>
        <v/>
      </c>
      <c r="H673" s="6" t="str">
        <f ca="1">IFERROR(__xludf.DUMMYFUNCTION("""COMPUTED_VALUE"""),"")</f>
        <v/>
      </c>
      <c r="I673" s="6" t="str">
        <f ca="1">IFERROR(__xludf.DUMMYFUNCTION("""COMPUTED_VALUE"""),"")</f>
        <v/>
      </c>
      <c r="J673" s="6" t="str">
        <f ca="1">IFERROR(__xludf.DUMMYFUNCTION("""COMPUTED_VALUE"""),"")</f>
        <v/>
      </c>
    </row>
    <row r="674" spans="1:10" x14ac:dyDescent="0.2">
      <c r="A674" s="6" t="str">
        <f ca="1">IFERROR(__xludf.DUMMYFUNCTION("""COMPUTED_VALUE"""),"")</f>
        <v/>
      </c>
      <c r="B674" s="6" t="str">
        <f ca="1">IFERROR(__xludf.DUMMYFUNCTION("""COMPUTED_VALUE"""),"")</f>
        <v/>
      </c>
      <c r="C674" s="6" t="str">
        <f ca="1">IFERROR(__xludf.DUMMYFUNCTION("""COMPUTED_VALUE"""),"")</f>
        <v/>
      </c>
      <c r="D674" s="6" t="str">
        <f ca="1">IFERROR(__xludf.DUMMYFUNCTION("""COMPUTED_VALUE"""),"")</f>
        <v/>
      </c>
      <c r="E674" s="6" t="str">
        <f ca="1">IFERROR(__xludf.DUMMYFUNCTION("""COMPUTED_VALUE"""),"")</f>
        <v/>
      </c>
      <c r="F674" s="6" t="str">
        <f ca="1">IFERROR(__xludf.DUMMYFUNCTION("""COMPUTED_VALUE"""),"")</f>
        <v/>
      </c>
      <c r="G674" s="6" t="str">
        <f ca="1">IFERROR(__xludf.DUMMYFUNCTION("""COMPUTED_VALUE"""),"")</f>
        <v/>
      </c>
      <c r="H674" s="6" t="str">
        <f ca="1">IFERROR(__xludf.DUMMYFUNCTION("""COMPUTED_VALUE"""),"")</f>
        <v/>
      </c>
      <c r="I674" s="6" t="str">
        <f ca="1">IFERROR(__xludf.DUMMYFUNCTION("""COMPUTED_VALUE"""),"")</f>
        <v/>
      </c>
      <c r="J674" s="6" t="str">
        <f ca="1">IFERROR(__xludf.DUMMYFUNCTION("""COMPUTED_VALUE"""),"")</f>
        <v/>
      </c>
    </row>
    <row r="675" spans="1:10" x14ac:dyDescent="0.2">
      <c r="A675" s="6" t="str">
        <f ca="1">IFERROR(__xludf.DUMMYFUNCTION("""COMPUTED_VALUE"""),"")</f>
        <v/>
      </c>
      <c r="B675" s="6" t="str">
        <f ca="1">IFERROR(__xludf.DUMMYFUNCTION("""COMPUTED_VALUE"""),"")</f>
        <v/>
      </c>
      <c r="C675" s="6" t="str">
        <f ca="1">IFERROR(__xludf.DUMMYFUNCTION("""COMPUTED_VALUE"""),"")</f>
        <v/>
      </c>
      <c r="D675" s="6" t="str">
        <f ca="1">IFERROR(__xludf.DUMMYFUNCTION("""COMPUTED_VALUE"""),"")</f>
        <v/>
      </c>
      <c r="E675" s="6" t="str">
        <f ca="1">IFERROR(__xludf.DUMMYFUNCTION("""COMPUTED_VALUE"""),"")</f>
        <v/>
      </c>
      <c r="F675" s="6" t="str">
        <f ca="1">IFERROR(__xludf.DUMMYFUNCTION("""COMPUTED_VALUE"""),"")</f>
        <v/>
      </c>
      <c r="G675" s="6" t="str">
        <f ca="1">IFERROR(__xludf.DUMMYFUNCTION("""COMPUTED_VALUE"""),"")</f>
        <v/>
      </c>
      <c r="H675" s="6" t="str">
        <f ca="1">IFERROR(__xludf.DUMMYFUNCTION("""COMPUTED_VALUE"""),"")</f>
        <v/>
      </c>
      <c r="I675" s="6" t="str">
        <f ca="1">IFERROR(__xludf.DUMMYFUNCTION("""COMPUTED_VALUE"""),"")</f>
        <v/>
      </c>
      <c r="J675" s="6" t="str">
        <f ca="1">IFERROR(__xludf.DUMMYFUNCTION("""COMPUTED_VALUE"""),"")</f>
        <v/>
      </c>
    </row>
    <row r="676" spans="1:10" x14ac:dyDescent="0.2">
      <c r="A676" s="6" t="str">
        <f ca="1">IFERROR(__xludf.DUMMYFUNCTION("""COMPUTED_VALUE"""),"")</f>
        <v/>
      </c>
      <c r="B676" s="6" t="str">
        <f ca="1">IFERROR(__xludf.DUMMYFUNCTION("""COMPUTED_VALUE"""),"")</f>
        <v/>
      </c>
      <c r="C676" s="6" t="str">
        <f ca="1">IFERROR(__xludf.DUMMYFUNCTION("""COMPUTED_VALUE"""),"")</f>
        <v/>
      </c>
      <c r="D676" s="6" t="str">
        <f ca="1">IFERROR(__xludf.DUMMYFUNCTION("""COMPUTED_VALUE"""),"")</f>
        <v/>
      </c>
      <c r="E676" s="6" t="str">
        <f ca="1">IFERROR(__xludf.DUMMYFUNCTION("""COMPUTED_VALUE"""),"")</f>
        <v/>
      </c>
      <c r="F676" s="6" t="str">
        <f ca="1">IFERROR(__xludf.DUMMYFUNCTION("""COMPUTED_VALUE"""),"")</f>
        <v/>
      </c>
      <c r="G676" s="6" t="str">
        <f ca="1">IFERROR(__xludf.DUMMYFUNCTION("""COMPUTED_VALUE"""),"")</f>
        <v/>
      </c>
      <c r="H676" s="6" t="str">
        <f ca="1">IFERROR(__xludf.DUMMYFUNCTION("""COMPUTED_VALUE"""),"")</f>
        <v/>
      </c>
      <c r="I676" s="6" t="str">
        <f ca="1">IFERROR(__xludf.DUMMYFUNCTION("""COMPUTED_VALUE"""),"")</f>
        <v/>
      </c>
      <c r="J676" s="6" t="str">
        <f ca="1">IFERROR(__xludf.DUMMYFUNCTION("""COMPUTED_VALUE"""),"")</f>
        <v/>
      </c>
    </row>
    <row r="677" spans="1:10" x14ac:dyDescent="0.2">
      <c r="A677" s="6" t="str">
        <f ca="1">IFERROR(__xludf.DUMMYFUNCTION("""COMPUTED_VALUE"""),"")</f>
        <v/>
      </c>
      <c r="B677" s="6" t="str">
        <f ca="1">IFERROR(__xludf.DUMMYFUNCTION("""COMPUTED_VALUE"""),"")</f>
        <v/>
      </c>
      <c r="C677" s="6" t="str">
        <f ca="1">IFERROR(__xludf.DUMMYFUNCTION("""COMPUTED_VALUE"""),"")</f>
        <v/>
      </c>
      <c r="D677" s="6" t="str">
        <f ca="1">IFERROR(__xludf.DUMMYFUNCTION("""COMPUTED_VALUE"""),"")</f>
        <v/>
      </c>
      <c r="E677" s="6" t="str">
        <f ca="1">IFERROR(__xludf.DUMMYFUNCTION("""COMPUTED_VALUE"""),"")</f>
        <v/>
      </c>
      <c r="F677" s="6" t="str">
        <f ca="1">IFERROR(__xludf.DUMMYFUNCTION("""COMPUTED_VALUE"""),"")</f>
        <v/>
      </c>
      <c r="G677" s="6" t="str">
        <f ca="1">IFERROR(__xludf.DUMMYFUNCTION("""COMPUTED_VALUE"""),"")</f>
        <v/>
      </c>
      <c r="H677" s="6" t="str">
        <f ca="1">IFERROR(__xludf.DUMMYFUNCTION("""COMPUTED_VALUE"""),"")</f>
        <v/>
      </c>
      <c r="I677" s="6" t="str">
        <f ca="1">IFERROR(__xludf.DUMMYFUNCTION("""COMPUTED_VALUE"""),"")</f>
        <v/>
      </c>
      <c r="J677" s="6" t="str">
        <f ca="1">IFERROR(__xludf.DUMMYFUNCTION("""COMPUTED_VALUE"""),"")</f>
        <v/>
      </c>
    </row>
    <row r="678" spans="1:10" x14ac:dyDescent="0.2">
      <c r="A678" s="6" t="str">
        <f ca="1">IFERROR(__xludf.DUMMYFUNCTION("""COMPUTED_VALUE"""),"")</f>
        <v/>
      </c>
      <c r="B678" s="6" t="str">
        <f ca="1">IFERROR(__xludf.DUMMYFUNCTION("""COMPUTED_VALUE"""),"")</f>
        <v/>
      </c>
      <c r="C678" s="6" t="str">
        <f ca="1">IFERROR(__xludf.DUMMYFUNCTION("""COMPUTED_VALUE"""),"")</f>
        <v/>
      </c>
      <c r="D678" s="6" t="str">
        <f ca="1">IFERROR(__xludf.DUMMYFUNCTION("""COMPUTED_VALUE"""),"")</f>
        <v/>
      </c>
      <c r="E678" s="6" t="str">
        <f ca="1">IFERROR(__xludf.DUMMYFUNCTION("""COMPUTED_VALUE"""),"")</f>
        <v/>
      </c>
      <c r="F678" s="6" t="str">
        <f ca="1">IFERROR(__xludf.DUMMYFUNCTION("""COMPUTED_VALUE"""),"")</f>
        <v/>
      </c>
      <c r="G678" s="6" t="str">
        <f ca="1">IFERROR(__xludf.DUMMYFUNCTION("""COMPUTED_VALUE"""),"")</f>
        <v/>
      </c>
      <c r="H678" s="6" t="str">
        <f ca="1">IFERROR(__xludf.DUMMYFUNCTION("""COMPUTED_VALUE"""),"")</f>
        <v/>
      </c>
      <c r="I678" s="6" t="str">
        <f ca="1">IFERROR(__xludf.DUMMYFUNCTION("""COMPUTED_VALUE"""),"")</f>
        <v/>
      </c>
      <c r="J678" s="6" t="str">
        <f ca="1">IFERROR(__xludf.DUMMYFUNCTION("""COMPUTED_VALUE"""),"")</f>
        <v/>
      </c>
    </row>
    <row r="679" spans="1:10" x14ac:dyDescent="0.2">
      <c r="A679" s="6" t="str">
        <f ca="1">IFERROR(__xludf.DUMMYFUNCTION("""COMPUTED_VALUE"""),"")</f>
        <v/>
      </c>
      <c r="B679" s="6" t="str">
        <f ca="1">IFERROR(__xludf.DUMMYFUNCTION("""COMPUTED_VALUE"""),"")</f>
        <v/>
      </c>
      <c r="C679" s="6" t="str">
        <f ca="1">IFERROR(__xludf.DUMMYFUNCTION("""COMPUTED_VALUE"""),"")</f>
        <v/>
      </c>
      <c r="D679" s="6" t="str">
        <f ca="1">IFERROR(__xludf.DUMMYFUNCTION("""COMPUTED_VALUE"""),"")</f>
        <v/>
      </c>
      <c r="E679" s="6" t="str">
        <f ca="1">IFERROR(__xludf.DUMMYFUNCTION("""COMPUTED_VALUE"""),"")</f>
        <v/>
      </c>
      <c r="F679" s="6" t="str">
        <f ca="1">IFERROR(__xludf.DUMMYFUNCTION("""COMPUTED_VALUE"""),"")</f>
        <v/>
      </c>
      <c r="G679" s="6" t="str">
        <f ca="1">IFERROR(__xludf.DUMMYFUNCTION("""COMPUTED_VALUE"""),"")</f>
        <v/>
      </c>
      <c r="H679" s="6" t="str">
        <f ca="1">IFERROR(__xludf.DUMMYFUNCTION("""COMPUTED_VALUE"""),"")</f>
        <v/>
      </c>
      <c r="I679" s="6" t="str">
        <f ca="1">IFERROR(__xludf.DUMMYFUNCTION("""COMPUTED_VALUE"""),"")</f>
        <v/>
      </c>
      <c r="J679" s="6" t="str">
        <f ca="1">IFERROR(__xludf.DUMMYFUNCTION("""COMPUTED_VALUE"""),"")</f>
        <v/>
      </c>
    </row>
    <row r="680" spans="1:10" x14ac:dyDescent="0.2">
      <c r="A680" s="6" t="str">
        <f ca="1">IFERROR(__xludf.DUMMYFUNCTION("""COMPUTED_VALUE"""),"")</f>
        <v/>
      </c>
      <c r="B680" s="6" t="str">
        <f ca="1">IFERROR(__xludf.DUMMYFUNCTION("""COMPUTED_VALUE"""),"")</f>
        <v/>
      </c>
      <c r="C680" s="6" t="str">
        <f ca="1">IFERROR(__xludf.DUMMYFUNCTION("""COMPUTED_VALUE"""),"")</f>
        <v/>
      </c>
      <c r="D680" s="6" t="str">
        <f ca="1">IFERROR(__xludf.DUMMYFUNCTION("""COMPUTED_VALUE"""),"")</f>
        <v/>
      </c>
      <c r="E680" s="6" t="str">
        <f ca="1">IFERROR(__xludf.DUMMYFUNCTION("""COMPUTED_VALUE"""),"")</f>
        <v/>
      </c>
      <c r="F680" s="6" t="str">
        <f ca="1">IFERROR(__xludf.DUMMYFUNCTION("""COMPUTED_VALUE"""),"")</f>
        <v/>
      </c>
      <c r="G680" s="6" t="str">
        <f ca="1">IFERROR(__xludf.DUMMYFUNCTION("""COMPUTED_VALUE"""),"")</f>
        <v/>
      </c>
      <c r="H680" s="6" t="str">
        <f ca="1">IFERROR(__xludf.DUMMYFUNCTION("""COMPUTED_VALUE"""),"")</f>
        <v/>
      </c>
      <c r="I680" s="6" t="str">
        <f ca="1">IFERROR(__xludf.DUMMYFUNCTION("""COMPUTED_VALUE"""),"")</f>
        <v/>
      </c>
      <c r="J680" s="6" t="str">
        <f ca="1">IFERROR(__xludf.DUMMYFUNCTION("""COMPUTED_VALUE"""),"")</f>
        <v/>
      </c>
    </row>
    <row r="681" spans="1:10" x14ac:dyDescent="0.2">
      <c r="A681" s="6" t="str">
        <f ca="1">IFERROR(__xludf.DUMMYFUNCTION("""COMPUTED_VALUE"""),"")</f>
        <v/>
      </c>
      <c r="B681" s="6" t="str">
        <f ca="1">IFERROR(__xludf.DUMMYFUNCTION("""COMPUTED_VALUE"""),"")</f>
        <v/>
      </c>
      <c r="C681" s="6" t="str">
        <f ca="1">IFERROR(__xludf.DUMMYFUNCTION("""COMPUTED_VALUE"""),"")</f>
        <v/>
      </c>
      <c r="D681" s="6" t="str">
        <f ca="1">IFERROR(__xludf.DUMMYFUNCTION("""COMPUTED_VALUE"""),"")</f>
        <v/>
      </c>
      <c r="E681" s="6" t="str">
        <f ca="1">IFERROR(__xludf.DUMMYFUNCTION("""COMPUTED_VALUE"""),"")</f>
        <v/>
      </c>
      <c r="F681" s="6" t="str">
        <f ca="1">IFERROR(__xludf.DUMMYFUNCTION("""COMPUTED_VALUE"""),"")</f>
        <v/>
      </c>
      <c r="G681" s="6" t="str">
        <f ca="1">IFERROR(__xludf.DUMMYFUNCTION("""COMPUTED_VALUE"""),"")</f>
        <v/>
      </c>
      <c r="H681" s="6" t="str">
        <f ca="1">IFERROR(__xludf.DUMMYFUNCTION("""COMPUTED_VALUE"""),"")</f>
        <v/>
      </c>
      <c r="I681" s="6" t="str">
        <f ca="1">IFERROR(__xludf.DUMMYFUNCTION("""COMPUTED_VALUE"""),"")</f>
        <v/>
      </c>
      <c r="J681" s="6" t="str">
        <f ca="1">IFERROR(__xludf.DUMMYFUNCTION("""COMPUTED_VALUE"""),"")</f>
        <v/>
      </c>
    </row>
    <row r="682" spans="1:10" x14ac:dyDescent="0.2">
      <c r="A682" s="6" t="str">
        <f ca="1">IFERROR(__xludf.DUMMYFUNCTION("""COMPUTED_VALUE"""),"")</f>
        <v/>
      </c>
      <c r="B682" s="6" t="str">
        <f ca="1">IFERROR(__xludf.DUMMYFUNCTION("""COMPUTED_VALUE"""),"")</f>
        <v/>
      </c>
      <c r="C682" s="6" t="str">
        <f ca="1">IFERROR(__xludf.DUMMYFUNCTION("""COMPUTED_VALUE"""),"")</f>
        <v/>
      </c>
      <c r="D682" s="6" t="str">
        <f ca="1">IFERROR(__xludf.DUMMYFUNCTION("""COMPUTED_VALUE"""),"")</f>
        <v/>
      </c>
      <c r="E682" s="6" t="str">
        <f ca="1">IFERROR(__xludf.DUMMYFUNCTION("""COMPUTED_VALUE"""),"")</f>
        <v/>
      </c>
      <c r="F682" s="6" t="str">
        <f ca="1">IFERROR(__xludf.DUMMYFUNCTION("""COMPUTED_VALUE"""),"")</f>
        <v/>
      </c>
      <c r="G682" s="6" t="str">
        <f ca="1">IFERROR(__xludf.DUMMYFUNCTION("""COMPUTED_VALUE"""),"")</f>
        <v/>
      </c>
      <c r="H682" s="6" t="str">
        <f ca="1">IFERROR(__xludf.DUMMYFUNCTION("""COMPUTED_VALUE"""),"")</f>
        <v/>
      </c>
      <c r="I682" s="6" t="str">
        <f ca="1">IFERROR(__xludf.DUMMYFUNCTION("""COMPUTED_VALUE"""),"")</f>
        <v/>
      </c>
      <c r="J682" s="6" t="str">
        <f ca="1">IFERROR(__xludf.DUMMYFUNCTION("""COMPUTED_VALUE"""),"")</f>
        <v/>
      </c>
    </row>
    <row r="683" spans="1:10" x14ac:dyDescent="0.2">
      <c r="A683" s="6" t="str">
        <f ca="1">IFERROR(__xludf.DUMMYFUNCTION("""COMPUTED_VALUE"""),"")</f>
        <v/>
      </c>
      <c r="B683" s="6" t="str">
        <f ca="1">IFERROR(__xludf.DUMMYFUNCTION("""COMPUTED_VALUE"""),"")</f>
        <v/>
      </c>
      <c r="C683" s="6" t="str">
        <f ca="1">IFERROR(__xludf.DUMMYFUNCTION("""COMPUTED_VALUE"""),"")</f>
        <v/>
      </c>
      <c r="D683" s="6" t="str">
        <f ca="1">IFERROR(__xludf.DUMMYFUNCTION("""COMPUTED_VALUE"""),"")</f>
        <v/>
      </c>
      <c r="E683" s="6" t="str">
        <f ca="1">IFERROR(__xludf.DUMMYFUNCTION("""COMPUTED_VALUE"""),"")</f>
        <v/>
      </c>
      <c r="F683" s="6" t="str">
        <f ca="1">IFERROR(__xludf.DUMMYFUNCTION("""COMPUTED_VALUE"""),"")</f>
        <v/>
      </c>
      <c r="G683" s="6" t="str">
        <f ca="1">IFERROR(__xludf.DUMMYFUNCTION("""COMPUTED_VALUE"""),"")</f>
        <v/>
      </c>
      <c r="H683" s="6" t="str">
        <f ca="1">IFERROR(__xludf.DUMMYFUNCTION("""COMPUTED_VALUE"""),"")</f>
        <v/>
      </c>
      <c r="I683" s="6" t="str">
        <f ca="1">IFERROR(__xludf.DUMMYFUNCTION("""COMPUTED_VALUE"""),"")</f>
        <v/>
      </c>
      <c r="J683" s="6" t="str">
        <f ca="1">IFERROR(__xludf.DUMMYFUNCTION("""COMPUTED_VALUE"""),"")</f>
        <v/>
      </c>
    </row>
    <row r="684" spans="1:10" x14ac:dyDescent="0.2">
      <c r="A684" s="6" t="str">
        <f ca="1">IFERROR(__xludf.DUMMYFUNCTION("""COMPUTED_VALUE"""),"")</f>
        <v/>
      </c>
      <c r="B684" s="6" t="str">
        <f ca="1">IFERROR(__xludf.DUMMYFUNCTION("""COMPUTED_VALUE"""),"")</f>
        <v/>
      </c>
      <c r="C684" s="6" t="str">
        <f ca="1">IFERROR(__xludf.DUMMYFUNCTION("""COMPUTED_VALUE"""),"")</f>
        <v/>
      </c>
      <c r="D684" s="6" t="str">
        <f ca="1">IFERROR(__xludf.DUMMYFUNCTION("""COMPUTED_VALUE"""),"")</f>
        <v/>
      </c>
      <c r="E684" s="6" t="str">
        <f ca="1">IFERROR(__xludf.DUMMYFUNCTION("""COMPUTED_VALUE"""),"")</f>
        <v/>
      </c>
      <c r="F684" s="6" t="str">
        <f ca="1">IFERROR(__xludf.DUMMYFUNCTION("""COMPUTED_VALUE"""),"")</f>
        <v/>
      </c>
      <c r="G684" s="6" t="str">
        <f ca="1">IFERROR(__xludf.DUMMYFUNCTION("""COMPUTED_VALUE"""),"")</f>
        <v/>
      </c>
      <c r="H684" s="6" t="str">
        <f ca="1">IFERROR(__xludf.DUMMYFUNCTION("""COMPUTED_VALUE"""),"")</f>
        <v/>
      </c>
      <c r="I684" s="6" t="str">
        <f ca="1">IFERROR(__xludf.DUMMYFUNCTION("""COMPUTED_VALUE"""),"")</f>
        <v/>
      </c>
      <c r="J684" s="6" t="str">
        <f ca="1">IFERROR(__xludf.DUMMYFUNCTION("""COMPUTED_VALUE"""),"")</f>
        <v/>
      </c>
    </row>
    <row r="685" spans="1:10" x14ac:dyDescent="0.2">
      <c r="A685" s="6" t="str">
        <f ca="1">IFERROR(__xludf.DUMMYFUNCTION("""COMPUTED_VALUE"""),"")</f>
        <v/>
      </c>
      <c r="B685" s="6" t="str">
        <f ca="1">IFERROR(__xludf.DUMMYFUNCTION("""COMPUTED_VALUE"""),"")</f>
        <v/>
      </c>
      <c r="C685" s="6" t="str">
        <f ca="1">IFERROR(__xludf.DUMMYFUNCTION("""COMPUTED_VALUE"""),"")</f>
        <v/>
      </c>
      <c r="D685" s="6" t="str">
        <f ca="1">IFERROR(__xludf.DUMMYFUNCTION("""COMPUTED_VALUE"""),"")</f>
        <v/>
      </c>
      <c r="E685" s="6" t="str">
        <f ca="1">IFERROR(__xludf.DUMMYFUNCTION("""COMPUTED_VALUE"""),"")</f>
        <v/>
      </c>
      <c r="F685" s="6" t="str">
        <f ca="1">IFERROR(__xludf.DUMMYFUNCTION("""COMPUTED_VALUE"""),"")</f>
        <v/>
      </c>
      <c r="G685" s="6" t="str">
        <f ca="1">IFERROR(__xludf.DUMMYFUNCTION("""COMPUTED_VALUE"""),"")</f>
        <v/>
      </c>
      <c r="H685" s="6" t="str">
        <f ca="1">IFERROR(__xludf.DUMMYFUNCTION("""COMPUTED_VALUE"""),"")</f>
        <v/>
      </c>
      <c r="I685" s="6" t="str">
        <f ca="1">IFERROR(__xludf.DUMMYFUNCTION("""COMPUTED_VALUE"""),"")</f>
        <v/>
      </c>
      <c r="J685" s="6" t="str">
        <f ca="1">IFERROR(__xludf.DUMMYFUNCTION("""COMPUTED_VALUE"""),"")</f>
        <v/>
      </c>
    </row>
    <row r="686" spans="1:10" x14ac:dyDescent="0.2">
      <c r="A686" s="6" t="str">
        <f ca="1">IFERROR(__xludf.DUMMYFUNCTION("""COMPUTED_VALUE"""),"")</f>
        <v/>
      </c>
      <c r="B686" s="6" t="str">
        <f ca="1">IFERROR(__xludf.DUMMYFUNCTION("""COMPUTED_VALUE"""),"")</f>
        <v/>
      </c>
      <c r="C686" s="6" t="str">
        <f ca="1">IFERROR(__xludf.DUMMYFUNCTION("""COMPUTED_VALUE"""),"")</f>
        <v/>
      </c>
      <c r="D686" s="6" t="str">
        <f ca="1">IFERROR(__xludf.DUMMYFUNCTION("""COMPUTED_VALUE"""),"")</f>
        <v/>
      </c>
      <c r="E686" s="6" t="str">
        <f ca="1">IFERROR(__xludf.DUMMYFUNCTION("""COMPUTED_VALUE"""),"")</f>
        <v/>
      </c>
      <c r="F686" s="6" t="str">
        <f ca="1">IFERROR(__xludf.DUMMYFUNCTION("""COMPUTED_VALUE"""),"")</f>
        <v/>
      </c>
      <c r="G686" s="6" t="str">
        <f ca="1">IFERROR(__xludf.DUMMYFUNCTION("""COMPUTED_VALUE"""),"")</f>
        <v/>
      </c>
      <c r="H686" s="6" t="str">
        <f ca="1">IFERROR(__xludf.DUMMYFUNCTION("""COMPUTED_VALUE"""),"")</f>
        <v/>
      </c>
      <c r="I686" s="6" t="str">
        <f ca="1">IFERROR(__xludf.DUMMYFUNCTION("""COMPUTED_VALUE"""),"")</f>
        <v/>
      </c>
      <c r="J686" s="6" t="str">
        <f ca="1">IFERROR(__xludf.DUMMYFUNCTION("""COMPUTED_VALUE"""),"")</f>
        <v/>
      </c>
    </row>
    <row r="687" spans="1:10" x14ac:dyDescent="0.2">
      <c r="A687" s="6" t="str">
        <f ca="1">IFERROR(__xludf.DUMMYFUNCTION("""COMPUTED_VALUE"""),"")</f>
        <v/>
      </c>
      <c r="B687" s="6" t="str">
        <f ca="1">IFERROR(__xludf.DUMMYFUNCTION("""COMPUTED_VALUE"""),"")</f>
        <v/>
      </c>
      <c r="C687" s="6" t="str">
        <f ca="1">IFERROR(__xludf.DUMMYFUNCTION("""COMPUTED_VALUE"""),"")</f>
        <v/>
      </c>
      <c r="D687" s="6" t="str">
        <f ca="1">IFERROR(__xludf.DUMMYFUNCTION("""COMPUTED_VALUE"""),"")</f>
        <v/>
      </c>
      <c r="E687" s="6" t="str">
        <f ca="1">IFERROR(__xludf.DUMMYFUNCTION("""COMPUTED_VALUE"""),"")</f>
        <v/>
      </c>
      <c r="F687" s="6" t="str">
        <f ca="1">IFERROR(__xludf.DUMMYFUNCTION("""COMPUTED_VALUE"""),"")</f>
        <v/>
      </c>
      <c r="G687" s="6" t="str">
        <f ca="1">IFERROR(__xludf.DUMMYFUNCTION("""COMPUTED_VALUE"""),"")</f>
        <v/>
      </c>
      <c r="H687" s="6" t="str">
        <f ca="1">IFERROR(__xludf.DUMMYFUNCTION("""COMPUTED_VALUE"""),"")</f>
        <v/>
      </c>
      <c r="I687" s="6" t="str">
        <f ca="1">IFERROR(__xludf.DUMMYFUNCTION("""COMPUTED_VALUE"""),"")</f>
        <v/>
      </c>
      <c r="J687" s="6" t="str">
        <f ca="1">IFERROR(__xludf.DUMMYFUNCTION("""COMPUTED_VALUE"""),"")</f>
        <v/>
      </c>
    </row>
    <row r="688" spans="1:10" x14ac:dyDescent="0.2">
      <c r="A688" s="6" t="str">
        <f ca="1">IFERROR(__xludf.DUMMYFUNCTION("""COMPUTED_VALUE"""),"")</f>
        <v/>
      </c>
      <c r="B688" s="6" t="str">
        <f ca="1">IFERROR(__xludf.DUMMYFUNCTION("""COMPUTED_VALUE"""),"")</f>
        <v/>
      </c>
      <c r="C688" s="6" t="str">
        <f ca="1">IFERROR(__xludf.DUMMYFUNCTION("""COMPUTED_VALUE"""),"")</f>
        <v/>
      </c>
      <c r="D688" s="6" t="str">
        <f ca="1">IFERROR(__xludf.DUMMYFUNCTION("""COMPUTED_VALUE"""),"")</f>
        <v/>
      </c>
      <c r="E688" s="6" t="str">
        <f ca="1">IFERROR(__xludf.DUMMYFUNCTION("""COMPUTED_VALUE"""),"")</f>
        <v/>
      </c>
      <c r="F688" s="6" t="str">
        <f ca="1">IFERROR(__xludf.DUMMYFUNCTION("""COMPUTED_VALUE"""),"")</f>
        <v/>
      </c>
      <c r="G688" s="6" t="str">
        <f ca="1">IFERROR(__xludf.DUMMYFUNCTION("""COMPUTED_VALUE"""),"")</f>
        <v/>
      </c>
      <c r="H688" s="6" t="str">
        <f ca="1">IFERROR(__xludf.DUMMYFUNCTION("""COMPUTED_VALUE"""),"")</f>
        <v/>
      </c>
      <c r="I688" s="6" t="str">
        <f ca="1">IFERROR(__xludf.DUMMYFUNCTION("""COMPUTED_VALUE"""),"")</f>
        <v/>
      </c>
      <c r="J688" s="6" t="str">
        <f ca="1">IFERROR(__xludf.DUMMYFUNCTION("""COMPUTED_VALUE"""),"")</f>
        <v/>
      </c>
    </row>
    <row r="689" spans="1:10" x14ac:dyDescent="0.2">
      <c r="A689" s="6" t="str">
        <f ca="1">IFERROR(__xludf.DUMMYFUNCTION("""COMPUTED_VALUE"""),"")</f>
        <v/>
      </c>
      <c r="B689" s="6" t="str">
        <f ca="1">IFERROR(__xludf.DUMMYFUNCTION("""COMPUTED_VALUE"""),"")</f>
        <v/>
      </c>
      <c r="C689" s="6" t="str">
        <f ca="1">IFERROR(__xludf.DUMMYFUNCTION("""COMPUTED_VALUE"""),"")</f>
        <v/>
      </c>
      <c r="D689" s="6" t="str">
        <f ca="1">IFERROR(__xludf.DUMMYFUNCTION("""COMPUTED_VALUE"""),"")</f>
        <v/>
      </c>
      <c r="E689" s="6" t="str">
        <f ca="1">IFERROR(__xludf.DUMMYFUNCTION("""COMPUTED_VALUE"""),"")</f>
        <v/>
      </c>
      <c r="F689" s="6" t="str">
        <f ca="1">IFERROR(__xludf.DUMMYFUNCTION("""COMPUTED_VALUE"""),"")</f>
        <v/>
      </c>
      <c r="G689" s="6" t="str">
        <f ca="1">IFERROR(__xludf.DUMMYFUNCTION("""COMPUTED_VALUE"""),"")</f>
        <v/>
      </c>
      <c r="H689" s="6" t="str">
        <f ca="1">IFERROR(__xludf.DUMMYFUNCTION("""COMPUTED_VALUE"""),"")</f>
        <v/>
      </c>
      <c r="I689" s="6" t="str">
        <f ca="1">IFERROR(__xludf.DUMMYFUNCTION("""COMPUTED_VALUE"""),"")</f>
        <v/>
      </c>
      <c r="J689" s="6" t="str">
        <f ca="1">IFERROR(__xludf.DUMMYFUNCTION("""COMPUTED_VALUE"""),"")</f>
        <v/>
      </c>
    </row>
    <row r="690" spans="1:10" x14ac:dyDescent="0.2">
      <c r="A690" s="6" t="str">
        <f ca="1">IFERROR(__xludf.DUMMYFUNCTION("""COMPUTED_VALUE"""),"")</f>
        <v/>
      </c>
      <c r="B690" s="6" t="str">
        <f ca="1">IFERROR(__xludf.DUMMYFUNCTION("""COMPUTED_VALUE"""),"")</f>
        <v/>
      </c>
      <c r="C690" s="6" t="str">
        <f ca="1">IFERROR(__xludf.DUMMYFUNCTION("""COMPUTED_VALUE"""),"")</f>
        <v/>
      </c>
      <c r="D690" s="6" t="str">
        <f ca="1">IFERROR(__xludf.DUMMYFUNCTION("""COMPUTED_VALUE"""),"")</f>
        <v/>
      </c>
      <c r="E690" s="6" t="str">
        <f ca="1">IFERROR(__xludf.DUMMYFUNCTION("""COMPUTED_VALUE"""),"")</f>
        <v/>
      </c>
      <c r="F690" s="6" t="str">
        <f ca="1">IFERROR(__xludf.DUMMYFUNCTION("""COMPUTED_VALUE"""),"")</f>
        <v/>
      </c>
      <c r="G690" s="6" t="str">
        <f ca="1">IFERROR(__xludf.DUMMYFUNCTION("""COMPUTED_VALUE"""),"")</f>
        <v/>
      </c>
      <c r="H690" s="6" t="str">
        <f ca="1">IFERROR(__xludf.DUMMYFUNCTION("""COMPUTED_VALUE"""),"")</f>
        <v/>
      </c>
      <c r="I690" s="6" t="str">
        <f ca="1">IFERROR(__xludf.DUMMYFUNCTION("""COMPUTED_VALUE"""),"")</f>
        <v/>
      </c>
      <c r="J690" s="6" t="str">
        <f ca="1">IFERROR(__xludf.DUMMYFUNCTION("""COMPUTED_VALUE"""),"")</f>
        <v/>
      </c>
    </row>
    <row r="691" spans="1:10" x14ac:dyDescent="0.2">
      <c r="A691" s="6" t="str">
        <f ca="1">IFERROR(__xludf.DUMMYFUNCTION("""COMPUTED_VALUE"""),"")</f>
        <v/>
      </c>
      <c r="B691" s="6" t="str">
        <f ca="1">IFERROR(__xludf.DUMMYFUNCTION("""COMPUTED_VALUE"""),"")</f>
        <v/>
      </c>
      <c r="C691" s="6" t="str">
        <f ca="1">IFERROR(__xludf.DUMMYFUNCTION("""COMPUTED_VALUE"""),"")</f>
        <v/>
      </c>
      <c r="D691" s="6" t="str">
        <f ca="1">IFERROR(__xludf.DUMMYFUNCTION("""COMPUTED_VALUE"""),"")</f>
        <v/>
      </c>
      <c r="E691" s="6" t="str">
        <f ca="1">IFERROR(__xludf.DUMMYFUNCTION("""COMPUTED_VALUE"""),"")</f>
        <v/>
      </c>
      <c r="F691" s="6" t="str">
        <f ca="1">IFERROR(__xludf.DUMMYFUNCTION("""COMPUTED_VALUE"""),"")</f>
        <v/>
      </c>
      <c r="G691" s="6" t="str">
        <f ca="1">IFERROR(__xludf.DUMMYFUNCTION("""COMPUTED_VALUE"""),"")</f>
        <v/>
      </c>
      <c r="H691" s="6" t="str">
        <f ca="1">IFERROR(__xludf.DUMMYFUNCTION("""COMPUTED_VALUE"""),"")</f>
        <v/>
      </c>
      <c r="I691" s="6" t="str">
        <f ca="1">IFERROR(__xludf.DUMMYFUNCTION("""COMPUTED_VALUE"""),"")</f>
        <v/>
      </c>
      <c r="J691" s="6" t="str">
        <f ca="1">IFERROR(__xludf.DUMMYFUNCTION("""COMPUTED_VALUE"""),"")</f>
        <v/>
      </c>
    </row>
    <row r="692" spans="1:10" x14ac:dyDescent="0.2">
      <c r="A692" s="6" t="str">
        <f ca="1">IFERROR(__xludf.DUMMYFUNCTION("""COMPUTED_VALUE"""),"")</f>
        <v/>
      </c>
      <c r="B692" s="6" t="str">
        <f ca="1">IFERROR(__xludf.DUMMYFUNCTION("""COMPUTED_VALUE"""),"")</f>
        <v/>
      </c>
      <c r="C692" s="6" t="str">
        <f ca="1">IFERROR(__xludf.DUMMYFUNCTION("""COMPUTED_VALUE"""),"")</f>
        <v/>
      </c>
      <c r="D692" s="6" t="str">
        <f ca="1">IFERROR(__xludf.DUMMYFUNCTION("""COMPUTED_VALUE"""),"")</f>
        <v/>
      </c>
      <c r="E692" s="6" t="str">
        <f ca="1">IFERROR(__xludf.DUMMYFUNCTION("""COMPUTED_VALUE"""),"")</f>
        <v/>
      </c>
      <c r="F692" s="6" t="str">
        <f ca="1">IFERROR(__xludf.DUMMYFUNCTION("""COMPUTED_VALUE"""),"")</f>
        <v/>
      </c>
      <c r="G692" s="6" t="str">
        <f ca="1">IFERROR(__xludf.DUMMYFUNCTION("""COMPUTED_VALUE"""),"")</f>
        <v/>
      </c>
      <c r="H692" s="6" t="str">
        <f ca="1">IFERROR(__xludf.DUMMYFUNCTION("""COMPUTED_VALUE"""),"")</f>
        <v/>
      </c>
      <c r="I692" s="6" t="str">
        <f ca="1">IFERROR(__xludf.DUMMYFUNCTION("""COMPUTED_VALUE"""),"")</f>
        <v/>
      </c>
      <c r="J692" s="6" t="str">
        <f ca="1">IFERROR(__xludf.DUMMYFUNCTION("""COMPUTED_VALUE"""),"")</f>
        <v/>
      </c>
    </row>
    <row r="693" spans="1:10" x14ac:dyDescent="0.2">
      <c r="A693" s="6" t="str">
        <f ca="1">IFERROR(__xludf.DUMMYFUNCTION("""COMPUTED_VALUE"""),"")</f>
        <v/>
      </c>
      <c r="B693" s="6" t="str">
        <f ca="1">IFERROR(__xludf.DUMMYFUNCTION("""COMPUTED_VALUE"""),"")</f>
        <v/>
      </c>
      <c r="C693" s="6" t="str">
        <f ca="1">IFERROR(__xludf.DUMMYFUNCTION("""COMPUTED_VALUE"""),"")</f>
        <v/>
      </c>
      <c r="D693" s="6" t="str">
        <f ca="1">IFERROR(__xludf.DUMMYFUNCTION("""COMPUTED_VALUE"""),"")</f>
        <v/>
      </c>
      <c r="E693" s="6" t="str">
        <f ca="1">IFERROR(__xludf.DUMMYFUNCTION("""COMPUTED_VALUE"""),"")</f>
        <v/>
      </c>
      <c r="F693" s="6" t="str">
        <f ca="1">IFERROR(__xludf.DUMMYFUNCTION("""COMPUTED_VALUE"""),"")</f>
        <v/>
      </c>
      <c r="G693" s="6" t="str">
        <f ca="1">IFERROR(__xludf.DUMMYFUNCTION("""COMPUTED_VALUE"""),"")</f>
        <v/>
      </c>
      <c r="H693" s="6" t="str">
        <f ca="1">IFERROR(__xludf.DUMMYFUNCTION("""COMPUTED_VALUE"""),"")</f>
        <v/>
      </c>
      <c r="I693" s="6" t="str">
        <f ca="1">IFERROR(__xludf.DUMMYFUNCTION("""COMPUTED_VALUE"""),"")</f>
        <v/>
      </c>
      <c r="J693" s="6" t="str">
        <f ca="1">IFERROR(__xludf.DUMMYFUNCTION("""COMPUTED_VALUE"""),"")</f>
        <v/>
      </c>
    </row>
    <row r="694" spans="1:10" x14ac:dyDescent="0.2">
      <c r="A694" s="6" t="str">
        <f ca="1">IFERROR(__xludf.DUMMYFUNCTION("""COMPUTED_VALUE"""),"")</f>
        <v/>
      </c>
      <c r="B694" s="6" t="str">
        <f ca="1">IFERROR(__xludf.DUMMYFUNCTION("""COMPUTED_VALUE"""),"")</f>
        <v/>
      </c>
      <c r="C694" s="6" t="str">
        <f ca="1">IFERROR(__xludf.DUMMYFUNCTION("""COMPUTED_VALUE"""),"")</f>
        <v/>
      </c>
      <c r="D694" s="6" t="str">
        <f ca="1">IFERROR(__xludf.DUMMYFUNCTION("""COMPUTED_VALUE"""),"")</f>
        <v/>
      </c>
      <c r="E694" s="6" t="str">
        <f ca="1">IFERROR(__xludf.DUMMYFUNCTION("""COMPUTED_VALUE"""),"")</f>
        <v/>
      </c>
      <c r="F694" s="6" t="str">
        <f ca="1">IFERROR(__xludf.DUMMYFUNCTION("""COMPUTED_VALUE"""),"")</f>
        <v/>
      </c>
      <c r="G694" s="6" t="str">
        <f ca="1">IFERROR(__xludf.DUMMYFUNCTION("""COMPUTED_VALUE"""),"")</f>
        <v/>
      </c>
      <c r="H694" s="6" t="str">
        <f ca="1">IFERROR(__xludf.DUMMYFUNCTION("""COMPUTED_VALUE"""),"")</f>
        <v/>
      </c>
      <c r="I694" s="6" t="str">
        <f ca="1">IFERROR(__xludf.DUMMYFUNCTION("""COMPUTED_VALUE"""),"")</f>
        <v/>
      </c>
      <c r="J694" s="6" t="str">
        <f ca="1">IFERROR(__xludf.DUMMYFUNCTION("""COMPUTED_VALUE"""),"")</f>
        <v/>
      </c>
    </row>
    <row r="695" spans="1:10" x14ac:dyDescent="0.2">
      <c r="A695" s="6" t="str">
        <f ca="1">IFERROR(__xludf.DUMMYFUNCTION("""COMPUTED_VALUE"""),"")</f>
        <v/>
      </c>
      <c r="B695" s="6" t="str">
        <f ca="1">IFERROR(__xludf.DUMMYFUNCTION("""COMPUTED_VALUE"""),"")</f>
        <v/>
      </c>
      <c r="C695" s="6" t="str">
        <f ca="1">IFERROR(__xludf.DUMMYFUNCTION("""COMPUTED_VALUE"""),"")</f>
        <v/>
      </c>
      <c r="D695" s="6" t="str">
        <f ca="1">IFERROR(__xludf.DUMMYFUNCTION("""COMPUTED_VALUE"""),"")</f>
        <v/>
      </c>
      <c r="E695" s="6" t="str">
        <f ca="1">IFERROR(__xludf.DUMMYFUNCTION("""COMPUTED_VALUE"""),"")</f>
        <v/>
      </c>
      <c r="F695" s="6" t="str">
        <f ca="1">IFERROR(__xludf.DUMMYFUNCTION("""COMPUTED_VALUE"""),"")</f>
        <v/>
      </c>
      <c r="G695" s="6" t="str">
        <f ca="1">IFERROR(__xludf.DUMMYFUNCTION("""COMPUTED_VALUE"""),"")</f>
        <v/>
      </c>
      <c r="H695" s="6" t="str">
        <f ca="1">IFERROR(__xludf.DUMMYFUNCTION("""COMPUTED_VALUE"""),"")</f>
        <v/>
      </c>
      <c r="I695" s="6" t="str">
        <f ca="1">IFERROR(__xludf.DUMMYFUNCTION("""COMPUTED_VALUE"""),"")</f>
        <v/>
      </c>
      <c r="J695" s="6" t="str">
        <f ca="1">IFERROR(__xludf.DUMMYFUNCTION("""COMPUTED_VALUE"""),"")</f>
        <v/>
      </c>
    </row>
    <row r="696" spans="1:10" x14ac:dyDescent="0.2">
      <c r="A696" s="6" t="str">
        <f ca="1">IFERROR(__xludf.DUMMYFUNCTION("""COMPUTED_VALUE"""),"")</f>
        <v/>
      </c>
      <c r="B696" s="6" t="str">
        <f ca="1">IFERROR(__xludf.DUMMYFUNCTION("""COMPUTED_VALUE"""),"")</f>
        <v/>
      </c>
      <c r="C696" s="6" t="str">
        <f ca="1">IFERROR(__xludf.DUMMYFUNCTION("""COMPUTED_VALUE"""),"")</f>
        <v/>
      </c>
      <c r="D696" s="6" t="str">
        <f ca="1">IFERROR(__xludf.DUMMYFUNCTION("""COMPUTED_VALUE"""),"")</f>
        <v/>
      </c>
      <c r="E696" s="6" t="str">
        <f ca="1">IFERROR(__xludf.DUMMYFUNCTION("""COMPUTED_VALUE"""),"")</f>
        <v/>
      </c>
      <c r="F696" s="6" t="str">
        <f ca="1">IFERROR(__xludf.DUMMYFUNCTION("""COMPUTED_VALUE"""),"")</f>
        <v/>
      </c>
      <c r="G696" s="6" t="str">
        <f ca="1">IFERROR(__xludf.DUMMYFUNCTION("""COMPUTED_VALUE"""),"")</f>
        <v/>
      </c>
      <c r="H696" s="6" t="str">
        <f ca="1">IFERROR(__xludf.DUMMYFUNCTION("""COMPUTED_VALUE"""),"")</f>
        <v/>
      </c>
      <c r="I696" s="6" t="str">
        <f ca="1">IFERROR(__xludf.DUMMYFUNCTION("""COMPUTED_VALUE"""),"")</f>
        <v/>
      </c>
      <c r="J696" s="6" t="str">
        <f ca="1">IFERROR(__xludf.DUMMYFUNCTION("""COMPUTED_VALUE"""),"")</f>
        <v/>
      </c>
    </row>
    <row r="697" spans="1:10" x14ac:dyDescent="0.2">
      <c r="A697" s="6" t="str">
        <f ca="1">IFERROR(__xludf.DUMMYFUNCTION("""COMPUTED_VALUE"""),"")</f>
        <v/>
      </c>
      <c r="B697" s="6" t="str">
        <f ca="1">IFERROR(__xludf.DUMMYFUNCTION("""COMPUTED_VALUE"""),"")</f>
        <v/>
      </c>
      <c r="C697" s="6" t="str">
        <f ca="1">IFERROR(__xludf.DUMMYFUNCTION("""COMPUTED_VALUE"""),"")</f>
        <v/>
      </c>
      <c r="D697" s="6" t="str">
        <f ca="1">IFERROR(__xludf.DUMMYFUNCTION("""COMPUTED_VALUE"""),"")</f>
        <v/>
      </c>
      <c r="E697" s="6" t="str">
        <f ca="1">IFERROR(__xludf.DUMMYFUNCTION("""COMPUTED_VALUE"""),"")</f>
        <v/>
      </c>
      <c r="F697" s="6" t="str">
        <f ca="1">IFERROR(__xludf.DUMMYFUNCTION("""COMPUTED_VALUE"""),"")</f>
        <v/>
      </c>
      <c r="G697" s="6" t="str">
        <f ca="1">IFERROR(__xludf.DUMMYFUNCTION("""COMPUTED_VALUE"""),"")</f>
        <v/>
      </c>
      <c r="H697" s="6" t="str">
        <f ca="1">IFERROR(__xludf.DUMMYFUNCTION("""COMPUTED_VALUE"""),"")</f>
        <v/>
      </c>
      <c r="I697" s="6" t="str">
        <f ca="1">IFERROR(__xludf.DUMMYFUNCTION("""COMPUTED_VALUE"""),"")</f>
        <v/>
      </c>
      <c r="J697" s="6" t="str">
        <f ca="1">IFERROR(__xludf.DUMMYFUNCTION("""COMPUTED_VALUE"""),"")</f>
        <v/>
      </c>
    </row>
    <row r="698" spans="1:10" x14ac:dyDescent="0.2">
      <c r="A698" s="6" t="str">
        <f ca="1">IFERROR(__xludf.DUMMYFUNCTION("""COMPUTED_VALUE"""),"")</f>
        <v/>
      </c>
      <c r="B698" s="6" t="str">
        <f ca="1">IFERROR(__xludf.DUMMYFUNCTION("""COMPUTED_VALUE"""),"")</f>
        <v/>
      </c>
      <c r="C698" s="6" t="str">
        <f ca="1">IFERROR(__xludf.DUMMYFUNCTION("""COMPUTED_VALUE"""),"")</f>
        <v/>
      </c>
      <c r="D698" s="6" t="str">
        <f ca="1">IFERROR(__xludf.DUMMYFUNCTION("""COMPUTED_VALUE"""),"")</f>
        <v/>
      </c>
      <c r="E698" s="6" t="str">
        <f ca="1">IFERROR(__xludf.DUMMYFUNCTION("""COMPUTED_VALUE"""),"")</f>
        <v/>
      </c>
      <c r="F698" s="6" t="str">
        <f ca="1">IFERROR(__xludf.DUMMYFUNCTION("""COMPUTED_VALUE"""),"")</f>
        <v/>
      </c>
      <c r="G698" s="6" t="str">
        <f ca="1">IFERROR(__xludf.DUMMYFUNCTION("""COMPUTED_VALUE"""),"")</f>
        <v/>
      </c>
      <c r="H698" s="6" t="str">
        <f ca="1">IFERROR(__xludf.DUMMYFUNCTION("""COMPUTED_VALUE"""),"")</f>
        <v/>
      </c>
      <c r="I698" s="6" t="str">
        <f ca="1">IFERROR(__xludf.DUMMYFUNCTION("""COMPUTED_VALUE"""),"")</f>
        <v/>
      </c>
      <c r="J698" s="6" t="str">
        <f ca="1">IFERROR(__xludf.DUMMYFUNCTION("""COMPUTED_VALUE"""),"")</f>
        <v/>
      </c>
    </row>
    <row r="699" spans="1:10" x14ac:dyDescent="0.2">
      <c r="A699" s="6" t="str">
        <f ca="1">IFERROR(__xludf.DUMMYFUNCTION("""COMPUTED_VALUE"""),"")</f>
        <v/>
      </c>
      <c r="B699" s="6" t="str">
        <f ca="1">IFERROR(__xludf.DUMMYFUNCTION("""COMPUTED_VALUE"""),"")</f>
        <v/>
      </c>
      <c r="C699" s="6" t="str">
        <f ca="1">IFERROR(__xludf.DUMMYFUNCTION("""COMPUTED_VALUE"""),"")</f>
        <v/>
      </c>
      <c r="D699" s="6" t="str">
        <f ca="1">IFERROR(__xludf.DUMMYFUNCTION("""COMPUTED_VALUE"""),"")</f>
        <v/>
      </c>
      <c r="E699" s="6" t="str">
        <f ca="1">IFERROR(__xludf.DUMMYFUNCTION("""COMPUTED_VALUE"""),"")</f>
        <v/>
      </c>
      <c r="F699" s="6" t="str">
        <f ca="1">IFERROR(__xludf.DUMMYFUNCTION("""COMPUTED_VALUE"""),"")</f>
        <v/>
      </c>
      <c r="G699" s="6" t="str">
        <f ca="1">IFERROR(__xludf.DUMMYFUNCTION("""COMPUTED_VALUE"""),"")</f>
        <v/>
      </c>
      <c r="H699" s="6" t="str">
        <f ca="1">IFERROR(__xludf.DUMMYFUNCTION("""COMPUTED_VALUE"""),"")</f>
        <v/>
      </c>
      <c r="I699" s="6" t="str">
        <f ca="1">IFERROR(__xludf.DUMMYFUNCTION("""COMPUTED_VALUE"""),"")</f>
        <v/>
      </c>
      <c r="J699" s="6" t="str">
        <f ca="1">IFERROR(__xludf.DUMMYFUNCTION("""COMPUTED_VALUE"""),"")</f>
        <v/>
      </c>
    </row>
    <row r="700" spans="1:10" x14ac:dyDescent="0.2">
      <c r="A700" s="6" t="str">
        <f ca="1">IFERROR(__xludf.DUMMYFUNCTION("""COMPUTED_VALUE"""),"")</f>
        <v/>
      </c>
      <c r="B700" s="6" t="str">
        <f ca="1">IFERROR(__xludf.DUMMYFUNCTION("""COMPUTED_VALUE"""),"")</f>
        <v/>
      </c>
      <c r="C700" s="6" t="str">
        <f ca="1">IFERROR(__xludf.DUMMYFUNCTION("""COMPUTED_VALUE"""),"")</f>
        <v/>
      </c>
      <c r="D700" s="6" t="str">
        <f ca="1">IFERROR(__xludf.DUMMYFUNCTION("""COMPUTED_VALUE"""),"")</f>
        <v/>
      </c>
      <c r="E700" s="6" t="str">
        <f ca="1">IFERROR(__xludf.DUMMYFUNCTION("""COMPUTED_VALUE"""),"")</f>
        <v/>
      </c>
      <c r="F700" s="6" t="str">
        <f ca="1">IFERROR(__xludf.DUMMYFUNCTION("""COMPUTED_VALUE"""),"")</f>
        <v/>
      </c>
      <c r="G700" s="6" t="str">
        <f ca="1">IFERROR(__xludf.DUMMYFUNCTION("""COMPUTED_VALUE"""),"")</f>
        <v/>
      </c>
      <c r="H700" s="6" t="str">
        <f ca="1">IFERROR(__xludf.DUMMYFUNCTION("""COMPUTED_VALUE"""),"")</f>
        <v/>
      </c>
      <c r="I700" s="6" t="str">
        <f ca="1">IFERROR(__xludf.DUMMYFUNCTION("""COMPUTED_VALUE"""),"")</f>
        <v/>
      </c>
      <c r="J700" s="6" t="str">
        <f ca="1">IFERROR(__xludf.DUMMYFUNCTION("""COMPUTED_VALUE"""),"")</f>
        <v/>
      </c>
    </row>
    <row r="701" spans="1:10" x14ac:dyDescent="0.2">
      <c r="A701" s="6" t="str">
        <f ca="1">IFERROR(__xludf.DUMMYFUNCTION("""COMPUTED_VALUE"""),"")</f>
        <v/>
      </c>
      <c r="B701" s="6" t="str">
        <f ca="1">IFERROR(__xludf.DUMMYFUNCTION("""COMPUTED_VALUE"""),"")</f>
        <v/>
      </c>
      <c r="C701" s="6" t="str">
        <f ca="1">IFERROR(__xludf.DUMMYFUNCTION("""COMPUTED_VALUE"""),"")</f>
        <v/>
      </c>
      <c r="D701" s="6" t="str">
        <f ca="1">IFERROR(__xludf.DUMMYFUNCTION("""COMPUTED_VALUE"""),"")</f>
        <v/>
      </c>
      <c r="E701" s="6" t="str">
        <f ca="1">IFERROR(__xludf.DUMMYFUNCTION("""COMPUTED_VALUE"""),"")</f>
        <v/>
      </c>
      <c r="F701" s="6" t="str">
        <f ca="1">IFERROR(__xludf.DUMMYFUNCTION("""COMPUTED_VALUE"""),"")</f>
        <v/>
      </c>
      <c r="G701" s="6" t="str">
        <f ca="1">IFERROR(__xludf.DUMMYFUNCTION("""COMPUTED_VALUE"""),"")</f>
        <v/>
      </c>
      <c r="H701" s="6" t="str">
        <f ca="1">IFERROR(__xludf.DUMMYFUNCTION("""COMPUTED_VALUE"""),"")</f>
        <v/>
      </c>
      <c r="I701" s="6" t="str">
        <f ca="1">IFERROR(__xludf.DUMMYFUNCTION("""COMPUTED_VALUE"""),"")</f>
        <v/>
      </c>
      <c r="J701" s="6" t="str">
        <f ca="1">IFERROR(__xludf.DUMMYFUNCTION("""COMPUTED_VALUE"""),"")</f>
        <v/>
      </c>
    </row>
    <row r="702" spans="1:10" x14ac:dyDescent="0.2">
      <c r="A702" s="6" t="str">
        <f ca="1">IFERROR(__xludf.DUMMYFUNCTION("""COMPUTED_VALUE"""),"")</f>
        <v/>
      </c>
      <c r="B702" s="6" t="str">
        <f ca="1">IFERROR(__xludf.DUMMYFUNCTION("""COMPUTED_VALUE"""),"")</f>
        <v/>
      </c>
      <c r="C702" s="6" t="str">
        <f ca="1">IFERROR(__xludf.DUMMYFUNCTION("""COMPUTED_VALUE"""),"")</f>
        <v/>
      </c>
      <c r="D702" s="6" t="str">
        <f ca="1">IFERROR(__xludf.DUMMYFUNCTION("""COMPUTED_VALUE"""),"")</f>
        <v/>
      </c>
      <c r="E702" s="6" t="str">
        <f ca="1">IFERROR(__xludf.DUMMYFUNCTION("""COMPUTED_VALUE"""),"")</f>
        <v/>
      </c>
      <c r="F702" s="6" t="str">
        <f ca="1">IFERROR(__xludf.DUMMYFUNCTION("""COMPUTED_VALUE"""),"")</f>
        <v/>
      </c>
      <c r="G702" s="6" t="str">
        <f ca="1">IFERROR(__xludf.DUMMYFUNCTION("""COMPUTED_VALUE"""),"")</f>
        <v/>
      </c>
      <c r="H702" s="6" t="str">
        <f ca="1">IFERROR(__xludf.DUMMYFUNCTION("""COMPUTED_VALUE"""),"")</f>
        <v/>
      </c>
      <c r="I702" s="6" t="str">
        <f ca="1">IFERROR(__xludf.DUMMYFUNCTION("""COMPUTED_VALUE"""),"")</f>
        <v/>
      </c>
      <c r="J702" s="6" t="str">
        <f ca="1">IFERROR(__xludf.DUMMYFUNCTION("""COMPUTED_VALUE"""),"")</f>
        <v/>
      </c>
    </row>
    <row r="703" spans="1:10" x14ac:dyDescent="0.2">
      <c r="A703" s="6" t="str">
        <f ca="1">IFERROR(__xludf.DUMMYFUNCTION("""COMPUTED_VALUE"""),"")</f>
        <v/>
      </c>
      <c r="B703" s="6" t="str">
        <f ca="1">IFERROR(__xludf.DUMMYFUNCTION("""COMPUTED_VALUE"""),"")</f>
        <v/>
      </c>
      <c r="C703" s="6" t="str">
        <f ca="1">IFERROR(__xludf.DUMMYFUNCTION("""COMPUTED_VALUE"""),"")</f>
        <v/>
      </c>
      <c r="D703" s="6" t="str">
        <f ca="1">IFERROR(__xludf.DUMMYFUNCTION("""COMPUTED_VALUE"""),"")</f>
        <v/>
      </c>
      <c r="E703" s="6" t="str">
        <f ca="1">IFERROR(__xludf.DUMMYFUNCTION("""COMPUTED_VALUE"""),"")</f>
        <v/>
      </c>
      <c r="F703" s="6" t="str">
        <f ca="1">IFERROR(__xludf.DUMMYFUNCTION("""COMPUTED_VALUE"""),"")</f>
        <v/>
      </c>
      <c r="G703" s="6" t="str">
        <f ca="1">IFERROR(__xludf.DUMMYFUNCTION("""COMPUTED_VALUE"""),"")</f>
        <v/>
      </c>
      <c r="H703" s="6" t="str">
        <f ca="1">IFERROR(__xludf.DUMMYFUNCTION("""COMPUTED_VALUE"""),"")</f>
        <v/>
      </c>
      <c r="I703" s="6" t="str">
        <f ca="1">IFERROR(__xludf.DUMMYFUNCTION("""COMPUTED_VALUE"""),"")</f>
        <v/>
      </c>
      <c r="J703" s="6" t="str">
        <f ca="1">IFERROR(__xludf.DUMMYFUNCTION("""COMPUTED_VALUE"""),"")</f>
        <v/>
      </c>
    </row>
    <row r="704" spans="1:10" x14ac:dyDescent="0.2">
      <c r="A704" s="6" t="str">
        <f ca="1">IFERROR(__xludf.DUMMYFUNCTION("""COMPUTED_VALUE"""),"")</f>
        <v/>
      </c>
      <c r="B704" s="6" t="str">
        <f ca="1">IFERROR(__xludf.DUMMYFUNCTION("""COMPUTED_VALUE"""),"")</f>
        <v/>
      </c>
      <c r="C704" s="6" t="str">
        <f ca="1">IFERROR(__xludf.DUMMYFUNCTION("""COMPUTED_VALUE"""),"")</f>
        <v/>
      </c>
      <c r="D704" s="6" t="str">
        <f ca="1">IFERROR(__xludf.DUMMYFUNCTION("""COMPUTED_VALUE"""),"")</f>
        <v/>
      </c>
      <c r="E704" s="6" t="str">
        <f ca="1">IFERROR(__xludf.DUMMYFUNCTION("""COMPUTED_VALUE"""),"")</f>
        <v/>
      </c>
      <c r="F704" s="6" t="str">
        <f ca="1">IFERROR(__xludf.DUMMYFUNCTION("""COMPUTED_VALUE"""),"")</f>
        <v/>
      </c>
      <c r="G704" s="6" t="str">
        <f ca="1">IFERROR(__xludf.DUMMYFUNCTION("""COMPUTED_VALUE"""),"")</f>
        <v/>
      </c>
      <c r="H704" s="6" t="str">
        <f ca="1">IFERROR(__xludf.DUMMYFUNCTION("""COMPUTED_VALUE"""),"")</f>
        <v/>
      </c>
      <c r="I704" s="6" t="str">
        <f ca="1">IFERROR(__xludf.DUMMYFUNCTION("""COMPUTED_VALUE"""),"")</f>
        <v/>
      </c>
      <c r="J704" s="6" t="str">
        <f ca="1">IFERROR(__xludf.DUMMYFUNCTION("""COMPUTED_VALUE"""),"")</f>
        <v/>
      </c>
    </row>
    <row r="705" spans="1:10" x14ac:dyDescent="0.2">
      <c r="A705" s="6" t="str">
        <f ca="1">IFERROR(__xludf.DUMMYFUNCTION("""COMPUTED_VALUE"""),"")</f>
        <v/>
      </c>
      <c r="B705" s="6" t="str">
        <f ca="1">IFERROR(__xludf.DUMMYFUNCTION("""COMPUTED_VALUE"""),"")</f>
        <v/>
      </c>
      <c r="C705" s="6" t="str">
        <f ca="1">IFERROR(__xludf.DUMMYFUNCTION("""COMPUTED_VALUE"""),"")</f>
        <v/>
      </c>
      <c r="D705" s="6" t="str">
        <f ca="1">IFERROR(__xludf.DUMMYFUNCTION("""COMPUTED_VALUE"""),"")</f>
        <v/>
      </c>
      <c r="E705" s="6" t="str">
        <f ca="1">IFERROR(__xludf.DUMMYFUNCTION("""COMPUTED_VALUE"""),"")</f>
        <v/>
      </c>
      <c r="F705" s="6" t="str">
        <f ca="1">IFERROR(__xludf.DUMMYFUNCTION("""COMPUTED_VALUE"""),"")</f>
        <v/>
      </c>
      <c r="G705" s="6" t="str">
        <f ca="1">IFERROR(__xludf.DUMMYFUNCTION("""COMPUTED_VALUE"""),"")</f>
        <v/>
      </c>
      <c r="H705" s="6" t="str">
        <f ca="1">IFERROR(__xludf.DUMMYFUNCTION("""COMPUTED_VALUE"""),"")</f>
        <v/>
      </c>
      <c r="I705" s="6" t="str">
        <f ca="1">IFERROR(__xludf.DUMMYFUNCTION("""COMPUTED_VALUE"""),"")</f>
        <v/>
      </c>
      <c r="J705" s="6" t="str">
        <f ca="1">IFERROR(__xludf.DUMMYFUNCTION("""COMPUTED_VALUE"""),"")</f>
        <v/>
      </c>
    </row>
    <row r="706" spans="1:10" x14ac:dyDescent="0.2">
      <c r="A706" s="6" t="str">
        <f ca="1">IFERROR(__xludf.DUMMYFUNCTION("""COMPUTED_VALUE"""),"")</f>
        <v/>
      </c>
      <c r="B706" s="6" t="str">
        <f ca="1">IFERROR(__xludf.DUMMYFUNCTION("""COMPUTED_VALUE"""),"")</f>
        <v/>
      </c>
      <c r="C706" s="6" t="str">
        <f ca="1">IFERROR(__xludf.DUMMYFUNCTION("""COMPUTED_VALUE"""),"")</f>
        <v/>
      </c>
      <c r="D706" s="6" t="str">
        <f ca="1">IFERROR(__xludf.DUMMYFUNCTION("""COMPUTED_VALUE"""),"")</f>
        <v/>
      </c>
      <c r="E706" s="6" t="str">
        <f ca="1">IFERROR(__xludf.DUMMYFUNCTION("""COMPUTED_VALUE"""),"")</f>
        <v/>
      </c>
      <c r="F706" s="6" t="str">
        <f ca="1">IFERROR(__xludf.DUMMYFUNCTION("""COMPUTED_VALUE"""),"")</f>
        <v/>
      </c>
      <c r="G706" s="6" t="str">
        <f ca="1">IFERROR(__xludf.DUMMYFUNCTION("""COMPUTED_VALUE"""),"")</f>
        <v/>
      </c>
      <c r="H706" s="6" t="str">
        <f ca="1">IFERROR(__xludf.DUMMYFUNCTION("""COMPUTED_VALUE"""),"")</f>
        <v/>
      </c>
      <c r="I706" s="6" t="str">
        <f ca="1">IFERROR(__xludf.DUMMYFUNCTION("""COMPUTED_VALUE"""),"")</f>
        <v/>
      </c>
      <c r="J706" s="6" t="str">
        <f ca="1">IFERROR(__xludf.DUMMYFUNCTION("""COMPUTED_VALUE"""),"")</f>
        <v/>
      </c>
    </row>
    <row r="707" spans="1:10" x14ac:dyDescent="0.2">
      <c r="A707" s="6" t="str">
        <f ca="1">IFERROR(__xludf.DUMMYFUNCTION("""COMPUTED_VALUE"""),"")</f>
        <v/>
      </c>
      <c r="B707" s="6" t="str">
        <f ca="1">IFERROR(__xludf.DUMMYFUNCTION("""COMPUTED_VALUE"""),"")</f>
        <v/>
      </c>
      <c r="C707" s="6" t="str">
        <f ca="1">IFERROR(__xludf.DUMMYFUNCTION("""COMPUTED_VALUE"""),"")</f>
        <v/>
      </c>
      <c r="D707" s="6" t="str">
        <f ca="1">IFERROR(__xludf.DUMMYFUNCTION("""COMPUTED_VALUE"""),"")</f>
        <v/>
      </c>
      <c r="E707" s="6" t="str">
        <f ca="1">IFERROR(__xludf.DUMMYFUNCTION("""COMPUTED_VALUE"""),"")</f>
        <v/>
      </c>
      <c r="F707" s="6" t="str">
        <f ca="1">IFERROR(__xludf.DUMMYFUNCTION("""COMPUTED_VALUE"""),"")</f>
        <v/>
      </c>
      <c r="G707" s="6" t="str">
        <f ca="1">IFERROR(__xludf.DUMMYFUNCTION("""COMPUTED_VALUE"""),"")</f>
        <v/>
      </c>
      <c r="H707" s="6" t="str">
        <f ca="1">IFERROR(__xludf.DUMMYFUNCTION("""COMPUTED_VALUE"""),"")</f>
        <v/>
      </c>
      <c r="I707" s="6" t="str">
        <f ca="1">IFERROR(__xludf.DUMMYFUNCTION("""COMPUTED_VALUE"""),"")</f>
        <v/>
      </c>
      <c r="J707" s="6" t="str">
        <f ca="1">IFERROR(__xludf.DUMMYFUNCTION("""COMPUTED_VALUE"""),"")</f>
        <v/>
      </c>
    </row>
    <row r="708" spans="1:10" x14ac:dyDescent="0.2">
      <c r="A708" s="6" t="str">
        <f ca="1">IFERROR(__xludf.DUMMYFUNCTION("""COMPUTED_VALUE"""),"")</f>
        <v/>
      </c>
      <c r="B708" s="6" t="str">
        <f ca="1">IFERROR(__xludf.DUMMYFUNCTION("""COMPUTED_VALUE"""),"")</f>
        <v/>
      </c>
      <c r="C708" s="6" t="str">
        <f ca="1">IFERROR(__xludf.DUMMYFUNCTION("""COMPUTED_VALUE"""),"")</f>
        <v/>
      </c>
      <c r="D708" s="6" t="str">
        <f ca="1">IFERROR(__xludf.DUMMYFUNCTION("""COMPUTED_VALUE"""),"")</f>
        <v/>
      </c>
      <c r="E708" s="6" t="str">
        <f ca="1">IFERROR(__xludf.DUMMYFUNCTION("""COMPUTED_VALUE"""),"")</f>
        <v/>
      </c>
      <c r="F708" s="6" t="str">
        <f ca="1">IFERROR(__xludf.DUMMYFUNCTION("""COMPUTED_VALUE"""),"")</f>
        <v/>
      </c>
      <c r="G708" s="6" t="str">
        <f ca="1">IFERROR(__xludf.DUMMYFUNCTION("""COMPUTED_VALUE"""),"")</f>
        <v/>
      </c>
      <c r="H708" s="6" t="str">
        <f ca="1">IFERROR(__xludf.DUMMYFUNCTION("""COMPUTED_VALUE"""),"")</f>
        <v/>
      </c>
      <c r="I708" s="6" t="str">
        <f ca="1">IFERROR(__xludf.DUMMYFUNCTION("""COMPUTED_VALUE"""),"")</f>
        <v/>
      </c>
      <c r="J708" s="6" t="str">
        <f ca="1">IFERROR(__xludf.DUMMYFUNCTION("""COMPUTED_VALUE"""),"")</f>
        <v/>
      </c>
    </row>
    <row r="709" spans="1:10" x14ac:dyDescent="0.2">
      <c r="A709" s="6" t="str">
        <f ca="1">IFERROR(__xludf.DUMMYFUNCTION("""COMPUTED_VALUE"""),"")</f>
        <v/>
      </c>
      <c r="B709" s="6" t="str">
        <f ca="1">IFERROR(__xludf.DUMMYFUNCTION("""COMPUTED_VALUE"""),"")</f>
        <v/>
      </c>
      <c r="C709" s="6" t="str">
        <f ca="1">IFERROR(__xludf.DUMMYFUNCTION("""COMPUTED_VALUE"""),"")</f>
        <v/>
      </c>
      <c r="D709" s="6" t="str">
        <f ca="1">IFERROR(__xludf.DUMMYFUNCTION("""COMPUTED_VALUE"""),"")</f>
        <v/>
      </c>
      <c r="E709" s="6" t="str">
        <f ca="1">IFERROR(__xludf.DUMMYFUNCTION("""COMPUTED_VALUE"""),"")</f>
        <v/>
      </c>
      <c r="F709" s="6" t="str">
        <f ca="1">IFERROR(__xludf.DUMMYFUNCTION("""COMPUTED_VALUE"""),"")</f>
        <v/>
      </c>
      <c r="G709" s="6" t="str">
        <f ca="1">IFERROR(__xludf.DUMMYFUNCTION("""COMPUTED_VALUE"""),"")</f>
        <v/>
      </c>
      <c r="H709" s="6" t="str">
        <f ca="1">IFERROR(__xludf.DUMMYFUNCTION("""COMPUTED_VALUE"""),"")</f>
        <v/>
      </c>
      <c r="I709" s="6" t="str">
        <f ca="1">IFERROR(__xludf.DUMMYFUNCTION("""COMPUTED_VALUE"""),"")</f>
        <v/>
      </c>
      <c r="J709" s="6" t="str">
        <f ca="1">IFERROR(__xludf.DUMMYFUNCTION("""COMPUTED_VALUE"""),"")</f>
        <v/>
      </c>
    </row>
    <row r="710" spans="1:10" x14ac:dyDescent="0.2">
      <c r="A710" s="6" t="str">
        <f ca="1">IFERROR(__xludf.DUMMYFUNCTION("""COMPUTED_VALUE"""),"")</f>
        <v/>
      </c>
      <c r="B710" s="6" t="str">
        <f ca="1">IFERROR(__xludf.DUMMYFUNCTION("""COMPUTED_VALUE"""),"")</f>
        <v/>
      </c>
      <c r="C710" s="6" t="str">
        <f ca="1">IFERROR(__xludf.DUMMYFUNCTION("""COMPUTED_VALUE"""),"")</f>
        <v/>
      </c>
      <c r="D710" s="6" t="str">
        <f ca="1">IFERROR(__xludf.DUMMYFUNCTION("""COMPUTED_VALUE"""),"")</f>
        <v/>
      </c>
      <c r="E710" s="6" t="str">
        <f ca="1">IFERROR(__xludf.DUMMYFUNCTION("""COMPUTED_VALUE"""),"")</f>
        <v/>
      </c>
      <c r="F710" s="6" t="str">
        <f ca="1">IFERROR(__xludf.DUMMYFUNCTION("""COMPUTED_VALUE"""),"")</f>
        <v/>
      </c>
      <c r="G710" s="6" t="str">
        <f ca="1">IFERROR(__xludf.DUMMYFUNCTION("""COMPUTED_VALUE"""),"")</f>
        <v/>
      </c>
      <c r="H710" s="6" t="str">
        <f ca="1">IFERROR(__xludf.DUMMYFUNCTION("""COMPUTED_VALUE"""),"")</f>
        <v/>
      </c>
      <c r="I710" s="6" t="str">
        <f ca="1">IFERROR(__xludf.DUMMYFUNCTION("""COMPUTED_VALUE"""),"")</f>
        <v/>
      </c>
      <c r="J710" s="6" t="str">
        <f ca="1">IFERROR(__xludf.DUMMYFUNCTION("""COMPUTED_VALUE"""),"")</f>
        <v/>
      </c>
    </row>
    <row r="711" spans="1:10" x14ac:dyDescent="0.2">
      <c r="A711" s="6" t="str">
        <f ca="1">IFERROR(__xludf.DUMMYFUNCTION("""COMPUTED_VALUE"""),"")</f>
        <v/>
      </c>
      <c r="B711" s="6" t="str">
        <f ca="1">IFERROR(__xludf.DUMMYFUNCTION("""COMPUTED_VALUE"""),"")</f>
        <v/>
      </c>
      <c r="C711" s="6" t="str">
        <f ca="1">IFERROR(__xludf.DUMMYFUNCTION("""COMPUTED_VALUE"""),"")</f>
        <v/>
      </c>
      <c r="D711" s="6" t="str">
        <f ca="1">IFERROR(__xludf.DUMMYFUNCTION("""COMPUTED_VALUE"""),"")</f>
        <v/>
      </c>
      <c r="E711" s="6" t="str">
        <f ca="1">IFERROR(__xludf.DUMMYFUNCTION("""COMPUTED_VALUE"""),"")</f>
        <v/>
      </c>
      <c r="F711" s="6" t="str">
        <f ca="1">IFERROR(__xludf.DUMMYFUNCTION("""COMPUTED_VALUE"""),"")</f>
        <v/>
      </c>
      <c r="G711" s="6" t="str">
        <f ca="1">IFERROR(__xludf.DUMMYFUNCTION("""COMPUTED_VALUE"""),"")</f>
        <v/>
      </c>
      <c r="H711" s="6" t="str">
        <f ca="1">IFERROR(__xludf.DUMMYFUNCTION("""COMPUTED_VALUE"""),"")</f>
        <v/>
      </c>
      <c r="I711" s="6" t="str">
        <f ca="1">IFERROR(__xludf.DUMMYFUNCTION("""COMPUTED_VALUE"""),"")</f>
        <v/>
      </c>
      <c r="J711" s="6" t="str">
        <f ca="1">IFERROR(__xludf.DUMMYFUNCTION("""COMPUTED_VALUE"""),"")</f>
        <v/>
      </c>
    </row>
    <row r="712" spans="1:10" x14ac:dyDescent="0.2">
      <c r="A712" s="6" t="str">
        <f ca="1">IFERROR(__xludf.DUMMYFUNCTION("""COMPUTED_VALUE"""),"")</f>
        <v/>
      </c>
      <c r="B712" s="6" t="str">
        <f ca="1">IFERROR(__xludf.DUMMYFUNCTION("""COMPUTED_VALUE"""),"")</f>
        <v/>
      </c>
      <c r="C712" s="6" t="str">
        <f ca="1">IFERROR(__xludf.DUMMYFUNCTION("""COMPUTED_VALUE"""),"")</f>
        <v/>
      </c>
      <c r="D712" s="6" t="str">
        <f ca="1">IFERROR(__xludf.DUMMYFUNCTION("""COMPUTED_VALUE"""),"")</f>
        <v/>
      </c>
      <c r="E712" s="6" t="str">
        <f ca="1">IFERROR(__xludf.DUMMYFUNCTION("""COMPUTED_VALUE"""),"")</f>
        <v/>
      </c>
      <c r="F712" s="6" t="str">
        <f ca="1">IFERROR(__xludf.DUMMYFUNCTION("""COMPUTED_VALUE"""),"")</f>
        <v/>
      </c>
      <c r="G712" s="6" t="str">
        <f ca="1">IFERROR(__xludf.DUMMYFUNCTION("""COMPUTED_VALUE"""),"")</f>
        <v/>
      </c>
      <c r="H712" s="6" t="str">
        <f ca="1">IFERROR(__xludf.DUMMYFUNCTION("""COMPUTED_VALUE"""),"")</f>
        <v/>
      </c>
      <c r="I712" s="6" t="str">
        <f ca="1">IFERROR(__xludf.DUMMYFUNCTION("""COMPUTED_VALUE"""),"")</f>
        <v/>
      </c>
      <c r="J712" s="6" t="str">
        <f ca="1">IFERROR(__xludf.DUMMYFUNCTION("""COMPUTED_VALUE"""),"")</f>
        <v/>
      </c>
    </row>
    <row r="713" spans="1:10" x14ac:dyDescent="0.2">
      <c r="A713" s="6" t="str">
        <f ca="1">IFERROR(__xludf.DUMMYFUNCTION("""COMPUTED_VALUE"""),"")</f>
        <v/>
      </c>
      <c r="B713" s="6" t="str">
        <f ca="1">IFERROR(__xludf.DUMMYFUNCTION("""COMPUTED_VALUE"""),"")</f>
        <v/>
      </c>
      <c r="C713" s="6" t="str">
        <f ca="1">IFERROR(__xludf.DUMMYFUNCTION("""COMPUTED_VALUE"""),"")</f>
        <v/>
      </c>
      <c r="D713" s="6" t="str">
        <f ca="1">IFERROR(__xludf.DUMMYFUNCTION("""COMPUTED_VALUE"""),"")</f>
        <v/>
      </c>
      <c r="E713" s="6" t="str">
        <f ca="1">IFERROR(__xludf.DUMMYFUNCTION("""COMPUTED_VALUE"""),"")</f>
        <v/>
      </c>
      <c r="F713" s="6" t="str">
        <f ca="1">IFERROR(__xludf.DUMMYFUNCTION("""COMPUTED_VALUE"""),"")</f>
        <v/>
      </c>
      <c r="G713" s="6" t="str">
        <f ca="1">IFERROR(__xludf.DUMMYFUNCTION("""COMPUTED_VALUE"""),"")</f>
        <v/>
      </c>
      <c r="H713" s="6" t="str">
        <f ca="1">IFERROR(__xludf.DUMMYFUNCTION("""COMPUTED_VALUE"""),"")</f>
        <v/>
      </c>
      <c r="I713" s="6" t="str">
        <f ca="1">IFERROR(__xludf.DUMMYFUNCTION("""COMPUTED_VALUE"""),"")</f>
        <v/>
      </c>
      <c r="J713" s="6" t="str">
        <f ca="1">IFERROR(__xludf.DUMMYFUNCTION("""COMPUTED_VALUE"""),"")</f>
        <v/>
      </c>
    </row>
    <row r="714" spans="1:10" x14ac:dyDescent="0.2">
      <c r="A714" s="6" t="str">
        <f ca="1">IFERROR(__xludf.DUMMYFUNCTION("""COMPUTED_VALUE"""),"")</f>
        <v/>
      </c>
      <c r="B714" s="6" t="str">
        <f ca="1">IFERROR(__xludf.DUMMYFUNCTION("""COMPUTED_VALUE"""),"")</f>
        <v/>
      </c>
      <c r="C714" s="6" t="str">
        <f ca="1">IFERROR(__xludf.DUMMYFUNCTION("""COMPUTED_VALUE"""),"")</f>
        <v/>
      </c>
      <c r="D714" s="6" t="str">
        <f ca="1">IFERROR(__xludf.DUMMYFUNCTION("""COMPUTED_VALUE"""),"")</f>
        <v/>
      </c>
      <c r="E714" s="6" t="str">
        <f ca="1">IFERROR(__xludf.DUMMYFUNCTION("""COMPUTED_VALUE"""),"")</f>
        <v/>
      </c>
      <c r="F714" s="6" t="str">
        <f ca="1">IFERROR(__xludf.DUMMYFUNCTION("""COMPUTED_VALUE"""),"")</f>
        <v/>
      </c>
      <c r="G714" s="6" t="str">
        <f ca="1">IFERROR(__xludf.DUMMYFUNCTION("""COMPUTED_VALUE"""),"")</f>
        <v/>
      </c>
      <c r="H714" s="6" t="str">
        <f ca="1">IFERROR(__xludf.DUMMYFUNCTION("""COMPUTED_VALUE"""),"")</f>
        <v/>
      </c>
      <c r="I714" s="6" t="str">
        <f ca="1">IFERROR(__xludf.DUMMYFUNCTION("""COMPUTED_VALUE"""),"")</f>
        <v/>
      </c>
      <c r="J714" s="6" t="str">
        <f ca="1">IFERROR(__xludf.DUMMYFUNCTION("""COMPUTED_VALUE"""),"")</f>
        <v/>
      </c>
    </row>
    <row r="715" spans="1:10" x14ac:dyDescent="0.2">
      <c r="A715" s="6" t="str">
        <f ca="1">IFERROR(__xludf.DUMMYFUNCTION("""COMPUTED_VALUE"""),"")</f>
        <v/>
      </c>
      <c r="B715" s="6" t="str">
        <f ca="1">IFERROR(__xludf.DUMMYFUNCTION("""COMPUTED_VALUE"""),"")</f>
        <v/>
      </c>
      <c r="C715" s="6" t="str">
        <f ca="1">IFERROR(__xludf.DUMMYFUNCTION("""COMPUTED_VALUE"""),"")</f>
        <v/>
      </c>
      <c r="D715" s="6" t="str">
        <f ca="1">IFERROR(__xludf.DUMMYFUNCTION("""COMPUTED_VALUE"""),"")</f>
        <v/>
      </c>
      <c r="E715" s="6" t="str">
        <f ca="1">IFERROR(__xludf.DUMMYFUNCTION("""COMPUTED_VALUE"""),"")</f>
        <v/>
      </c>
      <c r="F715" s="6" t="str">
        <f ca="1">IFERROR(__xludf.DUMMYFUNCTION("""COMPUTED_VALUE"""),"")</f>
        <v/>
      </c>
      <c r="G715" s="6" t="str">
        <f ca="1">IFERROR(__xludf.DUMMYFUNCTION("""COMPUTED_VALUE"""),"")</f>
        <v/>
      </c>
      <c r="H715" s="6" t="str">
        <f ca="1">IFERROR(__xludf.DUMMYFUNCTION("""COMPUTED_VALUE"""),"")</f>
        <v/>
      </c>
      <c r="I715" s="6" t="str">
        <f ca="1">IFERROR(__xludf.DUMMYFUNCTION("""COMPUTED_VALUE"""),"")</f>
        <v/>
      </c>
      <c r="J715" s="6" t="str">
        <f ca="1">IFERROR(__xludf.DUMMYFUNCTION("""COMPUTED_VALUE"""),"")</f>
        <v/>
      </c>
    </row>
    <row r="716" spans="1:10" x14ac:dyDescent="0.2">
      <c r="A716" s="6" t="str">
        <f ca="1">IFERROR(__xludf.DUMMYFUNCTION("""COMPUTED_VALUE"""),"")</f>
        <v/>
      </c>
      <c r="B716" s="6" t="str">
        <f ca="1">IFERROR(__xludf.DUMMYFUNCTION("""COMPUTED_VALUE"""),"")</f>
        <v/>
      </c>
      <c r="C716" s="6" t="str">
        <f ca="1">IFERROR(__xludf.DUMMYFUNCTION("""COMPUTED_VALUE"""),"")</f>
        <v/>
      </c>
      <c r="D716" s="6" t="str">
        <f ca="1">IFERROR(__xludf.DUMMYFUNCTION("""COMPUTED_VALUE"""),"")</f>
        <v/>
      </c>
      <c r="E716" s="6" t="str">
        <f ca="1">IFERROR(__xludf.DUMMYFUNCTION("""COMPUTED_VALUE"""),"")</f>
        <v/>
      </c>
      <c r="F716" s="6" t="str">
        <f ca="1">IFERROR(__xludf.DUMMYFUNCTION("""COMPUTED_VALUE"""),"")</f>
        <v/>
      </c>
      <c r="G716" s="6" t="str">
        <f ca="1">IFERROR(__xludf.DUMMYFUNCTION("""COMPUTED_VALUE"""),"")</f>
        <v/>
      </c>
      <c r="H716" s="6" t="str">
        <f ca="1">IFERROR(__xludf.DUMMYFUNCTION("""COMPUTED_VALUE"""),"")</f>
        <v/>
      </c>
      <c r="I716" s="6" t="str">
        <f ca="1">IFERROR(__xludf.DUMMYFUNCTION("""COMPUTED_VALUE"""),"")</f>
        <v/>
      </c>
      <c r="J716" s="6" t="str">
        <f ca="1">IFERROR(__xludf.DUMMYFUNCTION("""COMPUTED_VALUE"""),"")</f>
        <v/>
      </c>
    </row>
    <row r="717" spans="1:10" x14ac:dyDescent="0.2">
      <c r="A717" s="6" t="str">
        <f ca="1">IFERROR(__xludf.DUMMYFUNCTION("""COMPUTED_VALUE"""),"")</f>
        <v/>
      </c>
      <c r="B717" s="6" t="str">
        <f ca="1">IFERROR(__xludf.DUMMYFUNCTION("""COMPUTED_VALUE"""),"")</f>
        <v/>
      </c>
      <c r="C717" s="6" t="str">
        <f ca="1">IFERROR(__xludf.DUMMYFUNCTION("""COMPUTED_VALUE"""),"")</f>
        <v/>
      </c>
      <c r="D717" s="6" t="str">
        <f ca="1">IFERROR(__xludf.DUMMYFUNCTION("""COMPUTED_VALUE"""),"")</f>
        <v/>
      </c>
      <c r="E717" s="6" t="str">
        <f ca="1">IFERROR(__xludf.DUMMYFUNCTION("""COMPUTED_VALUE"""),"")</f>
        <v/>
      </c>
      <c r="F717" s="6" t="str">
        <f ca="1">IFERROR(__xludf.DUMMYFUNCTION("""COMPUTED_VALUE"""),"")</f>
        <v/>
      </c>
      <c r="G717" s="6" t="str">
        <f ca="1">IFERROR(__xludf.DUMMYFUNCTION("""COMPUTED_VALUE"""),"")</f>
        <v/>
      </c>
      <c r="H717" s="6" t="str">
        <f ca="1">IFERROR(__xludf.DUMMYFUNCTION("""COMPUTED_VALUE"""),"")</f>
        <v/>
      </c>
      <c r="I717" s="6" t="str">
        <f ca="1">IFERROR(__xludf.DUMMYFUNCTION("""COMPUTED_VALUE"""),"")</f>
        <v/>
      </c>
      <c r="J717" s="6" t="str">
        <f ca="1">IFERROR(__xludf.DUMMYFUNCTION("""COMPUTED_VALUE"""),"")</f>
        <v/>
      </c>
    </row>
    <row r="718" spans="1:10" x14ac:dyDescent="0.2">
      <c r="A718" s="6" t="str">
        <f ca="1">IFERROR(__xludf.DUMMYFUNCTION("""COMPUTED_VALUE"""),"")</f>
        <v/>
      </c>
      <c r="B718" s="6" t="str">
        <f ca="1">IFERROR(__xludf.DUMMYFUNCTION("""COMPUTED_VALUE"""),"")</f>
        <v/>
      </c>
      <c r="C718" s="6" t="str">
        <f ca="1">IFERROR(__xludf.DUMMYFUNCTION("""COMPUTED_VALUE"""),"")</f>
        <v/>
      </c>
      <c r="D718" s="6" t="str">
        <f ca="1">IFERROR(__xludf.DUMMYFUNCTION("""COMPUTED_VALUE"""),"")</f>
        <v/>
      </c>
      <c r="E718" s="6" t="str">
        <f ca="1">IFERROR(__xludf.DUMMYFUNCTION("""COMPUTED_VALUE"""),"")</f>
        <v/>
      </c>
      <c r="F718" s="6" t="str">
        <f ca="1">IFERROR(__xludf.DUMMYFUNCTION("""COMPUTED_VALUE"""),"")</f>
        <v/>
      </c>
      <c r="G718" s="6" t="str">
        <f ca="1">IFERROR(__xludf.DUMMYFUNCTION("""COMPUTED_VALUE"""),"")</f>
        <v/>
      </c>
      <c r="H718" s="6" t="str">
        <f ca="1">IFERROR(__xludf.DUMMYFUNCTION("""COMPUTED_VALUE"""),"")</f>
        <v/>
      </c>
      <c r="I718" s="6" t="str">
        <f ca="1">IFERROR(__xludf.DUMMYFUNCTION("""COMPUTED_VALUE"""),"")</f>
        <v/>
      </c>
      <c r="J718" s="6" t="str">
        <f ca="1">IFERROR(__xludf.DUMMYFUNCTION("""COMPUTED_VALUE"""),"")</f>
        <v/>
      </c>
    </row>
    <row r="719" spans="1:10" x14ac:dyDescent="0.2">
      <c r="A719" s="6" t="str">
        <f ca="1">IFERROR(__xludf.DUMMYFUNCTION("""COMPUTED_VALUE"""),"")</f>
        <v/>
      </c>
      <c r="B719" s="6" t="str">
        <f ca="1">IFERROR(__xludf.DUMMYFUNCTION("""COMPUTED_VALUE"""),"")</f>
        <v/>
      </c>
      <c r="C719" s="6" t="str">
        <f ca="1">IFERROR(__xludf.DUMMYFUNCTION("""COMPUTED_VALUE"""),"")</f>
        <v/>
      </c>
      <c r="D719" s="6" t="str">
        <f ca="1">IFERROR(__xludf.DUMMYFUNCTION("""COMPUTED_VALUE"""),"")</f>
        <v/>
      </c>
      <c r="E719" s="6" t="str">
        <f ca="1">IFERROR(__xludf.DUMMYFUNCTION("""COMPUTED_VALUE"""),"")</f>
        <v/>
      </c>
      <c r="F719" s="6" t="str">
        <f ca="1">IFERROR(__xludf.DUMMYFUNCTION("""COMPUTED_VALUE"""),"")</f>
        <v/>
      </c>
      <c r="G719" s="6" t="str">
        <f ca="1">IFERROR(__xludf.DUMMYFUNCTION("""COMPUTED_VALUE"""),"")</f>
        <v/>
      </c>
      <c r="H719" s="6" t="str">
        <f ca="1">IFERROR(__xludf.DUMMYFUNCTION("""COMPUTED_VALUE"""),"")</f>
        <v/>
      </c>
      <c r="I719" s="6" t="str">
        <f ca="1">IFERROR(__xludf.DUMMYFUNCTION("""COMPUTED_VALUE"""),"")</f>
        <v/>
      </c>
      <c r="J719" s="6" t="str">
        <f ca="1">IFERROR(__xludf.DUMMYFUNCTION("""COMPUTED_VALUE"""),"")</f>
        <v/>
      </c>
    </row>
    <row r="720" spans="1:10" x14ac:dyDescent="0.2">
      <c r="A720" s="6" t="str">
        <f ca="1">IFERROR(__xludf.DUMMYFUNCTION("""COMPUTED_VALUE"""),"")</f>
        <v/>
      </c>
      <c r="B720" s="6" t="str">
        <f ca="1">IFERROR(__xludf.DUMMYFUNCTION("""COMPUTED_VALUE"""),"")</f>
        <v/>
      </c>
      <c r="C720" s="6" t="str">
        <f ca="1">IFERROR(__xludf.DUMMYFUNCTION("""COMPUTED_VALUE"""),"")</f>
        <v/>
      </c>
      <c r="D720" s="6" t="str">
        <f ca="1">IFERROR(__xludf.DUMMYFUNCTION("""COMPUTED_VALUE"""),"")</f>
        <v/>
      </c>
      <c r="E720" s="6" t="str">
        <f ca="1">IFERROR(__xludf.DUMMYFUNCTION("""COMPUTED_VALUE"""),"")</f>
        <v/>
      </c>
      <c r="F720" s="6" t="str">
        <f ca="1">IFERROR(__xludf.DUMMYFUNCTION("""COMPUTED_VALUE"""),"")</f>
        <v/>
      </c>
      <c r="G720" s="6" t="str">
        <f ca="1">IFERROR(__xludf.DUMMYFUNCTION("""COMPUTED_VALUE"""),"")</f>
        <v/>
      </c>
      <c r="H720" s="6" t="str">
        <f ca="1">IFERROR(__xludf.DUMMYFUNCTION("""COMPUTED_VALUE"""),"")</f>
        <v/>
      </c>
      <c r="I720" s="6" t="str">
        <f ca="1">IFERROR(__xludf.DUMMYFUNCTION("""COMPUTED_VALUE"""),"")</f>
        <v/>
      </c>
      <c r="J720" s="6" t="str">
        <f ca="1">IFERROR(__xludf.DUMMYFUNCTION("""COMPUTED_VALUE"""),"")</f>
        <v/>
      </c>
    </row>
    <row r="721" spans="1:10" x14ac:dyDescent="0.2">
      <c r="A721" s="6" t="str">
        <f ca="1">IFERROR(__xludf.DUMMYFUNCTION("""COMPUTED_VALUE"""),"")</f>
        <v/>
      </c>
      <c r="B721" s="6" t="str">
        <f ca="1">IFERROR(__xludf.DUMMYFUNCTION("""COMPUTED_VALUE"""),"")</f>
        <v/>
      </c>
      <c r="C721" s="6" t="str">
        <f ca="1">IFERROR(__xludf.DUMMYFUNCTION("""COMPUTED_VALUE"""),"")</f>
        <v/>
      </c>
      <c r="D721" s="6" t="str">
        <f ca="1">IFERROR(__xludf.DUMMYFUNCTION("""COMPUTED_VALUE"""),"")</f>
        <v/>
      </c>
      <c r="E721" s="6" t="str">
        <f ca="1">IFERROR(__xludf.DUMMYFUNCTION("""COMPUTED_VALUE"""),"")</f>
        <v/>
      </c>
      <c r="F721" s="6" t="str">
        <f ca="1">IFERROR(__xludf.DUMMYFUNCTION("""COMPUTED_VALUE"""),"")</f>
        <v/>
      </c>
      <c r="G721" s="6" t="str">
        <f ca="1">IFERROR(__xludf.DUMMYFUNCTION("""COMPUTED_VALUE"""),"")</f>
        <v/>
      </c>
      <c r="H721" s="6" t="str">
        <f ca="1">IFERROR(__xludf.DUMMYFUNCTION("""COMPUTED_VALUE"""),"")</f>
        <v/>
      </c>
      <c r="I721" s="6" t="str">
        <f ca="1">IFERROR(__xludf.DUMMYFUNCTION("""COMPUTED_VALUE"""),"")</f>
        <v/>
      </c>
      <c r="J721" s="6" t="str">
        <f ca="1">IFERROR(__xludf.DUMMYFUNCTION("""COMPUTED_VALUE"""),"")</f>
        <v/>
      </c>
    </row>
    <row r="722" spans="1:10" x14ac:dyDescent="0.2">
      <c r="A722" s="6" t="str">
        <f ca="1">IFERROR(__xludf.DUMMYFUNCTION("""COMPUTED_VALUE"""),"")</f>
        <v/>
      </c>
      <c r="B722" s="6" t="str">
        <f ca="1">IFERROR(__xludf.DUMMYFUNCTION("""COMPUTED_VALUE"""),"")</f>
        <v/>
      </c>
      <c r="C722" s="6" t="str">
        <f ca="1">IFERROR(__xludf.DUMMYFUNCTION("""COMPUTED_VALUE"""),"")</f>
        <v/>
      </c>
      <c r="D722" s="6" t="str">
        <f ca="1">IFERROR(__xludf.DUMMYFUNCTION("""COMPUTED_VALUE"""),"")</f>
        <v/>
      </c>
      <c r="E722" s="6" t="str">
        <f ca="1">IFERROR(__xludf.DUMMYFUNCTION("""COMPUTED_VALUE"""),"")</f>
        <v/>
      </c>
      <c r="F722" s="6" t="str">
        <f ca="1">IFERROR(__xludf.DUMMYFUNCTION("""COMPUTED_VALUE"""),"")</f>
        <v/>
      </c>
      <c r="G722" s="6" t="str">
        <f ca="1">IFERROR(__xludf.DUMMYFUNCTION("""COMPUTED_VALUE"""),"")</f>
        <v/>
      </c>
      <c r="H722" s="6" t="str">
        <f ca="1">IFERROR(__xludf.DUMMYFUNCTION("""COMPUTED_VALUE"""),"")</f>
        <v/>
      </c>
      <c r="I722" s="6" t="str">
        <f ca="1">IFERROR(__xludf.DUMMYFUNCTION("""COMPUTED_VALUE"""),"")</f>
        <v/>
      </c>
      <c r="J722" s="6" t="str">
        <f ca="1">IFERROR(__xludf.DUMMYFUNCTION("""COMPUTED_VALUE"""),"")</f>
        <v/>
      </c>
    </row>
    <row r="723" spans="1:10" x14ac:dyDescent="0.2">
      <c r="A723" s="6" t="str">
        <f ca="1">IFERROR(__xludf.DUMMYFUNCTION("""COMPUTED_VALUE"""),"")</f>
        <v/>
      </c>
      <c r="B723" s="6" t="str">
        <f ca="1">IFERROR(__xludf.DUMMYFUNCTION("""COMPUTED_VALUE"""),"")</f>
        <v/>
      </c>
      <c r="C723" s="6" t="str">
        <f ca="1">IFERROR(__xludf.DUMMYFUNCTION("""COMPUTED_VALUE"""),"")</f>
        <v/>
      </c>
      <c r="D723" s="6" t="str">
        <f ca="1">IFERROR(__xludf.DUMMYFUNCTION("""COMPUTED_VALUE"""),"")</f>
        <v/>
      </c>
      <c r="E723" s="6" t="str">
        <f ca="1">IFERROR(__xludf.DUMMYFUNCTION("""COMPUTED_VALUE"""),"")</f>
        <v/>
      </c>
      <c r="F723" s="6" t="str">
        <f ca="1">IFERROR(__xludf.DUMMYFUNCTION("""COMPUTED_VALUE"""),"")</f>
        <v/>
      </c>
      <c r="G723" s="6" t="str">
        <f ca="1">IFERROR(__xludf.DUMMYFUNCTION("""COMPUTED_VALUE"""),"")</f>
        <v/>
      </c>
      <c r="H723" s="6" t="str">
        <f ca="1">IFERROR(__xludf.DUMMYFUNCTION("""COMPUTED_VALUE"""),"")</f>
        <v/>
      </c>
      <c r="I723" s="6" t="str">
        <f ca="1">IFERROR(__xludf.DUMMYFUNCTION("""COMPUTED_VALUE"""),"")</f>
        <v/>
      </c>
      <c r="J723" s="6" t="str">
        <f ca="1">IFERROR(__xludf.DUMMYFUNCTION("""COMPUTED_VALUE"""),"")</f>
        <v/>
      </c>
    </row>
    <row r="724" spans="1:10" x14ac:dyDescent="0.2">
      <c r="A724" s="6" t="str">
        <f ca="1">IFERROR(__xludf.DUMMYFUNCTION("""COMPUTED_VALUE"""),"")</f>
        <v/>
      </c>
      <c r="B724" s="6" t="str">
        <f ca="1">IFERROR(__xludf.DUMMYFUNCTION("""COMPUTED_VALUE"""),"")</f>
        <v/>
      </c>
      <c r="C724" s="6" t="str">
        <f ca="1">IFERROR(__xludf.DUMMYFUNCTION("""COMPUTED_VALUE"""),"")</f>
        <v/>
      </c>
      <c r="D724" s="6" t="str">
        <f ca="1">IFERROR(__xludf.DUMMYFUNCTION("""COMPUTED_VALUE"""),"")</f>
        <v/>
      </c>
      <c r="E724" s="6" t="str">
        <f ca="1">IFERROR(__xludf.DUMMYFUNCTION("""COMPUTED_VALUE"""),"")</f>
        <v/>
      </c>
      <c r="F724" s="6" t="str">
        <f ca="1">IFERROR(__xludf.DUMMYFUNCTION("""COMPUTED_VALUE"""),"")</f>
        <v/>
      </c>
      <c r="G724" s="6" t="str">
        <f ca="1">IFERROR(__xludf.DUMMYFUNCTION("""COMPUTED_VALUE"""),"")</f>
        <v/>
      </c>
      <c r="H724" s="6" t="str">
        <f ca="1">IFERROR(__xludf.DUMMYFUNCTION("""COMPUTED_VALUE"""),"")</f>
        <v/>
      </c>
      <c r="I724" s="6" t="str">
        <f ca="1">IFERROR(__xludf.DUMMYFUNCTION("""COMPUTED_VALUE"""),"")</f>
        <v/>
      </c>
      <c r="J724" s="6" t="str">
        <f ca="1">IFERROR(__xludf.DUMMYFUNCTION("""COMPUTED_VALUE"""),"")</f>
        <v/>
      </c>
    </row>
    <row r="725" spans="1:10" x14ac:dyDescent="0.2">
      <c r="A725" s="6" t="str">
        <f ca="1">IFERROR(__xludf.DUMMYFUNCTION("""COMPUTED_VALUE"""),"")</f>
        <v/>
      </c>
      <c r="B725" s="6" t="str">
        <f ca="1">IFERROR(__xludf.DUMMYFUNCTION("""COMPUTED_VALUE"""),"")</f>
        <v/>
      </c>
      <c r="C725" s="6" t="str">
        <f ca="1">IFERROR(__xludf.DUMMYFUNCTION("""COMPUTED_VALUE"""),"")</f>
        <v/>
      </c>
      <c r="D725" s="6" t="str">
        <f ca="1">IFERROR(__xludf.DUMMYFUNCTION("""COMPUTED_VALUE"""),"")</f>
        <v/>
      </c>
      <c r="E725" s="6" t="str">
        <f ca="1">IFERROR(__xludf.DUMMYFUNCTION("""COMPUTED_VALUE"""),"")</f>
        <v/>
      </c>
      <c r="F725" s="6" t="str">
        <f ca="1">IFERROR(__xludf.DUMMYFUNCTION("""COMPUTED_VALUE"""),"")</f>
        <v/>
      </c>
      <c r="G725" s="6" t="str">
        <f ca="1">IFERROR(__xludf.DUMMYFUNCTION("""COMPUTED_VALUE"""),"")</f>
        <v/>
      </c>
      <c r="H725" s="6" t="str">
        <f ca="1">IFERROR(__xludf.DUMMYFUNCTION("""COMPUTED_VALUE"""),"")</f>
        <v/>
      </c>
      <c r="I725" s="6" t="str">
        <f ca="1">IFERROR(__xludf.DUMMYFUNCTION("""COMPUTED_VALUE"""),"")</f>
        <v/>
      </c>
      <c r="J725" s="6" t="str">
        <f ca="1">IFERROR(__xludf.DUMMYFUNCTION("""COMPUTED_VALUE"""),"")</f>
        <v/>
      </c>
    </row>
    <row r="726" spans="1:10" x14ac:dyDescent="0.2">
      <c r="A726" s="6" t="str">
        <f ca="1">IFERROR(__xludf.DUMMYFUNCTION("""COMPUTED_VALUE"""),"")</f>
        <v/>
      </c>
      <c r="B726" s="6" t="str">
        <f ca="1">IFERROR(__xludf.DUMMYFUNCTION("""COMPUTED_VALUE"""),"")</f>
        <v/>
      </c>
      <c r="C726" s="6" t="str">
        <f ca="1">IFERROR(__xludf.DUMMYFUNCTION("""COMPUTED_VALUE"""),"")</f>
        <v/>
      </c>
      <c r="D726" s="6" t="str">
        <f ca="1">IFERROR(__xludf.DUMMYFUNCTION("""COMPUTED_VALUE"""),"")</f>
        <v/>
      </c>
      <c r="E726" s="6" t="str">
        <f ca="1">IFERROR(__xludf.DUMMYFUNCTION("""COMPUTED_VALUE"""),"")</f>
        <v/>
      </c>
      <c r="F726" s="6" t="str">
        <f ca="1">IFERROR(__xludf.DUMMYFUNCTION("""COMPUTED_VALUE"""),"")</f>
        <v/>
      </c>
      <c r="G726" s="6" t="str">
        <f ca="1">IFERROR(__xludf.DUMMYFUNCTION("""COMPUTED_VALUE"""),"")</f>
        <v/>
      </c>
      <c r="H726" s="6" t="str">
        <f ca="1">IFERROR(__xludf.DUMMYFUNCTION("""COMPUTED_VALUE"""),"")</f>
        <v/>
      </c>
      <c r="I726" s="6" t="str">
        <f ca="1">IFERROR(__xludf.DUMMYFUNCTION("""COMPUTED_VALUE"""),"")</f>
        <v/>
      </c>
      <c r="J726" s="6" t="str">
        <f ca="1">IFERROR(__xludf.DUMMYFUNCTION("""COMPUTED_VALUE"""),"")</f>
        <v/>
      </c>
    </row>
    <row r="727" spans="1:10" x14ac:dyDescent="0.2">
      <c r="A727" s="6" t="str">
        <f ca="1">IFERROR(__xludf.DUMMYFUNCTION("""COMPUTED_VALUE"""),"")</f>
        <v/>
      </c>
      <c r="B727" s="6" t="str">
        <f ca="1">IFERROR(__xludf.DUMMYFUNCTION("""COMPUTED_VALUE"""),"")</f>
        <v/>
      </c>
      <c r="C727" s="6" t="str">
        <f ca="1">IFERROR(__xludf.DUMMYFUNCTION("""COMPUTED_VALUE"""),"")</f>
        <v/>
      </c>
      <c r="D727" s="6" t="str">
        <f ca="1">IFERROR(__xludf.DUMMYFUNCTION("""COMPUTED_VALUE"""),"")</f>
        <v/>
      </c>
      <c r="E727" s="6" t="str">
        <f ca="1">IFERROR(__xludf.DUMMYFUNCTION("""COMPUTED_VALUE"""),"")</f>
        <v/>
      </c>
      <c r="F727" s="6" t="str">
        <f ca="1">IFERROR(__xludf.DUMMYFUNCTION("""COMPUTED_VALUE"""),"")</f>
        <v/>
      </c>
      <c r="G727" s="6" t="str">
        <f ca="1">IFERROR(__xludf.DUMMYFUNCTION("""COMPUTED_VALUE"""),"")</f>
        <v/>
      </c>
      <c r="H727" s="6" t="str">
        <f ca="1">IFERROR(__xludf.DUMMYFUNCTION("""COMPUTED_VALUE"""),"")</f>
        <v/>
      </c>
      <c r="I727" s="6" t="str">
        <f ca="1">IFERROR(__xludf.DUMMYFUNCTION("""COMPUTED_VALUE"""),"")</f>
        <v/>
      </c>
      <c r="J727" s="6" t="str">
        <f ca="1">IFERROR(__xludf.DUMMYFUNCTION("""COMPUTED_VALUE"""),"")</f>
        <v/>
      </c>
    </row>
    <row r="728" spans="1:10" x14ac:dyDescent="0.2">
      <c r="A728" s="6" t="str">
        <f ca="1">IFERROR(__xludf.DUMMYFUNCTION("""COMPUTED_VALUE"""),"")</f>
        <v/>
      </c>
      <c r="B728" s="6" t="str">
        <f ca="1">IFERROR(__xludf.DUMMYFUNCTION("""COMPUTED_VALUE"""),"")</f>
        <v/>
      </c>
      <c r="C728" s="6" t="str">
        <f ca="1">IFERROR(__xludf.DUMMYFUNCTION("""COMPUTED_VALUE"""),"")</f>
        <v/>
      </c>
      <c r="D728" s="6" t="str">
        <f ca="1">IFERROR(__xludf.DUMMYFUNCTION("""COMPUTED_VALUE"""),"")</f>
        <v/>
      </c>
      <c r="E728" s="6" t="str">
        <f ca="1">IFERROR(__xludf.DUMMYFUNCTION("""COMPUTED_VALUE"""),"")</f>
        <v/>
      </c>
      <c r="F728" s="6" t="str">
        <f ca="1">IFERROR(__xludf.DUMMYFUNCTION("""COMPUTED_VALUE"""),"")</f>
        <v/>
      </c>
      <c r="G728" s="6" t="str">
        <f ca="1">IFERROR(__xludf.DUMMYFUNCTION("""COMPUTED_VALUE"""),"")</f>
        <v/>
      </c>
      <c r="H728" s="6" t="str">
        <f ca="1">IFERROR(__xludf.DUMMYFUNCTION("""COMPUTED_VALUE"""),"")</f>
        <v/>
      </c>
      <c r="I728" s="6" t="str">
        <f ca="1">IFERROR(__xludf.DUMMYFUNCTION("""COMPUTED_VALUE"""),"")</f>
        <v/>
      </c>
      <c r="J728" s="6" t="str">
        <f ca="1">IFERROR(__xludf.DUMMYFUNCTION("""COMPUTED_VALUE"""),"")</f>
        <v/>
      </c>
    </row>
    <row r="729" spans="1:10" x14ac:dyDescent="0.2">
      <c r="A729" s="6" t="str">
        <f ca="1">IFERROR(__xludf.DUMMYFUNCTION("""COMPUTED_VALUE"""),"")</f>
        <v/>
      </c>
      <c r="B729" s="6" t="str">
        <f ca="1">IFERROR(__xludf.DUMMYFUNCTION("""COMPUTED_VALUE"""),"")</f>
        <v/>
      </c>
      <c r="C729" s="6" t="str">
        <f ca="1">IFERROR(__xludf.DUMMYFUNCTION("""COMPUTED_VALUE"""),"")</f>
        <v/>
      </c>
      <c r="D729" s="6" t="str">
        <f ca="1">IFERROR(__xludf.DUMMYFUNCTION("""COMPUTED_VALUE"""),"")</f>
        <v/>
      </c>
      <c r="E729" s="6" t="str">
        <f ca="1">IFERROR(__xludf.DUMMYFUNCTION("""COMPUTED_VALUE"""),"")</f>
        <v/>
      </c>
      <c r="F729" s="6" t="str">
        <f ca="1">IFERROR(__xludf.DUMMYFUNCTION("""COMPUTED_VALUE"""),"")</f>
        <v/>
      </c>
      <c r="G729" s="6" t="str">
        <f ca="1">IFERROR(__xludf.DUMMYFUNCTION("""COMPUTED_VALUE"""),"")</f>
        <v/>
      </c>
      <c r="H729" s="6" t="str">
        <f ca="1">IFERROR(__xludf.DUMMYFUNCTION("""COMPUTED_VALUE"""),"")</f>
        <v/>
      </c>
      <c r="I729" s="6" t="str">
        <f ca="1">IFERROR(__xludf.DUMMYFUNCTION("""COMPUTED_VALUE"""),"")</f>
        <v/>
      </c>
      <c r="J729" s="6" t="str">
        <f ca="1">IFERROR(__xludf.DUMMYFUNCTION("""COMPUTED_VALUE"""),"")</f>
        <v/>
      </c>
    </row>
    <row r="730" spans="1:10" x14ac:dyDescent="0.2">
      <c r="A730" s="6" t="str">
        <f ca="1">IFERROR(__xludf.DUMMYFUNCTION("""COMPUTED_VALUE"""),"")</f>
        <v/>
      </c>
      <c r="B730" s="6" t="str">
        <f ca="1">IFERROR(__xludf.DUMMYFUNCTION("""COMPUTED_VALUE"""),"")</f>
        <v/>
      </c>
      <c r="C730" s="6" t="str">
        <f ca="1">IFERROR(__xludf.DUMMYFUNCTION("""COMPUTED_VALUE"""),"")</f>
        <v/>
      </c>
      <c r="D730" s="6" t="str">
        <f ca="1">IFERROR(__xludf.DUMMYFUNCTION("""COMPUTED_VALUE"""),"")</f>
        <v/>
      </c>
      <c r="E730" s="6" t="str">
        <f ca="1">IFERROR(__xludf.DUMMYFUNCTION("""COMPUTED_VALUE"""),"")</f>
        <v/>
      </c>
      <c r="F730" s="6" t="str">
        <f ca="1">IFERROR(__xludf.DUMMYFUNCTION("""COMPUTED_VALUE"""),"")</f>
        <v/>
      </c>
      <c r="G730" s="6" t="str">
        <f ca="1">IFERROR(__xludf.DUMMYFUNCTION("""COMPUTED_VALUE"""),"")</f>
        <v/>
      </c>
      <c r="H730" s="6" t="str">
        <f ca="1">IFERROR(__xludf.DUMMYFUNCTION("""COMPUTED_VALUE"""),"")</f>
        <v/>
      </c>
      <c r="I730" s="6" t="str">
        <f ca="1">IFERROR(__xludf.DUMMYFUNCTION("""COMPUTED_VALUE"""),"")</f>
        <v/>
      </c>
      <c r="J730" s="6" t="str">
        <f ca="1">IFERROR(__xludf.DUMMYFUNCTION("""COMPUTED_VALUE"""),"")</f>
        <v/>
      </c>
    </row>
    <row r="731" spans="1:10" x14ac:dyDescent="0.2">
      <c r="A731" s="6" t="str">
        <f ca="1">IFERROR(__xludf.DUMMYFUNCTION("""COMPUTED_VALUE"""),"")</f>
        <v/>
      </c>
      <c r="B731" s="6" t="str">
        <f ca="1">IFERROR(__xludf.DUMMYFUNCTION("""COMPUTED_VALUE"""),"")</f>
        <v/>
      </c>
      <c r="C731" s="6" t="str">
        <f ca="1">IFERROR(__xludf.DUMMYFUNCTION("""COMPUTED_VALUE"""),"")</f>
        <v/>
      </c>
      <c r="D731" s="6" t="str">
        <f ca="1">IFERROR(__xludf.DUMMYFUNCTION("""COMPUTED_VALUE"""),"")</f>
        <v/>
      </c>
      <c r="E731" s="6" t="str">
        <f ca="1">IFERROR(__xludf.DUMMYFUNCTION("""COMPUTED_VALUE"""),"")</f>
        <v/>
      </c>
      <c r="F731" s="6" t="str">
        <f ca="1">IFERROR(__xludf.DUMMYFUNCTION("""COMPUTED_VALUE"""),"")</f>
        <v/>
      </c>
      <c r="G731" s="6" t="str">
        <f ca="1">IFERROR(__xludf.DUMMYFUNCTION("""COMPUTED_VALUE"""),"")</f>
        <v/>
      </c>
      <c r="H731" s="6" t="str">
        <f ca="1">IFERROR(__xludf.DUMMYFUNCTION("""COMPUTED_VALUE"""),"")</f>
        <v/>
      </c>
      <c r="I731" s="6" t="str">
        <f ca="1">IFERROR(__xludf.DUMMYFUNCTION("""COMPUTED_VALUE"""),"")</f>
        <v/>
      </c>
      <c r="J731" s="6" t="str">
        <f ca="1">IFERROR(__xludf.DUMMYFUNCTION("""COMPUTED_VALUE"""),"")</f>
        <v/>
      </c>
    </row>
    <row r="732" spans="1:10" x14ac:dyDescent="0.2">
      <c r="A732" s="6" t="str">
        <f ca="1">IFERROR(__xludf.DUMMYFUNCTION("""COMPUTED_VALUE"""),"")</f>
        <v/>
      </c>
      <c r="B732" s="6" t="str">
        <f ca="1">IFERROR(__xludf.DUMMYFUNCTION("""COMPUTED_VALUE"""),"")</f>
        <v/>
      </c>
      <c r="C732" s="6" t="str">
        <f ca="1">IFERROR(__xludf.DUMMYFUNCTION("""COMPUTED_VALUE"""),"")</f>
        <v/>
      </c>
      <c r="D732" s="6" t="str">
        <f ca="1">IFERROR(__xludf.DUMMYFUNCTION("""COMPUTED_VALUE"""),"")</f>
        <v/>
      </c>
      <c r="E732" s="6" t="str">
        <f ca="1">IFERROR(__xludf.DUMMYFUNCTION("""COMPUTED_VALUE"""),"")</f>
        <v/>
      </c>
      <c r="F732" s="6" t="str">
        <f ca="1">IFERROR(__xludf.DUMMYFUNCTION("""COMPUTED_VALUE"""),"")</f>
        <v/>
      </c>
      <c r="G732" s="6" t="str">
        <f ca="1">IFERROR(__xludf.DUMMYFUNCTION("""COMPUTED_VALUE"""),"")</f>
        <v/>
      </c>
      <c r="H732" s="6" t="str">
        <f ca="1">IFERROR(__xludf.DUMMYFUNCTION("""COMPUTED_VALUE"""),"")</f>
        <v/>
      </c>
      <c r="I732" s="6" t="str">
        <f ca="1">IFERROR(__xludf.DUMMYFUNCTION("""COMPUTED_VALUE"""),"")</f>
        <v/>
      </c>
      <c r="J732" s="6" t="str">
        <f ca="1">IFERROR(__xludf.DUMMYFUNCTION("""COMPUTED_VALUE"""),"")</f>
        <v/>
      </c>
    </row>
    <row r="733" spans="1:10" x14ac:dyDescent="0.2">
      <c r="A733" s="6" t="str">
        <f ca="1">IFERROR(__xludf.DUMMYFUNCTION("""COMPUTED_VALUE"""),"")</f>
        <v/>
      </c>
      <c r="B733" s="6" t="str">
        <f ca="1">IFERROR(__xludf.DUMMYFUNCTION("""COMPUTED_VALUE"""),"")</f>
        <v/>
      </c>
      <c r="C733" s="6" t="str">
        <f ca="1">IFERROR(__xludf.DUMMYFUNCTION("""COMPUTED_VALUE"""),"")</f>
        <v/>
      </c>
      <c r="D733" s="6" t="str">
        <f ca="1">IFERROR(__xludf.DUMMYFUNCTION("""COMPUTED_VALUE"""),"")</f>
        <v/>
      </c>
      <c r="E733" s="6" t="str">
        <f ca="1">IFERROR(__xludf.DUMMYFUNCTION("""COMPUTED_VALUE"""),"")</f>
        <v/>
      </c>
      <c r="F733" s="6" t="str">
        <f ca="1">IFERROR(__xludf.DUMMYFUNCTION("""COMPUTED_VALUE"""),"")</f>
        <v/>
      </c>
      <c r="G733" s="6" t="str">
        <f ca="1">IFERROR(__xludf.DUMMYFUNCTION("""COMPUTED_VALUE"""),"")</f>
        <v/>
      </c>
      <c r="H733" s="6" t="str">
        <f ca="1">IFERROR(__xludf.DUMMYFUNCTION("""COMPUTED_VALUE"""),"")</f>
        <v/>
      </c>
      <c r="I733" s="6" t="str">
        <f ca="1">IFERROR(__xludf.DUMMYFUNCTION("""COMPUTED_VALUE"""),"")</f>
        <v/>
      </c>
      <c r="J733" s="6" t="str">
        <f ca="1">IFERROR(__xludf.DUMMYFUNCTION("""COMPUTED_VALUE"""),"")</f>
        <v/>
      </c>
    </row>
    <row r="734" spans="1:10" x14ac:dyDescent="0.2">
      <c r="A734" s="6" t="str">
        <f ca="1">IFERROR(__xludf.DUMMYFUNCTION("""COMPUTED_VALUE"""),"")</f>
        <v/>
      </c>
      <c r="B734" s="6" t="str">
        <f ca="1">IFERROR(__xludf.DUMMYFUNCTION("""COMPUTED_VALUE"""),"")</f>
        <v/>
      </c>
      <c r="C734" s="6" t="str">
        <f ca="1">IFERROR(__xludf.DUMMYFUNCTION("""COMPUTED_VALUE"""),"")</f>
        <v/>
      </c>
      <c r="D734" s="6" t="str">
        <f ca="1">IFERROR(__xludf.DUMMYFUNCTION("""COMPUTED_VALUE"""),"")</f>
        <v/>
      </c>
      <c r="E734" s="6" t="str">
        <f ca="1">IFERROR(__xludf.DUMMYFUNCTION("""COMPUTED_VALUE"""),"")</f>
        <v/>
      </c>
      <c r="F734" s="6" t="str">
        <f ca="1">IFERROR(__xludf.DUMMYFUNCTION("""COMPUTED_VALUE"""),"")</f>
        <v/>
      </c>
      <c r="G734" s="6" t="str">
        <f ca="1">IFERROR(__xludf.DUMMYFUNCTION("""COMPUTED_VALUE"""),"")</f>
        <v/>
      </c>
      <c r="H734" s="6" t="str">
        <f ca="1">IFERROR(__xludf.DUMMYFUNCTION("""COMPUTED_VALUE"""),"")</f>
        <v/>
      </c>
      <c r="I734" s="6" t="str">
        <f ca="1">IFERROR(__xludf.DUMMYFUNCTION("""COMPUTED_VALUE"""),"")</f>
        <v/>
      </c>
      <c r="J734" s="6" t="str">
        <f ca="1">IFERROR(__xludf.DUMMYFUNCTION("""COMPUTED_VALUE"""),"")</f>
        <v/>
      </c>
    </row>
    <row r="735" spans="1:10" x14ac:dyDescent="0.2">
      <c r="A735" s="6" t="str">
        <f ca="1">IFERROR(__xludf.DUMMYFUNCTION("""COMPUTED_VALUE"""),"")</f>
        <v/>
      </c>
      <c r="B735" s="6" t="str">
        <f ca="1">IFERROR(__xludf.DUMMYFUNCTION("""COMPUTED_VALUE"""),"")</f>
        <v/>
      </c>
      <c r="C735" s="6" t="str">
        <f ca="1">IFERROR(__xludf.DUMMYFUNCTION("""COMPUTED_VALUE"""),"")</f>
        <v/>
      </c>
      <c r="D735" s="6" t="str">
        <f ca="1">IFERROR(__xludf.DUMMYFUNCTION("""COMPUTED_VALUE"""),"")</f>
        <v/>
      </c>
      <c r="E735" s="6" t="str">
        <f ca="1">IFERROR(__xludf.DUMMYFUNCTION("""COMPUTED_VALUE"""),"")</f>
        <v/>
      </c>
      <c r="F735" s="6" t="str">
        <f ca="1">IFERROR(__xludf.DUMMYFUNCTION("""COMPUTED_VALUE"""),"")</f>
        <v/>
      </c>
      <c r="G735" s="6" t="str">
        <f ca="1">IFERROR(__xludf.DUMMYFUNCTION("""COMPUTED_VALUE"""),"")</f>
        <v/>
      </c>
      <c r="H735" s="6" t="str">
        <f ca="1">IFERROR(__xludf.DUMMYFUNCTION("""COMPUTED_VALUE"""),"")</f>
        <v/>
      </c>
      <c r="I735" s="6" t="str">
        <f ca="1">IFERROR(__xludf.DUMMYFUNCTION("""COMPUTED_VALUE"""),"")</f>
        <v/>
      </c>
      <c r="J735" s="6" t="str">
        <f ca="1">IFERROR(__xludf.DUMMYFUNCTION("""COMPUTED_VALUE"""),"")</f>
        <v/>
      </c>
    </row>
    <row r="736" spans="1:10" x14ac:dyDescent="0.2">
      <c r="A736" s="6" t="str">
        <f ca="1">IFERROR(__xludf.DUMMYFUNCTION("""COMPUTED_VALUE"""),"")</f>
        <v/>
      </c>
      <c r="B736" s="6" t="str">
        <f ca="1">IFERROR(__xludf.DUMMYFUNCTION("""COMPUTED_VALUE"""),"")</f>
        <v/>
      </c>
      <c r="C736" s="6" t="str">
        <f ca="1">IFERROR(__xludf.DUMMYFUNCTION("""COMPUTED_VALUE"""),"")</f>
        <v/>
      </c>
      <c r="D736" s="6" t="str">
        <f ca="1">IFERROR(__xludf.DUMMYFUNCTION("""COMPUTED_VALUE"""),"")</f>
        <v/>
      </c>
      <c r="E736" s="6" t="str">
        <f ca="1">IFERROR(__xludf.DUMMYFUNCTION("""COMPUTED_VALUE"""),"")</f>
        <v/>
      </c>
      <c r="F736" s="6" t="str">
        <f ca="1">IFERROR(__xludf.DUMMYFUNCTION("""COMPUTED_VALUE"""),"")</f>
        <v/>
      </c>
      <c r="G736" s="6" t="str">
        <f ca="1">IFERROR(__xludf.DUMMYFUNCTION("""COMPUTED_VALUE"""),"")</f>
        <v/>
      </c>
      <c r="H736" s="6" t="str">
        <f ca="1">IFERROR(__xludf.DUMMYFUNCTION("""COMPUTED_VALUE"""),"")</f>
        <v/>
      </c>
      <c r="I736" s="6" t="str">
        <f ca="1">IFERROR(__xludf.DUMMYFUNCTION("""COMPUTED_VALUE"""),"")</f>
        <v/>
      </c>
      <c r="J736" s="6" t="str">
        <f ca="1">IFERROR(__xludf.DUMMYFUNCTION("""COMPUTED_VALUE"""),"")</f>
        <v/>
      </c>
    </row>
    <row r="737" spans="1:10" x14ac:dyDescent="0.2">
      <c r="A737" s="6" t="str">
        <f ca="1">IFERROR(__xludf.DUMMYFUNCTION("""COMPUTED_VALUE"""),"")</f>
        <v/>
      </c>
      <c r="B737" s="6" t="str">
        <f ca="1">IFERROR(__xludf.DUMMYFUNCTION("""COMPUTED_VALUE"""),"")</f>
        <v/>
      </c>
      <c r="C737" s="6" t="str">
        <f ca="1">IFERROR(__xludf.DUMMYFUNCTION("""COMPUTED_VALUE"""),"")</f>
        <v/>
      </c>
      <c r="D737" s="6" t="str">
        <f ca="1">IFERROR(__xludf.DUMMYFUNCTION("""COMPUTED_VALUE"""),"")</f>
        <v/>
      </c>
      <c r="E737" s="6" t="str">
        <f ca="1">IFERROR(__xludf.DUMMYFUNCTION("""COMPUTED_VALUE"""),"")</f>
        <v/>
      </c>
      <c r="F737" s="6" t="str">
        <f ca="1">IFERROR(__xludf.DUMMYFUNCTION("""COMPUTED_VALUE"""),"")</f>
        <v/>
      </c>
      <c r="G737" s="6" t="str">
        <f ca="1">IFERROR(__xludf.DUMMYFUNCTION("""COMPUTED_VALUE"""),"")</f>
        <v/>
      </c>
      <c r="H737" s="6" t="str">
        <f ca="1">IFERROR(__xludf.DUMMYFUNCTION("""COMPUTED_VALUE"""),"")</f>
        <v/>
      </c>
      <c r="I737" s="6" t="str">
        <f ca="1">IFERROR(__xludf.DUMMYFUNCTION("""COMPUTED_VALUE"""),"")</f>
        <v/>
      </c>
      <c r="J737" s="6" t="str">
        <f ca="1">IFERROR(__xludf.DUMMYFUNCTION("""COMPUTED_VALUE"""),"")</f>
        <v/>
      </c>
    </row>
    <row r="738" spans="1:10" x14ac:dyDescent="0.2">
      <c r="A738" s="6" t="str">
        <f ca="1">IFERROR(__xludf.DUMMYFUNCTION("""COMPUTED_VALUE"""),"")</f>
        <v/>
      </c>
      <c r="B738" s="6" t="str">
        <f ca="1">IFERROR(__xludf.DUMMYFUNCTION("""COMPUTED_VALUE"""),"")</f>
        <v/>
      </c>
      <c r="C738" s="6" t="str">
        <f ca="1">IFERROR(__xludf.DUMMYFUNCTION("""COMPUTED_VALUE"""),"")</f>
        <v/>
      </c>
      <c r="D738" s="6" t="str">
        <f ca="1">IFERROR(__xludf.DUMMYFUNCTION("""COMPUTED_VALUE"""),"")</f>
        <v/>
      </c>
      <c r="E738" s="6" t="str">
        <f ca="1">IFERROR(__xludf.DUMMYFUNCTION("""COMPUTED_VALUE"""),"")</f>
        <v/>
      </c>
      <c r="F738" s="6" t="str">
        <f ca="1">IFERROR(__xludf.DUMMYFUNCTION("""COMPUTED_VALUE"""),"")</f>
        <v/>
      </c>
      <c r="G738" s="6" t="str">
        <f ca="1">IFERROR(__xludf.DUMMYFUNCTION("""COMPUTED_VALUE"""),"")</f>
        <v/>
      </c>
      <c r="H738" s="6" t="str">
        <f ca="1">IFERROR(__xludf.DUMMYFUNCTION("""COMPUTED_VALUE"""),"")</f>
        <v/>
      </c>
      <c r="I738" s="6" t="str">
        <f ca="1">IFERROR(__xludf.DUMMYFUNCTION("""COMPUTED_VALUE"""),"")</f>
        <v/>
      </c>
      <c r="J738" s="6" t="str">
        <f ca="1">IFERROR(__xludf.DUMMYFUNCTION("""COMPUTED_VALUE"""),"")</f>
        <v/>
      </c>
    </row>
    <row r="739" spans="1:10" x14ac:dyDescent="0.2">
      <c r="A739" s="6" t="str">
        <f ca="1">IFERROR(__xludf.DUMMYFUNCTION("""COMPUTED_VALUE"""),"")</f>
        <v/>
      </c>
      <c r="B739" s="6" t="str">
        <f ca="1">IFERROR(__xludf.DUMMYFUNCTION("""COMPUTED_VALUE"""),"")</f>
        <v/>
      </c>
      <c r="C739" s="6" t="str">
        <f ca="1">IFERROR(__xludf.DUMMYFUNCTION("""COMPUTED_VALUE"""),"")</f>
        <v/>
      </c>
      <c r="D739" s="6" t="str">
        <f ca="1">IFERROR(__xludf.DUMMYFUNCTION("""COMPUTED_VALUE"""),"")</f>
        <v/>
      </c>
      <c r="E739" s="6" t="str">
        <f ca="1">IFERROR(__xludf.DUMMYFUNCTION("""COMPUTED_VALUE"""),"")</f>
        <v/>
      </c>
      <c r="F739" s="6" t="str">
        <f ca="1">IFERROR(__xludf.DUMMYFUNCTION("""COMPUTED_VALUE"""),"")</f>
        <v/>
      </c>
      <c r="G739" s="6" t="str">
        <f ca="1">IFERROR(__xludf.DUMMYFUNCTION("""COMPUTED_VALUE"""),"")</f>
        <v/>
      </c>
      <c r="H739" s="6" t="str">
        <f ca="1">IFERROR(__xludf.DUMMYFUNCTION("""COMPUTED_VALUE"""),"")</f>
        <v/>
      </c>
      <c r="I739" s="6" t="str">
        <f ca="1">IFERROR(__xludf.DUMMYFUNCTION("""COMPUTED_VALUE"""),"")</f>
        <v/>
      </c>
      <c r="J739" s="6" t="str">
        <f ca="1">IFERROR(__xludf.DUMMYFUNCTION("""COMPUTED_VALUE"""),"")</f>
        <v/>
      </c>
    </row>
    <row r="740" spans="1:10" x14ac:dyDescent="0.2">
      <c r="A740" s="6" t="str">
        <f ca="1">IFERROR(__xludf.DUMMYFUNCTION("""COMPUTED_VALUE"""),"")</f>
        <v/>
      </c>
      <c r="B740" s="6" t="str">
        <f ca="1">IFERROR(__xludf.DUMMYFUNCTION("""COMPUTED_VALUE"""),"")</f>
        <v/>
      </c>
      <c r="C740" s="6" t="str">
        <f ca="1">IFERROR(__xludf.DUMMYFUNCTION("""COMPUTED_VALUE"""),"")</f>
        <v/>
      </c>
      <c r="D740" s="6" t="str">
        <f ca="1">IFERROR(__xludf.DUMMYFUNCTION("""COMPUTED_VALUE"""),"")</f>
        <v/>
      </c>
      <c r="E740" s="6" t="str">
        <f ca="1">IFERROR(__xludf.DUMMYFUNCTION("""COMPUTED_VALUE"""),"")</f>
        <v/>
      </c>
      <c r="F740" s="6" t="str">
        <f ca="1">IFERROR(__xludf.DUMMYFUNCTION("""COMPUTED_VALUE"""),"")</f>
        <v/>
      </c>
      <c r="G740" s="6" t="str">
        <f ca="1">IFERROR(__xludf.DUMMYFUNCTION("""COMPUTED_VALUE"""),"")</f>
        <v/>
      </c>
      <c r="H740" s="6" t="str">
        <f ca="1">IFERROR(__xludf.DUMMYFUNCTION("""COMPUTED_VALUE"""),"")</f>
        <v/>
      </c>
      <c r="I740" s="6" t="str">
        <f ca="1">IFERROR(__xludf.DUMMYFUNCTION("""COMPUTED_VALUE"""),"")</f>
        <v/>
      </c>
      <c r="J740" s="6" t="str">
        <f ca="1">IFERROR(__xludf.DUMMYFUNCTION("""COMPUTED_VALUE"""),"")</f>
        <v/>
      </c>
    </row>
    <row r="741" spans="1:10" x14ac:dyDescent="0.2">
      <c r="A741" s="6" t="str">
        <f ca="1">IFERROR(__xludf.DUMMYFUNCTION("""COMPUTED_VALUE"""),"")</f>
        <v/>
      </c>
      <c r="B741" s="6" t="str">
        <f ca="1">IFERROR(__xludf.DUMMYFUNCTION("""COMPUTED_VALUE"""),"")</f>
        <v/>
      </c>
      <c r="C741" s="6" t="str">
        <f ca="1">IFERROR(__xludf.DUMMYFUNCTION("""COMPUTED_VALUE"""),"")</f>
        <v/>
      </c>
      <c r="D741" s="6" t="str">
        <f ca="1">IFERROR(__xludf.DUMMYFUNCTION("""COMPUTED_VALUE"""),"")</f>
        <v/>
      </c>
      <c r="E741" s="6" t="str">
        <f ca="1">IFERROR(__xludf.DUMMYFUNCTION("""COMPUTED_VALUE"""),"")</f>
        <v/>
      </c>
      <c r="F741" s="6" t="str">
        <f ca="1">IFERROR(__xludf.DUMMYFUNCTION("""COMPUTED_VALUE"""),"")</f>
        <v/>
      </c>
      <c r="G741" s="6" t="str">
        <f ca="1">IFERROR(__xludf.DUMMYFUNCTION("""COMPUTED_VALUE"""),"")</f>
        <v/>
      </c>
      <c r="H741" s="6" t="str">
        <f ca="1">IFERROR(__xludf.DUMMYFUNCTION("""COMPUTED_VALUE"""),"")</f>
        <v/>
      </c>
      <c r="I741" s="6" t="str">
        <f ca="1">IFERROR(__xludf.DUMMYFUNCTION("""COMPUTED_VALUE"""),"")</f>
        <v/>
      </c>
      <c r="J741" s="6" t="str">
        <f ca="1">IFERROR(__xludf.DUMMYFUNCTION("""COMPUTED_VALUE"""),"")</f>
        <v/>
      </c>
    </row>
    <row r="742" spans="1:10" x14ac:dyDescent="0.2">
      <c r="A742" s="6" t="str">
        <f ca="1">IFERROR(__xludf.DUMMYFUNCTION("""COMPUTED_VALUE"""),"")</f>
        <v/>
      </c>
      <c r="B742" s="6" t="str">
        <f ca="1">IFERROR(__xludf.DUMMYFUNCTION("""COMPUTED_VALUE"""),"")</f>
        <v/>
      </c>
      <c r="C742" s="6" t="str">
        <f ca="1">IFERROR(__xludf.DUMMYFUNCTION("""COMPUTED_VALUE"""),"")</f>
        <v/>
      </c>
      <c r="D742" s="6" t="str">
        <f ca="1">IFERROR(__xludf.DUMMYFUNCTION("""COMPUTED_VALUE"""),"")</f>
        <v/>
      </c>
      <c r="E742" s="6" t="str">
        <f ca="1">IFERROR(__xludf.DUMMYFUNCTION("""COMPUTED_VALUE"""),"")</f>
        <v/>
      </c>
      <c r="F742" s="6" t="str">
        <f ca="1">IFERROR(__xludf.DUMMYFUNCTION("""COMPUTED_VALUE"""),"")</f>
        <v/>
      </c>
      <c r="G742" s="6" t="str">
        <f ca="1">IFERROR(__xludf.DUMMYFUNCTION("""COMPUTED_VALUE"""),"")</f>
        <v/>
      </c>
      <c r="H742" s="6" t="str">
        <f ca="1">IFERROR(__xludf.DUMMYFUNCTION("""COMPUTED_VALUE"""),"")</f>
        <v/>
      </c>
      <c r="I742" s="6" t="str">
        <f ca="1">IFERROR(__xludf.DUMMYFUNCTION("""COMPUTED_VALUE"""),"")</f>
        <v/>
      </c>
      <c r="J742" s="6" t="str">
        <f ca="1">IFERROR(__xludf.DUMMYFUNCTION("""COMPUTED_VALUE"""),"")</f>
        <v/>
      </c>
    </row>
    <row r="743" spans="1:10" x14ac:dyDescent="0.2">
      <c r="A743" s="6" t="str">
        <f ca="1">IFERROR(__xludf.DUMMYFUNCTION("""COMPUTED_VALUE"""),"")</f>
        <v/>
      </c>
      <c r="B743" s="6" t="str">
        <f ca="1">IFERROR(__xludf.DUMMYFUNCTION("""COMPUTED_VALUE"""),"")</f>
        <v/>
      </c>
      <c r="C743" s="6" t="str">
        <f ca="1">IFERROR(__xludf.DUMMYFUNCTION("""COMPUTED_VALUE"""),"")</f>
        <v/>
      </c>
      <c r="D743" s="6" t="str">
        <f ca="1">IFERROR(__xludf.DUMMYFUNCTION("""COMPUTED_VALUE"""),"")</f>
        <v/>
      </c>
      <c r="E743" s="6" t="str">
        <f ca="1">IFERROR(__xludf.DUMMYFUNCTION("""COMPUTED_VALUE"""),"")</f>
        <v/>
      </c>
      <c r="F743" s="6" t="str">
        <f ca="1">IFERROR(__xludf.DUMMYFUNCTION("""COMPUTED_VALUE"""),"")</f>
        <v/>
      </c>
      <c r="G743" s="6" t="str">
        <f ca="1">IFERROR(__xludf.DUMMYFUNCTION("""COMPUTED_VALUE"""),"")</f>
        <v/>
      </c>
      <c r="H743" s="6" t="str">
        <f ca="1">IFERROR(__xludf.DUMMYFUNCTION("""COMPUTED_VALUE"""),"")</f>
        <v/>
      </c>
      <c r="I743" s="6" t="str">
        <f ca="1">IFERROR(__xludf.DUMMYFUNCTION("""COMPUTED_VALUE"""),"")</f>
        <v/>
      </c>
      <c r="J743" s="6" t="str">
        <f ca="1">IFERROR(__xludf.DUMMYFUNCTION("""COMPUTED_VALUE"""),"")</f>
        <v/>
      </c>
    </row>
    <row r="744" spans="1:10" x14ac:dyDescent="0.2">
      <c r="A744" s="6" t="str">
        <f ca="1">IFERROR(__xludf.DUMMYFUNCTION("""COMPUTED_VALUE"""),"")</f>
        <v/>
      </c>
      <c r="B744" s="6" t="str">
        <f ca="1">IFERROR(__xludf.DUMMYFUNCTION("""COMPUTED_VALUE"""),"")</f>
        <v/>
      </c>
      <c r="C744" s="6" t="str">
        <f ca="1">IFERROR(__xludf.DUMMYFUNCTION("""COMPUTED_VALUE"""),"")</f>
        <v/>
      </c>
      <c r="D744" s="6" t="str">
        <f ca="1">IFERROR(__xludf.DUMMYFUNCTION("""COMPUTED_VALUE"""),"")</f>
        <v/>
      </c>
      <c r="E744" s="6" t="str">
        <f ca="1">IFERROR(__xludf.DUMMYFUNCTION("""COMPUTED_VALUE"""),"")</f>
        <v/>
      </c>
      <c r="F744" s="6" t="str">
        <f ca="1">IFERROR(__xludf.DUMMYFUNCTION("""COMPUTED_VALUE"""),"")</f>
        <v/>
      </c>
      <c r="G744" s="6" t="str">
        <f ca="1">IFERROR(__xludf.DUMMYFUNCTION("""COMPUTED_VALUE"""),"")</f>
        <v/>
      </c>
      <c r="H744" s="6" t="str">
        <f ca="1">IFERROR(__xludf.DUMMYFUNCTION("""COMPUTED_VALUE"""),"")</f>
        <v/>
      </c>
      <c r="I744" s="6" t="str">
        <f ca="1">IFERROR(__xludf.DUMMYFUNCTION("""COMPUTED_VALUE"""),"")</f>
        <v/>
      </c>
      <c r="J744" s="6" t="str">
        <f ca="1">IFERROR(__xludf.DUMMYFUNCTION("""COMPUTED_VALUE"""),"")</f>
        <v/>
      </c>
    </row>
    <row r="745" spans="1:10" x14ac:dyDescent="0.2">
      <c r="A745" s="6" t="str">
        <f ca="1">IFERROR(__xludf.DUMMYFUNCTION("""COMPUTED_VALUE"""),"")</f>
        <v/>
      </c>
      <c r="B745" s="6" t="str">
        <f ca="1">IFERROR(__xludf.DUMMYFUNCTION("""COMPUTED_VALUE"""),"")</f>
        <v/>
      </c>
      <c r="C745" s="6" t="str">
        <f ca="1">IFERROR(__xludf.DUMMYFUNCTION("""COMPUTED_VALUE"""),"")</f>
        <v/>
      </c>
      <c r="D745" s="6" t="str">
        <f ca="1">IFERROR(__xludf.DUMMYFUNCTION("""COMPUTED_VALUE"""),"")</f>
        <v/>
      </c>
      <c r="E745" s="6" t="str">
        <f ca="1">IFERROR(__xludf.DUMMYFUNCTION("""COMPUTED_VALUE"""),"")</f>
        <v/>
      </c>
      <c r="F745" s="6" t="str">
        <f ca="1">IFERROR(__xludf.DUMMYFUNCTION("""COMPUTED_VALUE"""),"")</f>
        <v/>
      </c>
      <c r="G745" s="6" t="str">
        <f ca="1">IFERROR(__xludf.DUMMYFUNCTION("""COMPUTED_VALUE"""),"")</f>
        <v/>
      </c>
      <c r="H745" s="6" t="str">
        <f ca="1">IFERROR(__xludf.DUMMYFUNCTION("""COMPUTED_VALUE"""),"")</f>
        <v/>
      </c>
      <c r="I745" s="6" t="str">
        <f ca="1">IFERROR(__xludf.DUMMYFUNCTION("""COMPUTED_VALUE"""),"")</f>
        <v/>
      </c>
      <c r="J745" s="6" t="str">
        <f ca="1">IFERROR(__xludf.DUMMYFUNCTION("""COMPUTED_VALUE"""),"")</f>
        <v/>
      </c>
    </row>
    <row r="746" spans="1:10" x14ac:dyDescent="0.2">
      <c r="A746" s="6" t="str">
        <f ca="1">IFERROR(__xludf.DUMMYFUNCTION("""COMPUTED_VALUE"""),"")</f>
        <v/>
      </c>
      <c r="B746" s="6" t="str">
        <f ca="1">IFERROR(__xludf.DUMMYFUNCTION("""COMPUTED_VALUE"""),"")</f>
        <v/>
      </c>
      <c r="C746" s="6" t="str">
        <f ca="1">IFERROR(__xludf.DUMMYFUNCTION("""COMPUTED_VALUE"""),"")</f>
        <v/>
      </c>
      <c r="D746" s="6" t="str">
        <f ca="1">IFERROR(__xludf.DUMMYFUNCTION("""COMPUTED_VALUE"""),"")</f>
        <v/>
      </c>
      <c r="E746" s="6" t="str">
        <f ca="1">IFERROR(__xludf.DUMMYFUNCTION("""COMPUTED_VALUE"""),"")</f>
        <v/>
      </c>
      <c r="F746" s="6" t="str">
        <f ca="1">IFERROR(__xludf.DUMMYFUNCTION("""COMPUTED_VALUE"""),"")</f>
        <v/>
      </c>
      <c r="G746" s="6" t="str">
        <f ca="1">IFERROR(__xludf.DUMMYFUNCTION("""COMPUTED_VALUE"""),"")</f>
        <v/>
      </c>
      <c r="H746" s="6" t="str">
        <f ca="1">IFERROR(__xludf.DUMMYFUNCTION("""COMPUTED_VALUE"""),"")</f>
        <v/>
      </c>
      <c r="I746" s="6" t="str">
        <f ca="1">IFERROR(__xludf.DUMMYFUNCTION("""COMPUTED_VALUE"""),"")</f>
        <v/>
      </c>
      <c r="J746" s="6" t="str">
        <f ca="1">IFERROR(__xludf.DUMMYFUNCTION("""COMPUTED_VALUE"""),"")</f>
        <v/>
      </c>
    </row>
    <row r="747" spans="1:10" x14ac:dyDescent="0.2">
      <c r="A747" s="6" t="str">
        <f ca="1">IFERROR(__xludf.DUMMYFUNCTION("""COMPUTED_VALUE"""),"")</f>
        <v/>
      </c>
      <c r="B747" s="6" t="str">
        <f ca="1">IFERROR(__xludf.DUMMYFUNCTION("""COMPUTED_VALUE"""),"")</f>
        <v/>
      </c>
      <c r="C747" s="6" t="str">
        <f ca="1">IFERROR(__xludf.DUMMYFUNCTION("""COMPUTED_VALUE"""),"")</f>
        <v/>
      </c>
      <c r="D747" s="6" t="str">
        <f ca="1">IFERROR(__xludf.DUMMYFUNCTION("""COMPUTED_VALUE"""),"")</f>
        <v/>
      </c>
      <c r="E747" s="6" t="str">
        <f ca="1">IFERROR(__xludf.DUMMYFUNCTION("""COMPUTED_VALUE"""),"")</f>
        <v/>
      </c>
      <c r="F747" s="6" t="str">
        <f ca="1">IFERROR(__xludf.DUMMYFUNCTION("""COMPUTED_VALUE"""),"")</f>
        <v/>
      </c>
      <c r="G747" s="6" t="str">
        <f ca="1">IFERROR(__xludf.DUMMYFUNCTION("""COMPUTED_VALUE"""),"")</f>
        <v/>
      </c>
      <c r="H747" s="6" t="str">
        <f ca="1">IFERROR(__xludf.DUMMYFUNCTION("""COMPUTED_VALUE"""),"")</f>
        <v/>
      </c>
      <c r="I747" s="6" t="str">
        <f ca="1">IFERROR(__xludf.DUMMYFUNCTION("""COMPUTED_VALUE"""),"")</f>
        <v/>
      </c>
      <c r="J747" s="6" t="str">
        <f ca="1">IFERROR(__xludf.DUMMYFUNCTION("""COMPUTED_VALUE"""),"")</f>
        <v/>
      </c>
    </row>
    <row r="748" spans="1:10" x14ac:dyDescent="0.2">
      <c r="A748" s="6" t="str">
        <f ca="1">IFERROR(__xludf.DUMMYFUNCTION("""COMPUTED_VALUE"""),"")</f>
        <v/>
      </c>
      <c r="B748" s="6" t="str">
        <f ca="1">IFERROR(__xludf.DUMMYFUNCTION("""COMPUTED_VALUE"""),"")</f>
        <v/>
      </c>
      <c r="C748" s="6" t="str">
        <f ca="1">IFERROR(__xludf.DUMMYFUNCTION("""COMPUTED_VALUE"""),"")</f>
        <v/>
      </c>
      <c r="D748" s="6" t="str">
        <f ca="1">IFERROR(__xludf.DUMMYFUNCTION("""COMPUTED_VALUE"""),"")</f>
        <v/>
      </c>
      <c r="E748" s="6" t="str">
        <f ca="1">IFERROR(__xludf.DUMMYFUNCTION("""COMPUTED_VALUE"""),"")</f>
        <v/>
      </c>
      <c r="F748" s="6" t="str">
        <f ca="1">IFERROR(__xludf.DUMMYFUNCTION("""COMPUTED_VALUE"""),"")</f>
        <v/>
      </c>
      <c r="G748" s="6" t="str">
        <f ca="1">IFERROR(__xludf.DUMMYFUNCTION("""COMPUTED_VALUE"""),"")</f>
        <v/>
      </c>
      <c r="H748" s="6" t="str">
        <f ca="1">IFERROR(__xludf.DUMMYFUNCTION("""COMPUTED_VALUE"""),"")</f>
        <v/>
      </c>
      <c r="I748" s="6" t="str">
        <f ca="1">IFERROR(__xludf.DUMMYFUNCTION("""COMPUTED_VALUE"""),"")</f>
        <v/>
      </c>
      <c r="J748" s="6" t="str">
        <f ca="1">IFERROR(__xludf.DUMMYFUNCTION("""COMPUTED_VALUE"""),"")</f>
        <v/>
      </c>
    </row>
    <row r="749" spans="1:10" x14ac:dyDescent="0.2">
      <c r="A749" s="6" t="str">
        <f ca="1">IFERROR(__xludf.DUMMYFUNCTION("""COMPUTED_VALUE"""),"")</f>
        <v/>
      </c>
      <c r="B749" s="6" t="str">
        <f ca="1">IFERROR(__xludf.DUMMYFUNCTION("""COMPUTED_VALUE"""),"")</f>
        <v/>
      </c>
      <c r="C749" s="6" t="str">
        <f ca="1">IFERROR(__xludf.DUMMYFUNCTION("""COMPUTED_VALUE"""),"")</f>
        <v/>
      </c>
      <c r="D749" s="6" t="str">
        <f ca="1">IFERROR(__xludf.DUMMYFUNCTION("""COMPUTED_VALUE"""),"")</f>
        <v/>
      </c>
      <c r="E749" s="6" t="str">
        <f ca="1">IFERROR(__xludf.DUMMYFUNCTION("""COMPUTED_VALUE"""),"")</f>
        <v/>
      </c>
      <c r="F749" s="6" t="str">
        <f ca="1">IFERROR(__xludf.DUMMYFUNCTION("""COMPUTED_VALUE"""),"")</f>
        <v/>
      </c>
      <c r="G749" s="6" t="str">
        <f ca="1">IFERROR(__xludf.DUMMYFUNCTION("""COMPUTED_VALUE"""),"")</f>
        <v/>
      </c>
      <c r="H749" s="6" t="str">
        <f ca="1">IFERROR(__xludf.DUMMYFUNCTION("""COMPUTED_VALUE"""),"")</f>
        <v/>
      </c>
      <c r="I749" s="6" t="str">
        <f ca="1">IFERROR(__xludf.DUMMYFUNCTION("""COMPUTED_VALUE"""),"")</f>
        <v/>
      </c>
      <c r="J749" s="6" t="str">
        <f ca="1">IFERROR(__xludf.DUMMYFUNCTION("""COMPUTED_VALUE"""),"")</f>
        <v/>
      </c>
    </row>
    <row r="750" spans="1:10" x14ac:dyDescent="0.2">
      <c r="A750" s="6" t="str">
        <f ca="1">IFERROR(__xludf.DUMMYFUNCTION("""COMPUTED_VALUE"""),"")</f>
        <v/>
      </c>
      <c r="B750" s="6" t="str">
        <f ca="1">IFERROR(__xludf.DUMMYFUNCTION("""COMPUTED_VALUE"""),"")</f>
        <v/>
      </c>
      <c r="C750" s="6" t="str">
        <f ca="1">IFERROR(__xludf.DUMMYFUNCTION("""COMPUTED_VALUE"""),"")</f>
        <v/>
      </c>
      <c r="D750" s="6" t="str">
        <f ca="1">IFERROR(__xludf.DUMMYFUNCTION("""COMPUTED_VALUE"""),"")</f>
        <v/>
      </c>
      <c r="E750" s="6" t="str">
        <f ca="1">IFERROR(__xludf.DUMMYFUNCTION("""COMPUTED_VALUE"""),"")</f>
        <v/>
      </c>
      <c r="F750" s="6" t="str">
        <f ca="1">IFERROR(__xludf.DUMMYFUNCTION("""COMPUTED_VALUE"""),"")</f>
        <v/>
      </c>
      <c r="G750" s="6" t="str">
        <f ca="1">IFERROR(__xludf.DUMMYFUNCTION("""COMPUTED_VALUE"""),"")</f>
        <v/>
      </c>
      <c r="H750" s="6" t="str">
        <f ca="1">IFERROR(__xludf.DUMMYFUNCTION("""COMPUTED_VALUE"""),"")</f>
        <v/>
      </c>
      <c r="I750" s="6" t="str">
        <f ca="1">IFERROR(__xludf.DUMMYFUNCTION("""COMPUTED_VALUE"""),"")</f>
        <v/>
      </c>
      <c r="J750" s="6" t="str">
        <f ca="1">IFERROR(__xludf.DUMMYFUNCTION("""COMPUTED_VALUE"""),"")</f>
        <v/>
      </c>
    </row>
    <row r="751" spans="1:10" x14ac:dyDescent="0.2">
      <c r="A751" s="6" t="str">
        <f ca="1">IFERROR(__xludf.DUMMYFUNCTION("""COMPUTED_VALUE"""),"")</f>
        <v/>
      </c>
      <c r="B751" s="6" t="str">
        <f ca="1">IFERROR(__xludf.DUMMYFUNCTION("""COMPUTED_VALUE"""),"")</f>
        <v/>
      </c>
      <c r="C751" s="6" t="str">
        <f ca="1">IFERROR(__xludf.DUMMYFUNCTION("""COMPUTED_VALUE"""),"")</f>
        <v/>
      </c>
      <c r="D751" s="6" t="str">
        <f ca="1">IFERROR(__xludf.DUMMYFUNCTION("""COMPUTED_VALUE"""),"")</f>
        <v/>
      </c>
      <c r="E751" s="6" t="str">
        <f ca="1">IFERROR(__xludf.DUMMYFUNCTION("""COMPUTED_VALUE"""),"")</f>
        <v/>
      </c>
      <c r="F751" s="6" t="str">
        <f ca="1">IFERROR(__xludf.DUMMYFUNCTION("""COMPUTED_VALUE"""),"")</f>
        <v/>
      </c>
      <c r="G751" s="6" t="str">
        <f ca="1">IFERROR(__xludf.DUMMYFUNCTION("""COMPUTED_VALUE"""),"")</f>
        <v/>
      </c>
      <c r="H751" s="6" t="str">
        <f ca="1">IFERROR(__xludf.DUMMYFUNCTION("""COMPUTED_VALUE"""),"")</f>
        <v/>
      </c>
      <c r="I751" s="6" t="str">
        <f ca="1">IFERROR(__xludf.DUMMYFUNCTION("""COMPUTED_VALUE"""),"")</f>
        <v/>
      </c>
      <c r="J751" s="6" t="str">
        <f ca="1">IFERROR(__xludf.DUMMYFUNCTION("""COMPUTED_VALUE"""),"")</f>
        <v/>
      </c>
    </row>
    <row r="752" spans="1:10" x14ac:dyDescent="0.2">
      <c r="A752" s="6" t="str">
        <f ca="1">IFERROR(__xludf.DUMMYFUNCTION("""COMPUTED_VALUE"""),"")</f>
        <v/>
      </c>
      <c r="B752" s="6" t="str">
        <f ca="1">IFERROR(__xludf.DUMMYFUNCTION("""COMPUTED_VALUE"""),"")</f>
        <v/>
      </c>
      <c r="C752" s="6" t="str">
        <f ca="1">IFERROR(__xludf.DUMMYFUNCTION("""COMPUTED_VALUE"""),"")</f>
        <v/>
      </c>
      <c r="D752" s="6" t="str">
        <f ca="1">IFERROR(__xludf.DUMMYFUNCTION("""COMPUTED_VALUE"""),"")</f>
        <v/>
      </c>
      <c r="E752" s="6" t="str">
        <f ca="1">IFERROR(__xludf.DUMMYFUNCTION("""COMPUTED_VALUE"""),"")</f>
        <v/>
      </c>
      <c r="F752" s="6" t="str">
        <f ca="1">IFERROR(__xludf.DUMMYFUNCTION("""COMPUTED_VALUE"""),"")</f>
        <v/>
      </c>
      <c r="G752" s="6" t="str">
        <f ca="1">IFERROR(__xludf.DUMMYFUNCTION("""COMPUTED_VALUE"""),"")</f>
        <v/>
      </c>
      <c r="H752" s="6" t="str">
        <f ca="1">IFERROR(__xludf.DUMMYFUNCTION("""COMPUTED_VALUE"""),"")</f>
        <v/>
      </c>
      <c r="I752" s="6" t="str">
        <f ca="1">IFERROR(__xludf.DUMMYFUNCTION("""COMPUTED_VALUE"""),"")</f>
        <v/>
      </c>
      <c r="J752" s="6" t="str">
        <f ca="1">IFERROR(__xludf.DUMMYFUNCTION("""COMPUTED_VALUE"""),"")</f>
        <v/>
      </c>
    </row>
    <row r="753" spans="1:10" x14ac:dyDescent="0.2">
      <c r="A753" s="6" t="str">
        <f ca="1">IFERROR(__xludf.DUMMYFUNCTION("""COMPUTED_VALUE"""),"")</f>
        <v/>
      </c>
      <c r="B753" s="6" t="str">
        <f ca="1">IFERROR(__xludf.DUMMYFUNCTION("""COMPUTED_VALUE"""),"")</f>
        <v/>
      </c>
      <c r="C753" s="6" t="str">
        <f ca="1">IFERROR(__xludf.DUMMYFUNCTION("""COMPUTED_VALUE"""),"")</f>
        <v/>
      </c>
      <c r="D753" s="6" t="str">
        <f ca="1">IFERROR(__xludf.DUMMYFUNCTION("""COMPUTED_VALUE"""),"")</f>
        <v/>
      </c>
      <c r="E753" s="6" t="str">
        <f ca="1">IFERROR(__xludf.DUMMYFUNCTION("""COMPUTED_VALUE"""),"")</f>
        <v/>
      </c>
      <c r="F753" s="6" t="str">
        <f ca="1">IFERROR(__xludf.DUMMYFUNCTION("""COMPUTED_VALUE"""),"")</f>
        <v/>
      </c>
      <c r="G753" s="6" t="str">
        <f ca="1">IFERROR(__xludf.DUMMYFUNCTION("""COMPUTED_VALUE"""),"")</f>
        <v/>
      </c>
      <c r="H753" s="6" t="str">
        <f ca="1">IFERROR(__xludf.DUMMYFUNCTION("""COMPUTED_VALUE"""),"")</f>
        <v/>
      </c>
      <c r="I753" s="6" t="str">
        <f ca="1">IFERROR(__xludf.DUMMYFUNCTION("""COMPUTED_VALUE"""),"")</f>
        <v/>
      </c>
      <c r="J753" s="6" t="str">
        <f ca="1">IFERROR(__xludf.DUMMYFUNCTION("""COMPUTED_VALUE"""),"")</f>
        <v/>
      </c>
    </row>
    <row r="754" spans="1:10" x14ac:dyDescent="0.2">
      <c r="A754" s="6" t="str">
        <f ca="1">IFERROR(__xludf.DUMMYFUNCTION("""COMPUTED_VALUE"""),"")</f>
        <v/>
      </c>
      <c r="B754" s="6" t="str">
        <f ca="1">IFERROR(__xludf.DUMMYFUNCTION("""COMPUTED_VALUE"""),"")</f>
        <v/>
      </c>
      <c r="C754" s="6" t="str">
        <f ca="1">IFERROR(__xludf.DUMMYFUNCTION("""COMPUTED_VALUE"""),"")</f>
        <v/>
      </c>
      <c r="D754" s="6" t="str">
        <f ca="1">IFERROR(__xludf.DUMMYFUNCTION("""COMPUTED_VALUE"""),"")</f>
        <v/>
      </c>
      <c r="E754" s="6" t="str">
        <f ca="1">IFERROR(__xludf.DUMMYFUNCTION("""COMPUTED_VALUE"""),"")</f>
        <v/>
      </c>
      <c r="F754" s="6" t="str">
        <f ca="1">IFERROR(__xludf.DUMMYFUNCTION("""COMPUTED_VALUE"""),"")</f>
        <v/>
      </c>
      <c r="G754" s="6" t="str">
        <f ca="1">IFERROR(__xludf.DUMMYFUNCTION("""COMPUTED_VALUE"""),"")</f>
        <v/>
      </c>
      <c r="H754" s="6" t="str">
        <f ca="1">IFERROR(__xludf.DUMMYFUNCTION("""COMPUTED_VALUE"""),"")</f>
        <v/>
      </c>
      <c r="I754" s="6" t="str">
        <f ca="1">IFERROR(__xludf.DUMMYFUNCTION("""COMPUTED_VALUE"""),"")</f>
        <v/>
      </c>
      <c r="J754" s="6" t="str">
        <f ca="1">IFERROR(__xludf.DUMMYFUNCTION("""COMPUTED_VALUE"""),"")</f>
        <v/>
      </c>
    </row>
    <row r="755" spans="1:10" x14ac:dyDescent="0.2">
      <c r="A755" s="6" t="str">
        <f ca="1">IFERROR(__xludf.DUMMYFUNCTION("""COMPUTED_VALUE"""),"")</f>
        <v/>
      </c>
      <c r="B755" s="6" t="str">
        <f ca="1">IFERROR(__xludf.DUMMYFUNCTION("""COMPUTED_VALUE"""),"")</f>
        <v/>
      </c>
      <c r="C755" s="6" t="str">
        <f ca="1">IFERROR(__xludf.DUMMYFUNCTION("""COMPUTED_VALUE"""),"")</f>
        <v/>
      </c>
      <c r="D755" s="6" t="str">
        <f ca="1">IFERROR(__xludf.DUMMYFUNCTION("""COMPUTED_VALUE"""),"")</f>
        <v/>
      </c>
      <c r="E755" s="6" t="str">
        <f ca="1">IFERROR(__xludf.DUMMYFUNCTION("""COMPUTED_VALUE"""),"")</f>
        <v/>
      </c>
      <c r="F755" s="6" t="str">
        <f ca="1">IFERROR(__xludf.DUMMYFUNCTION("""COMPUTED_VALUE"""),"")</f>
        <v/>
      </c>
      <c r="G755" s="6" t="str">
        <f ca="1">IFERROR(__xludf.DUMMYFUNCTION("""COMPUTED_VALUE"""),"")</f>
        <v/>
      </c>
      <c r="H755" s="6" t="str">
        <f ca="1">IFERROR(__xludf.DUMMYFUNCTION("""COMPUTED_VALUE"""),"")</f>
        <v/>
      </c>
      <c r="I755" s="6" t="str">
        <f ca="1">IFERROR(__xludf.DUMMYFUNCTION("""COMPUTED_VALUE"""),"")</f>
        <v/>
      </c>
      <c r="J755" s="6" t="str">
        <f ca="1">IFERROR(__xludf.DUMMYFUNCTION("""COMPUTED_VALUE"""),"")</f>
        <v/>
      </c>
    </row>
    <row r="756" spans="1:10" x14ac:dyDescent="0.2">
      <c r="A756" s="6" t="str">
        <f ca="1">IFERROR(__xludf.DUMMYFUNCTION("""COMPUTED_VALUE"""),"")</f>
        <v/>
      </c>
      <c r="B756" s="6" t="str">
        <f ca="1">IFERROR(__xludf.DUMMYFUNCTION("""COMPUTED_VALUE"""),"")</f>
        <v/>
      </c>
      <c r="C756" s="6" t="str">
        <f ca="1">IFERROR(__xludf.DUMMYFUNCTION("""COMPUTED_VALUE"""),"")</f>
        <v/>
      </c>
      <c r="D756" s="6" t="str">
        <f ca="1">IFERROR(__xludf.DUMMYFUNCTION("""COMPUTED_VALUE"""),"")</f>
        <v/>
      </c>
      <c r="E756" s="6" t="str">
        <f ca="1">IFERROR(__xludf.DUMMYFUNCTION("""COMPUTED_VALUE"""),"")</f>
        <v/>
      </c>
      <c r="F756" s="6" t="str">
        <f ca="1">IFERROR(__xludf.DUMMYFUNCTION("""COMPUTED_VALUE"""),"")</f>
        <v/>
      </c>
      <c r="G756" s="6" t="str">
        <f ca="1">IFERROR(__xludf.DUMMYFUNCTION("""COMPUTED_VALUE"""),"")</f>
        <v/>
      </c>
      <c r="H756" s="6" t="str">
        <f ca="1">IFERROR(__xludf.DUMMYFUNCTION("""COMPUTED_VALUE"""),"")</f>
        <v/>
      </c>
      <c r="I756" s="6" t="str">
        <f ca="1">IFERROR(__xludf.DUMMYFUNCTION("""COMPUTED_VALUE"""),"")</f>
        <v/>
      </c>
      <c r="J756" s="6" t="str">
        <f ca="1">IFERROR(__xludf.DUMMYFUNCTION("""COMPUTED_VALUE"""),"")</f>
        <v/>
      </c>
    </row>
    <row r="757" spans="1:10" x14ac:dyDescent="0.2">
      <c r="A757" s="6" t="str">
        <f ca="1">IFERROR(__xludf.DUMMYFUNCTION("""COMPUTED_VALUE"""),"")</f>
        <v/>
      </c>
      <c r="B757" s="6" t="str">
        <f ca="1">IFERROR(__xludf.DUMMYFUNCTION("""COMPUTED_VALUE"""),"")</f>
        <v/>
      </c>
      <c r="C757" s="6" t="str">
        <f ca="1">IFERROR(__xludf.DUMMYFUNCTION("""COMPUTED_VALUE"""),"")</f>
        <v/>
      </c>
      <c r="D757" s="6" t="str">
        <f ca="1">IFERROR(__xludf.DUMMYFUNCTION("""COMPUTED_VALUE"""),"")</f>
        <v/>
      </c>
      <c r="E757" s="6" t="str">
        <f ca="1">IFERROR(__xludf.DUMMYFUNCTION("""COMPUTED_VALUE"""),"")</f>
        <v/>
      </c>
      <c r="F757" s="6" t="str">
        <f ca="1">IFERROR(__xludf.DUMMYFUNCTION("""COMPUTED_VALUE"""),"")</f>
        <v/>
      </c>
      <c r="G757" s="6" t="str">
        <f ca="1">IFERROR(__xludf.DUMMYFUNCTION("""COMPUTED_VALUE"""),"")</f>
        <v/>
      </c>
      <c r="H757" s="6" t="str">
        <f ca="1">IFERROR(__xludf.DUMMYFUNCTION("""COMPUTED_VALUE"""),"")</f>
        <v/>
      </c>
      <c r="I757" s="6" t="str">
        <f ca="1">IFERROR(__xludf.DUMMYFUNCTION("""COMPUTED_VALUE"""),"")</f>
        <v/>
      </c>
      <c r="J757" s="6" t="str">
        <f ca="1">IFERROR(__xludf.DUMMYFUNCTION("""COMPUTED_VALUE"""),"")</f>
        <v/>
      </c>
    </row>
    <row r="758" spans="1:10" x14ac:dyDescent="0.2">
      <c r="A758" s="6" t="str">
        <f ca="1">IFERROR(__xludf.DUMMYFUNCTION("""COMPUTED_VALUE"""),"")</f>
        <v/>
      </c>
      <c r="B758" s="6" t="str">
        <f ca="1">IFERROR(__xludf.DUMMYFUNCTION("""COMPUTED_VALUE"""),"")</f>
        <v/>
      </c>
      <c r="C758" s="6" t="str">
        <f ca="1">IFERROR(__xludf.DUMMYFUNCTION("""COMPUTED_VALUE"""),"")</f>
        <v/>
      </c>
      <c r="D758" s="6" t="str">
        <f ca="1">IFERROR(__xludf.DUMMYFUNCTION("""COMPUTED_VALUE"""),"")</f>
        <v/>
      </c>
      <c r="E758" s="6" t="str">
        <f ca="1">IFERROR(__xludf.DUMMYFUNCTION("""COMPUTED_VALUE"""),"")</f>
        <v/>
      </c>
      <c r="F758" s="6" t="str">
        <f ca="1">IFERROR(__xludf.DUMMYFUNCTION("""COMPUTED_VALUE"""),"")</f>
        <v/>
      </c>
      <c r="G758" s="6" t="str">
        <f ca="1">IFERROR(__xludf.DUMMYFUNCTION("""COMPUTED_VALUE"""),"")</f>
        <v/>
      </c>
      <c r="H758" s="6" t="str">
        <f ca="1">IFERROR(__xludf.DUMMYFUNCTION("""COMPUTED_VALUE"""),"")</f>
        <v/>
      </c>
      <c r="I758" s="6" t="str">
        <f ca="1">IFERROR(__xludf.DUMMYFUNCTION("""COMPUTED_VALUE"""),"")</f>
        <v/>
      </c>
      <c r="J758" s="6" t="str">
        <f ca="1">IFERROR(__xludf.DUMMYFUNCTION("""COMPUTED_VALUE"""),"")</f>
        <v/>
      </c>
    </row>
    <row r="759" spans="1:10" x14ac:dyDescent="0.2">
      <c r="A759" s="6" t="str">
        <f ca="1">IFERROR(__xludf.DUMMYFUNCTION("""COMPUTED_VALUE"""),"")</f>
        <v/>
      </c>
      <c r="B759" s="6" t="str">
        <f ca="1">IFERROR(__xludf.DUMMYFUNCTION("""COMPUTED_VALUE"""),"")</f>
        <v/>
      </c>
      <c r="C759" s="6" t="str">
        <f ca="1">IFERROR(__xludf.DUMMYFUNCTION("""COMPUTED_VALUE"""),"")</f>
        <v/>
      </c>
      <c r="D759" s="6" t="str">
        <f ca="1">IFERROR(__xludf.DUMMYFUNCTION("""COMPUTED_VALUE"""),"")</f>
        <v/>
      </c>
      <c r="E759" s="6" t="str">
        <f ca="1">IFERROR(__xludf.DUMMYFUNCTION("""COMPUTED_VALUE"""),"")</f>
        <v/>
      </c>
      <c r="F759" s="6" t="str">
        <f ca="1">IFERROR(__xludf.DUMMYFUNCTION("""COMPUTED_VALUE"""),"")</f>
        <v/>
      </c>
      <c r="G759" s="6" t="str">
        <f ca="1">IFERROR(__xludf.DUMMYFUNCTION("""COMPUTED_VALUE"""),"")</f>
        <v/>
      </c>
      <c r="H759" s="6" t="str">
        <f ca="1">IFERROR(__xludf.DUMMYFUNCTION("""COMPUTED_VALUE"""),"")</f>
        <v/>
      </c>
      <c r="I759" s="6" t="str">
        <f ca="1">IFERROR(__xludf.DUMMYFUNCTION("""COMPUTED_VALUE"""),"")</f>
        <v/>
      </c>
      <c r="J759" s="6" t="str">
        <f ca="1">IFERROR(__xludf.DUMMYFUNCTION("""COMPUTED_VALUE"""),"")</f>
        <v/>
      </c>
    </row>
    <row r="760" spans="1:10" x14ac:dyDescent="0.2">
      <c r="A760" s="6" t="str">
        <f ca="1">IFERROR(__xludf.DUMMYFUNCTION("""COMPUTED_VALUE"""),"")</f>
        <v/>
      </c>
      <c r="B760" s="6" t="str">
        <f ca="1">IFERROR(__xludf.DUMMYFUNCTION("""COMPUTED_VALUE"""),"")</f>
        <v/>
      </c>
      <c r="C760" s="6" t="str">
        <f ca="1">IFERROR(__xludf.DUMMYFUNCTION("""COMPUTED_VALUE"""),"")</f>
        <v/>
      </c>
      <c r="D760" s="6" t="str">
        <f ca="1">IFERROR(__xludf.DUMMYFUNCTION("""COMPUTED_VALUE"""),"")</f>
        <v/>
      </c>
      <c r="E760" s="6" t="str">
        <f ca="1">IFERROR(__xludf.DUMMYFUNCTION("""COMPUTED_VALUE"""),"")</f>
        <v/>
      </c>
      <c r="F760" s="6" t="str">
        <f ca="1">IFERROR(__xludf.DUMMYFUNCTION("""COMPUTED_VALUE"""),"")</f>
        <v/>
      </c>
      <c r="G760" s="6" t="str">
        <f ca="1">IFERROR(__xludf.DUMMYFUNCTION("""COMPUTED_VALUE"""),"")</f>
        <v/>
      </c>
      <c r="H760" s="6" t="str">
        <f ca="1">IFERROR(__xludf.DUMMYFUNCTION("""COMPUTED_VALUE"""),"")</f>
        <v/>
      </c>
      <c r="I760" s="6" t="str">
        <f ca="1">IFERROR(__xludf.DUMMYFUNCTION("""COMPUTED_VALUE"""),"")</f>
        <v/>
      </c>
      <c r="J760" s="6" t="str">
        <f ca="1">IFERROR(__xludf.DUMMYFUNCTION("""COMPUTED_VALUE"""),"")</f>
        <v/>
      </c>
    </row>
    <row r="761" spans="1:10" x14ac:dyDescent="0.2">
      <c r="A761" s="6" t="str">
        <f ca="1">IFERROR(__xludf.DUMMYFUNCTION("""COMPUTED_VALUE"""),"")</f>
        <v/>
      </c>
      <c r="B761" s="6" t="str">
        <f ca="1">IFERROR(__xludf.DUMMYFUNCTION("""COMPUTED_VALUE"""),"")</f>
        <v/>
      </c>
      <c r="C761" s="6" t="str">
        <f ca="1">IFERROR(__xludf.DUMMYFUNCTION("""COMPUTED_VALUE"""),"")</f>
        <v/>
      </c>
      <c r="D761" s="6" t="str">
        <f ca="1">IFERROR(__xludf.DUMMYFUNCTION("""COMPUTED_VALUE"""),"")</f>
        <v/>
      </c>
      <c r="E761" s="6" t="str">
        <f ca="1">IFERROR(__xludf.DUMMYFUNCTION("""COMPUTED_VALUE"""),"")</f>
        <v/>
      </c>
      <c r="F761" s="6" t="str">
        <f ca="1">IFERROR(__xludf.DUMMYFUNCTION("""COMPUTED_VALUE"""),"")</f>
        <v/>
      </c>
      <c r="G761" s="6" t="str">
        <f ca="1">IFERROR(__xludf.DUMMYFUNCTION("""COMPUTED_VALUE"""),"")</f>
        <v/>
      </c>
      <c r="H761" s="6" t="str">
        <f ca="1">IFERROR(__xludf.DUMMYFUNCTION("""COMPUTED_VALUE"""),"")</f>
        <v/>
      </c>
      <c r="I761" s="6" t="str">
        <f ca="1">IFERROR(__xludf.DUMMYFUNCTION("""COMPUTED_VALUE"""),"")</f>
        <v/>
      </c>
      <c r="J761" s="6" t="str">
        <f ca="1">IFERROR(__xludf.DUMMYFUNCTION("""COMPUTED_VALUE"""),"")</f>
        <v/>
      </c>
    </row>
    <row r="762" spans="1:10" x14ac:dyDescent="0.2">
      <c r="A762" s="6" t="str">
        <f ca="1">IFERROR(__xludf.DUMMYFUNCTION("""COMPUTED_VALUE"""),"")</f>
        <v/>
      </c>
      <c r="B762" s="6" t="str">
        <f ca="1">IFERROR(__xludf.DUMMYFUNCTION("""COMPUTED_VALUE"""),"")</f>
        <v/>
      </c>
      <c r="C762" s="6" t="str">
        <f ca="1">IFERROR(__xludf.DUMMYFUNCTION("""COMPUTED_VALUE"""),"")</f>
        <v/>
      </c>
      <c r="D762" s="6" t="str">
        <f ca="1">IFERROR(__xludf.DUMMYFUNCTION("""COMPUTED_VALUE"""),"")</f>
        <v/>
      </c>
      <c r="E762" s="6" t="str">
        <f ca="1">IFERROR(__xludf.DUMMYFUNCTION("""COMPUTED_VALUE"""),"")</f>
        <v/>
      </c>
      <c r="F762" s="6" t="str">
        <f ca="1">IFERROR(__xludf.DUMMYFUNCTION("""COMPUTED_VALUE"""),"")</f>
        <v/>
      </c>
      <c r="G762" s="6" t="str">
        <f ca="1">IFERROR(__xludf.DUMMYFUNCTION("""COMPUTED_VALUE"""),"")</f>
        <v/>
      </c>
      <c r="H762" s="6" t="str">
        <f ca="1">IFERROR(__xludf.DUMMYFUNCTION("""COMPUTED_VALUE"""),"")</f>
        <v/>
      </c>
      <c r="I762" s="6" t="str">
        <f ca="1">IFERROR(__xludf.DUMMYFUNCTION("""COMPUTED_VALUE"""),"")</f>
        <v/>
      </c>
      <c r="J762" s="6" t="str">
        <f ca="1">IFERROR(__xludf.DUMMYFUNCTION("""COMPUTED_VALUE"""),"")</f>
        <v/>
      </c>
    </row>
    <row r="763" spans="1:10" x14ac:dyDescent="0.2">
      <c r="A763" s="6" t="str">
        <f ca="1">IFERROR(__xludf.DUMMYFUNCTION("""COMPUTED_VALUE"""),"")</f>
        <v/>
      </c>
      <c r="B763" s="6" t="str">
        <f ca="1">IFERROR(__xludf.DUMMYFUNCTION("""COMPUTED_VALUE"""),"")</f>
        <v/>
      </c>
      <c r="C763" s="6" t="str">
        <f ca="1">IFERROR(__xludf.DUMMYFUNCTION("""COMPUTED_VALUE"""),"")</f>
        <v/>
      </c>
      <c r="D763" s="6" t="str">
        <f ca="1">IFERROR(__xludf.DUMMYFUNCTION("""COMPUTED_VALUE"""),"")</f>
        <v/>
      </c>
      <c r="E763" s="6" t="str">
        <f ca="1">IFERROR(__xludf.DUMMYFUNCTION("""COMPUTED_VALUE"""),"")</f>
        <v/>
      </c>
      <c r="F763" s="6" t="str">
        <f ca="1">IFERROR(__xludf.DUMMYFUNCTION("""COMPUTED_VALUE"""),"")</f>
        <v/>
      </c>
      <c r="G763" s="6" t="str">
        <f ca="1">IFERROR(__xludf.DUMMYFUNCTION("""COMPUTED_VALUE"""),"")</f>
        <v/>
      </c>
      <c r="H763" s="6" t="str">
        <f ca="1">IFERROR(__xludf.DUMMYFUNCTION("""COMPUTED_VALUE"""),"")</f>
        <v/>
      </c>
      <c r="I763" s="6" t="str">
        <f ca="1">IFERROR(__xludf.DUMMYFUNCTION("""COMPUTED_VALUE"""),"")</f>
        <v/>
      </c>
      <c r="J763" s="6" t="str">
        <f ca="1">IFERROR(__xludf.DUMMYFUNCTION("""COMPUTED_VALUE"""),"")</f>
        <v/>
      </c>
    </row>
    <row r="764" spans="1:10" x14ac:dyDescent="0.2">
      <c r="A764" s="6" t="str">
        <f ca="1">IFERROR(__xludf.DUMMYFUNCTION("""COMPUTED_VALUE"""),"")</f>
        <v/>
      </c>
      <c r="B764" s="6" t="str">
        <f ca="1">IFERROR(__xludf.DUMMYFUNCTION("""COMPUTED_VALUE"""),"")</f>
        <v/>
      </c>
      <c r="C764" s="6" t="str">
        <f ca="1">IFERROR(__xludf.DUMMYFUNCTION("""COMPUTED_VALUE"""),"")</f>
        <v/>
      </c>
      <c r="D764" s="6" t="str">
        <f ca="1">IFERROR(__xludf.DUMMYFUNCTION("""COMPUTED_VALUE"""),"")</f>
        <v/>
      </c>
      <c r="E764" s="6" t="str">
        <f ca="1">IFERROR(__xludf.DUMMYFUNCTION("""COMPUTED_VALUE"""),"")</f>
        <v/>
      </c>
      <c r="F764" s="6" t="str">
        <f ca="1">IFERROR(__xludf.DUMMYFUNCTION("""COMPUTED_VALUE"""),"")</f>
        <v/>
      </c>
      <c r="G764" s="6" t="str">
        <f ca="1">IFERROR(__xludf.DUMMYFUNCTION("""COMPUTED_VALUE"""),"")</f>
        <v/>
      </c>
      <c r="H764" s="6" t="str">
        <f ca="1">IFERROR(__xludf.DUMMYFUNCTION("""COMPUTED_VALUE"""),"")</f>
        <v/>
      </c>
      <c r="I764" s="6" t="str">
        <f ca="1">IFERROR(__xludf.DUMMYFUNCTION("""COMPUTED_VALUE"""),"")</f>
        <v/>
      </c>
      <c r="J764" s="6" t="str">
        <f ca="1">IFERROR(__xludf.DUMMYFUNCTION("""COMPUTED_VALUE"""),"")</f>
        <v/>
      </c>
    </row>
    <row r="765" spans="1:10" x14ac:dyDescent="0.2">
      <c r="A765" s="6" t="str">
        <f ca="1">IFERROR(__xludf.DUMMYFUNCTION("""COMPUTED_VALUE"""),"")</f>
        <v/>
      </c>
      <c r="B765" s="6" t="str">
        <f ca="1">IFERROR(__xludf.DUMMYFUNCTION("""COMPUTED_VALUE"""),"")</f>
        <v/>
      </c>
      <c r="C765" s="6" t="str">
        <f ca="1">IFERROR(__xludf.DUMMYFUNCTION("""COMPUTED_VALUE"""),"")</f>
        <v/>
      </c>
      <c r="D765" s="6" t="str">
        <f ca="1">IFERROR(__xludf.DUMMYFUNCTION("""COMPUTED_VALUE"""),"")</f>
        <v/>
      </c>
      <c r="E765" s="6" t="str">
        <f ca="1">IFERROR(__xludf.DUMMYFUNCTION("""COMPUTED_VALUE"""),"")</f>
        <v/>
      </c>
      <c r="F765" s="6" t="str">
        <f ca="1">IFERROR(__xludf.DUMMYFUNCTION("""COMPUTED_VALUE"""),"")</f>
        <v/>
      </c>
      <c r="G765" s="6" t="str">
        <f ca="1">IFERROR(__xludf.DUMMYFUNCTION("""COMPUTED_VALUE"""),"")</f>
        <v/>
      </c>
      <c r="H765" s="6" t="str">
        <f ca="1">IFERROR(__xludf.DUMMYFUNCTION("""COMPUTED_VALUE"""),"")</f>
        <v/>
      </c>
      <c r="I765" s="6" t="str">
        <f ca="1">IFERROR(__xludf.DUMMYFUNCTION("""COMPUTED_VALUE"""),"")</f>
        <v/>
      </c>
      <c r="J765" s="6" t="str">
        <f ca="1">IFERROR(__xludf.DUMMYFUNCTION("""COMPUTED_VALUE"""),"")</f>
        <v/>
      </c>
    </row>
    <row r="766" spans="1:10" x14ac:dyDescent="0.2">
      <c r="A766" s="6" t="str">
        <f ca="1">IFERROR(__xludf.DUMMYFUNCTION("""COMPUTED_VALUE"""),"")</f>
        <v/>
      </c>
      <c r="B766" s="6" t="str">
        <f ca="1">IFERROR(__xludf.DUMMYFUNCTION("""COMPUTED_VALUE"""),"")</f>
        <v/>
      </c>
      <c r="C766" s="6" t="str">
        <f ca="1">IFERROR(__xludf.DUMMYFUNCTION("""COMPUTED_VALUE"""),"")</f>
        <v/>
      </c>
      <c r="D766" s="6" t="str">
        <f ca="1">IFERROR(__xludf.DUMMYFUNCTION("""COMPUTED_VALUE"""),"")</f>
        <v/>
      </c>
      <c r="E766" s="6" t="str">
        <f ca="1">IFERROR(__xludf.DUMMYFUNCTION("""COMPUTED_VALUE"""),"")</f>
        <v/>
      </c>
      <c r="F766" s="6" t="str">
        <f ca="1">IFERROR(__xludf.DUMMYFUNCTION("""COMPUTED_VALUE"""),"")</f>
        <v/>
      </c>
      <c r="G766" s="6" t="str">
        <f ca="1">IFERROR(__xludf.DUMMYFUNCTION("""COMPUTED_VALUE"""),"")</f>
        <v/>
      </c>
      <c r="H766" s="6" t="str">
        <f ca="1">IFERROR(__xludf.DUMMYFUNCTION("""COMPUTED_VALUE"""),"")</f>
        <v/>
      </c>
      <c r="I766" s="6" t="str">
        <f ca="1">IFERROR(__xludf.DUMMYFUNCTION("""COMPUTED_VALUE"""),"")</f>
        <v/>
      </c>
      <c r="J766" s="6" t="str">
        <f ca="1">IFERROR(__xludf.DUMMYFUNCTION("""COMPUTED_VALUE"""),"")</f>
        <v/>
      </c>
    </row>
    <row r="767" spans="1:10" x14ac:dyDescent="0.2">
      <c r="A767" s="6" t="str">
        <f ca="1">IFERROR(__xludf.DUMMYFUNCTION("""COMPUTED_VALUE"""),"")</f>
        <v/>
      </c>
      <c r="B767" s="6" t="str">
        <f ca="1">IFERROR(__xludf.DUMMYFUNCTION("""COMPUTED_VALUE"""),"")</f>
        <v/>
      </c>
      <c r="C767" s="6" t="str">
        <f ca="1">IFERROR(__xludf.DUMMYFUNCTION("""COMPUTED_VALUE"""),"")</f>
        <v/>
      </c>
      <c r="D767" s="6" t="str">
        <f ca="1">IFERROR(__xludf.DUMMYFUNCTION("""COMPUTED_VALUE"""),"")</f>
        <v/>
      </c>
      <c r="E767" s="6" t="str">
        <f ca="1">IFERROR(__xludf.DUMMYFUNCTION("""COMPUTED_VALUE"""),"")</f>
        <v/>
      </c>
      <c r="F767" s="6" t="str">
        <f ca="1">IFERROR(__xludf.DUMMYFUNCTION("""COMPUTED_VALUE"""),"")</f>
        <v/>
      </c>
      <c r="G767" s="6" t="str">
        <f ca="1">IFERROR(__xludf.DUMMYFUNCTION("""COMPUTED_VALUE"""),"")</f>
        <v/>
      </c>
      <c r="H767" s="6" t="str">
        <f ca="1">IFERROR(__xludf.DUMMYFUNCTION("""COMPUTED_VALUE"""),"")</f>
        <v/>
      </c>
      <c r="I767" s="6" t="str">
        <f ca="1">IFERROR(__xludf.DUMMYFUNCTION("""COMPUTED_VALUE"""),"")</f>
        <v/>
      </c>
      <c r="J767" s="6" t="str">
        <f ca="1">IFERROR(__xludf.DUMMYFUNCTION("""COMPUTED_VALUE"""),"")</f>
        <v/>
      </c>
    </row>
    <row r="768" spans="1:10" x14ac:dyDescent="0.2">
      <c r="A768" s="6" t="str">
        <f ca="1">IFERROR(__xludf.DUMMYFUNCTION("""COMPUTED_VALUE"""),"")</f>
        <v/>
      </c>
      <c r="B768" s="6" t="str">
        <f ca="1">IFERROR(__xludf.DUMMYFUNCTION("""COMPUTED_VALUE"""),"")</f>
        <v/>
      </c>
      <c r="C768" s="6" t="str">
        <f ca="1">IFERROR(__xludf.DUMMYFUNCTION("""COMPUTED_VALUE"""),"")</f>
        <v/>
      </c>
      <c r="D768" s="6" t="str">
        <f ca="1">IFERROR(__xludf.DUMMYFUNCTION("""COMPUTED_VALUE"""),"")</f>
        <v/>
      </c>
      <c r="E768" s="6" t="str">
        <f ca="1">IFERROR(__xludf.DUMMYFUNCTION("""COMPUTED_VALUE"""),"")</f>
        <v/>
      </c>
      <c r="F768" s="6" t="str">
        <f ca="1">IFERROR(__xludf.DUMMYFUNCTION("""COMPUTED_VALUE"""),"")</f>
        <v/>
      </c>
      <c r="G768" s="6" t="str">
        <f ca="1">IFERROR(__xludf.DUMMYFUNCTION("""COMPUTED_VALUE"""),"")</f>
        <v/>
      </c>
      <c r="H768" s="6" t="str">
        <f ca="1">IFERROR(__xludf.DUMMYFUNCTION("""COMPUTED_VALUE"""),"")</f>
        <v/>
      </c>
      <c r="I768" s="6" t="str">
        <f ca="1">IFERROR(__xludf.DUMMYFUNCTION("""COMPUTED_VALUE"""),"")</f>
        <v/>
      </c>
      <c r="J768" s="6" t="str">
        <f ca="1">IFERROR(__xludf.DUMMYFUNCTION("""COMPUTED_VALUE"""),"")</f>
        <v/>
      </c>
    </row>
    <row r="769" spans="1:10" x14ac:dyDescent="0.2">
      <c r="A769" s="6" t="str">
        <f ca="1">IFERROR(__xludf.DUMMYFUNCTION("""COMPUTED_VALUE"""),"")</f>
        <v/>
      </c>
      <c r="B769" s="6" t="str">
        <f ca="1">IFERROR(__xludf.DUMMYFUNCTION("""COMPUTED_VALUE"""),"")</f>
        <v/>
      </c>
      <c r="C769" s="6" t="str">
        <f ca="1">IFERROR(__xludf.DUMMYFUNCTION("""COMPUTED_VALUE"""),"")</f>
        <v/>
      </c>
      <c r="D769" s="6" t="str">
        <f ca="1">IFERROR(__xludf.DUMMYFUNCTION("""COMPUTED_VALUE"""),"")</f>
        <v/>
      </c>
      <c r="E769" s="6" t="str">
        <f ca="1">IFERROR(__xludf.DUMMYFUNCTION("""COMPUTED_VALUE"""),"")</f>
        <v/>
      </c>
      <c r="F769" s="6" t="str">
        <f ca="1">IFERROR(__xludf.DUMMYFUNCTION("""COMPUTED_VALUE"""),"")</f>
        <v/>
      </c>
      <c r="G769" s="6" t="str">
        <f ca="1">IFERROR(__xludf.DUMMYFUNCTION("""COMPUTED_VALUE"""),"")</f>
        <v/>
      </c>
      <c r="H769" s="6" t="str">
        <f ca="1">IFERROR(__xludf.DUMMYFUNCTION("""COMPUTED_VALUE"""),"")</f>
        <v/>
      </c>
      <c r="I769" s="6" t="str">
        <f ca="1">IFERROR(__xludf.DUMMYFUNCTION("""COMPUTED_VALUE"""),"")</f>
        <v/>
      </c>
      <c r="J769" s="6" t="str">
        <f ca="1">IFERROR(__xludf.DUMMYFUNCTION("""COMPUTED_VALUE"""),"")</f>
        <v/>
      </c>
    </row>
    <row r="770" spans="1:10" x14ac:dyDescent="0.2">
      <c r="A770" s="6" t="str">
        <f ca="1">IFERROR(__xludf.DUMMYFUNCTION("""COMPUTED_VALUE"""),"")</f>
        <v/>
      </c>
      <c r="B770" s="6" t="str">
        <f ca="1">IFERROR(__xludf.DUMMYFUNCTION("""COMPUTED_VALUE"""),"")</f>
        <v/>
      </c>
      <c r="C770" s="6" t="str">
        <f ca="1">IFERROR(__xludf.DUMMYFUNCTION("""COMPUTED_VALUE"""),"")</f>
        <v/>
      </c>
      <c r="D770" s="6" t="str">
        <f ca="1">IFERROR(__xludf.DUMMYFUNCTION("""COMPUTED_VALUE"""),"")</f>
        <v/>
      </c>
      <c r="E770" s="6" t="str">
        <f ca="1">IFERROR(__xludf.DUMMYFUNCTION("""COMPUTED_VALUE"""),"")</f>
        <v/>
      </c>
      <c r="F770" s="6" t="str">
        <f ca="1">IFERROR(__xludf.DUMMYFUNCTION("""COMPUTED_VALUE"""),"")</f>
        <v/>
      </c>
      <c r="G770" s="6" t="str">
        <f ca="1">IFERROR(__xludf.DUMMYFUNCTION("""COMPUTED_VALUE"""),"")</f>
        <v/>
      </c>
      <c r="H770" s="6" t="str">
        <f ca="1">IFERROR(__xludf.DUMMYFUNCTION("""COMPUTED_VALUE"""),"")</f>
        <v/>
      </c>
      <c r="I770" s="6" t="str">
        <f ca="1">IFERROR(__xludf.DUMMYFUNCTION("""COMPUTED_VALUE"""),"")</f>
        <v/>
      </c>
      <c r="J770" s="6" t="str">
        <f ca="1">IFERROR(__xludf.DUMMYFUNCTION("""COMPUTED_VALUE"""),"")</f>
        <v/>
      </c>
    </row>
    <row r="771" spans="1:10" x14ac:dyDescent="0.2">
      <c r="A771" s="6" t="str">
        <f ca="1">IFERROR(__xludf.DUMMYFUNCTION("""COMPUTED_VALUE"""),"")</f>
        <v/>
      </c>
      <c r="B771" s="6" t="str">
        <f ca="1">IFERROR(__xludf.DUMMYFUNCTION("""COMPUTED_VALUE"""),"")</f>
        <v/>
      </c>
      <c r="C771" s="6" t="str">
        <f ca="1">IFERROR(__xludf.DUMMYFUNCTION("""COMPUTED_VALUE"""),"")</f>
        <v/>
      </c>
      <c r="D771" s="6" t="str">
        <f ca="1">IFERROR(__xludf.DUMMYFUNCTION("""COMPUTED_VALUE"""),"")</f>
        <v/>
      </c>
      <c r="E771" s="6" t="str">
        <f ca="1">IFERROR(__xludf.DUMMYFUNCTION("""COMPUTED_VALUE"""),"")</f>
        <v/>
      </c>
      <c r="F771" s="6" t="str">
        <f ca="1">IFERROR(__xludf.DUMMYFUNCTION("""COMPUTED_VALUE"""),"")</f>
        <v/>
      </c>
      <c r="G771" s="6" t="str">
        <f ca="1">IFERROR(__xludf.DUMMYFUNCTION("""COMPUTED_VALUE"""),"")</f>
        <v/>
      </c>
      <c r="H771" s="6" t="str">
        <f ca="1">IFERROR(__xludf.DUMMYFUNCTION("""COMPUTED_VALUE"""),"")</f>
        <v/>
      </c>
      <c r="I771" s="6" t="str">
        <f ca="1">IFERROR(__xludf.DUMMYFUNCTION("""COMPUTED_VALUE"""),"")</f>
        <v/>
      </c>
      <c r="J771" s="6" t="str">
        <f ca="1">IFERROR(__xludf.DUMMYFUNCTION("""COMPUTED_VALUE"""),"")</f>
        <v/>
      </c>
    </row>
    <row r="772" spans="1:10" x14ac:dyDescent="0.2">
      <c r="A772" s="6" t="str">
        <f ca="1">IFERROR(__xludf.DUMMYFUNCTION("""COMPUTED_VALUE"""),"")</f>
        <v/>
      </c>
      <c r="B772" s="6" t="str">
        <f ca="1">IFERROR(__xludf.DUMMYFUNCTION("""COMPUTED_VALUE"""),"")</f>
        <v/>
      </c>
      <c r="C772" s="6" t="str">
        <f ca="1">IFERROR(__xludf.DUMMYFUNCTION("""COMPUTED_VALUE"""),"")</f>
        <v/>
      </c>
      <c r="D772" s="6" t="str">
        <f ca="1">IFERROR(__xludf.DUMMYFUNCTION("""COMPUTED_VALUE"""),"")</f>
        <v/>
      </c>
      <c r="E772" s="6" t="str">
        <f ca="1">IFERROR(__xludf.DUMMYFUNCTION("""COMPUTED_VALUE"""),"")</f>
        <v/>
      </c>
      <c r="F772" s="6" t="str">
        <f ca="1">IFERROR(__xludf.DUMMYFUNCTION("""COMPUTED_VALUE"""),"")</f>
        <v/>
      </c>
      <c r="G772" s="6" t="str">
        <f ca="1">IFERROR(__xludf.DUMMYFUNCTION("""COMPUTED_VALUE"""),"")</f>
        <v/>
      </c>
      <c r="H772" s="6" t="str">
        <f ca="1">IFERROR(__xludf.DUMMYFUNCTION("""COMPUTED_VALUE"""),"")</f>
        <v/>
      </c>
      <c r="I772" s="6" t="str">
        <f ca="1">IFERROR(__xludf.DUMMYFUNCTION("""COMPUTED_VALUE"""),"")</f>
        <v/>
      </c>
      <c r="J772" s="6" t="str">
        <f ca="1">IFERROR(__xludf.DUMMYFUNCTION("""COMPUTED_VALUE"""),"")</f>
        <v/>
      </c>
    </row>
    <row r="773" spans="1:10" x14ac:dyDescent="0.2">
      <c r="A773" s="6" t="str">
        <f ca="1">IFERROR(__xludf.DUMMYFUNCTION("""COMPUTED_VALUE"""),"")</f>
        <v/>
      </c>
      <c r="B773" s="6" t="str">
        <f ca="1">IFERROR(__xludf.DUMMYFUNCTION("""COMPUTED_VALUE"""),"")</f>
        <v/>
      </c>
      <c r="C773" s="6" t="str">
        <f ca="1">IFERROR(__xludf.DUMMYFUNCTION("""COMPUTED_VALUE"""),"")</f>
        <v/>
      </c>
      <c r="D773" s="6" t="str">
        <f ca="1">IFERROR(__xludf.DUMMYFUNCTION("""COMPUTED_VALUE"""),"")</f>
        <v/>
      </c>
      <c r="E773" s="6" t="str">
        <f ca="1">IFERROR(__xludf.DUMMYFUNCTION("""COMPUTED_VALUE"""),"")</f>
        <v/>
      </c>
      <c r="F773" s="6" t="str">
        <f ca="1">IFERROR(__xludf.DUMMYFUNCTION("""COMPUTED_VALUE"""),"")</f>
        <v/>
      </c>
      <c r="G773" s="6" t="str">
        <f ca="1">IFERROR(__xludf.DUMMYFUNCTION("""COMPUTED_VALUE"""),"")</f>
        <v/>
      </c>
      <c r="H773" s="6" t="str">
        <f ca="1">IFERROR(__xludf.DUMMYFUNCTION("""COMPUTED_VALUE"""),"")</f>
        <v/>
      </c>
      <c r="I773" s="6" t="str">
        <f ca="1">IFERROR(__xludf.DUMMYFUNCTION("""COMPUTED_VALUE"""),"")</f>
        <v/>
      </c>
      <c r="J773" s="6" t="str">
        <f ca="1">IFERROR(__xludf.DUMMYFUNCTION("""COMPUTED_VALUE"""),"")</f>
        <v/>
      </c>
    </row>
    <row r="774" spans="1:10" x14ac:dyDescent="0.2">
      <c r="A774" s="6" t="str">
        <f ca="1">IFERROR(__xludf.DUMMYFUNCTION("""COMPUTED_VALUE"""),"")</f>
        <v/>
      </c>
      <c r="B774" s="6" t="str">
        <f ca="1">IFERROR(__xludf.DUMMYFUNCTION("""COMPUTED_VALUE"""),"")</f>
        <v/>
      </c>
      <c r="C774" s="6" t="str">
        <f ca="1">IFERROR(__xludf.DUMMYFUNCTION("""COMPUTED_VALUE"""),"")</f>
        <v/>
      </c>
      <c r="D774" s="6" t="str">
        <f ca="1">IFERROR(__xludf.DUMMYFUNCTION("""COMPUTED_VALUE"""),"")</f>
        <v/>
      </c>
      <c r="E774" s="6" t="str">
        <f ca="1">IFERROR(__xludf.DUMMYFUNCTION("""COMPUTED_VALUE"""),"")</f>
        <v/>
      </c>
      <c r="F774" s="6" t="str">
        <f ca="1">IFERROR(__xludf.DUMMYFUNCTION("""COMPUTED_VALUE"""),"")</f>
        <v/>
      </c>
      <c r="G774" s="6" t="str">
        <f ca="1">IFERROR(__xludf.DUMMYFUNCTION("""COMPUTED_VALUE"""),"")</f>
        <v/>
      </c>
      <c r="H774" s="6" t="str">
        <f ca="1">IFERROR(__xludf.DUMMYFUNCTION("""COMPUTED_VALUE"""),"")</f>
        <v/>
      </c>
      <c r="I774" s="6" t="str">
        <f ca="1">IFERROR(__xludf.DUMMYFUNCTION("""COMPUTED_VALUE"""),"")</f>
        <v/>
      </c>
      <c r="J774" s="6" t="str">
        <f ca="1">IFERROR(__xludf.DUMMYFUNCTION("""COMPUTED_VALUE"""),"")</f>
        <v/>
      </c>
    </row>
    <row r="775" spans="1:10" x14ac:dyDescent="0.2">
      <c r="A775" s="6" t="str">
        <f ca="1">IFERROR(__xludf.DUMMYFUNCTION("""COMPUTED_VALUE"""),"")</f>
        <v/>
      </c>
      <c r="B775" s="6" t="str">
        <f ca="1">IFERROR(__xludf.DUMMYFUNCTION("""COMPUTED_VALUE"""),"")</f>
        <v/>
      </c>
      <c r="C775" s="6" t="str">
        <f ca="1">IFERROR(__xludf.DUMMYFUNCTION("""COMPUTED_VALUE"""),"")</f>
        <v/>
      </c>
      <c r="D775" s="6" t="str">
        <f ca="1">IFERROR(__xludf.DUMMYFUNCTION("""COMPUTED_VALUE"""),"")</f>
        <v/>
      </c>
      <c r="E775" s="6" t="str">
        <f ca="1">IFERROR(__xludf.DUMMYFUNCTION("""COMPUTED_VALUE"""),"")</f>
        <v/>
      </c>
      <c r="F775" s="6" t="str">
        <f ca="1">IFERROR(__xludf.DUMMYFUNCTION("""COMPUTED_VALUE"""),"")</f>
        <v/>
      </c>
      <c r="G775" s="6" t="str">
        <f ca="1">IFERROR(__xludf.DUMMYFUNCTION("""COMPUTED_VALUE"""),"")</f>
        <v/>
      </c>
      <c r="H775" s="6" t="str">
        <f ca="1">IFERROR(__xludf.DUMMYFUNCTION("""COMPUTED_VALUE"""),"")</f>
        <v/>
      </c>
      <c r="I775" s="6" t="str">
        <f ca="1">IFERROR(__xludf.DUMMYFUNCTION("""COMPUTED_VALUE"""),"")</f>
        <v/>
      </c>
      <c r="J775" s="6" t="str">
        <f ca="1">IFERROR(__xludf.DUMMYFUNCTION("""COMPUTED_VALUE"""),"")</f>
        <v/>
      </c>
    </row>
    <row r="776" spans="1:10" x14ac:dyDescent="0.2">
      <c r="A776" s="6" t="str">
        <f ca="1">IFERROR(__xludf.DUMMYFUNCTION("""COMPUTED_VALUE"""),"")</f>
        <v/>
      </c>
      <c r="B776" s="6" t="str">
        <f ca="1">IFERROR(__xludf.DUMMYFUNCTION("""COMPUTED_VALUE"""),"")</f>
        <v/>
      </c>
      <c r="C776" s="6" t="str">
        <f ca="1">IFERROR(__xludf.DUMMYFUNCTION("""COMPUTED_VALUE"""),"")</f>
        <v/>
      </c>
      <c r="D776" s="6" t="str">
        <f ca="1">IFERROR(__xludf.DUMMYFUNCTION("""COMPUTED_VALUE"""),"")</f>
        <v/>
      </c>
      <c r="E776" s="6" t="str">
        <f ca="1">IFERROR(__xludf.DUMMYFUNCTION("""COMPUTED_VALUE"""),"")</f>
        <v/>
      </c>
      <c r="F776" s="6" t="str">
        <f ca="1">IFERROR(__xludf.DUMMYFUNCTION("""COMPUTED_VALUE"""),"")</f>
        <v/>
      </c>
      <c r="G776" s="6" t="str">
        <f ca="1">IFERROR(__xludf.DUMMYFUNCTION("""COMPUTED_VALUE"""),"")</f>
        <v/>
      </c>
      <c r="H776" s="6" t="str">
        <f ca="1">IFERROR(__xludf.DUMMYFUNCTION("""COMPUTED_VALUE"""),"")</f>
        <v/>
      </c>
      <c r="I776" s="6" t="str">
        <f ca="1">IFERROR(__xludf.DUMMYFUNCTION("""COMPUTED_VALUE"""),"")</f>
        <v/>
      </c>
      <c r="J776" s="6" t="str">
        <f ca="1">IFERROR(__xludf.DUMMYFUNCTION("""COMPUTED_VALUE"""),"")</f>
        <v/>
      </c>
    </row>
    <row r="777" spans="1:10" x14ac:dyDescent="0.2">
      <c r="A777" s="6" t="str">
        <f ca="1">IFERROR(__xludf.DUMMYFUNCTION("""COMPUTED_VALUE"""),"")</f>
        <v/>
      </c>
      <c r="B777" s="6" t="str">
        <f ca="1">IFERROR(__xludf.DUMMYFUNCTION("""COMPUTED_VALUE"""),"")</f>
        <v/>
      </c>
      <c r="C777" s="6" t="str">
        <f ca="1">IFERROR(__xludf.DUMMYFUNCTION("""COMPUTED_VALUE"""),"")</f>
        <v/>
      </c>
      <c r="D777" s="6" t="str">
        <f ca="1">IFERROR(__xludf.DUMMYFUNCTION("""COMPUTED_VALUE"""),"")</f>
        <v/>
      </c>
      <c r="E777" s="6" t="str">
        <f ca="1">IFERROR(__xludf.DUMMYFUNCTION("""COMPUTED_VALUE"""),"")</f>
        <v/>
      </c>
      <c r="F777" s="6" t="str">
        <f ca="1">IFERROR(__xludf.DUMMYFUNCTION("""COMPUTED_VALUE"""),"")</f>
        <v/>
      </c>
      <c r="G777" s="6" t="str">
        <f ca="1">IFERROR(__xludf.DUMMYFUNCTION("""COMPUTED_VALUE"""),"")</f>
        <v/>
      </c>
      <c r="H777" s="6" t="str">
        <f ca="1">IFERROR(__xludf.DUMMYFUNCTION("""COMPUTED_VALUE"""),"")</f>
        <v/>
      </c>
      <c r="I777" s="6" t="str">
        <f ca="1">IFERROR(__xludf.DUMMYFUNCTION("""COMPUTED_VALUE"""),"")</f>
        <v/>
      </c>
      <c r="J777" s="6" t="str">
        <f ca="1">IFERROR(__xludf.DUMMYFUNCTION("""COMPUTED_VALUE"""),"")</f>
        <v/>
      </c>
    </row>
    <row r="778" spans="1:10" x14ac:dyDescent="0.2">
      <c r="A778" s="6" t="str">
        <f ca="1">IFERROR(__xludf.DUMMYFUNCTION("""COMPUTED_VALUE"""),"")</f>
        <v/>
      </c>
      <c r="B778" s="6" t="str">
        <f ca="1">IFERROR(__xludf.DUMMYFUNCTION("""COMPUTED_VALUE"""),"")</f>
        <v/>
      </c>
      <c r="C778" s="6" t="str">
        <f ca="1">IFERROR(__xludf.DUMMYFUNCTION("""COMPUTED_VALUE"""),"")</f>
        <v/>
      </c>
      <c r="D778" s="6" t="str">
        <f ca="1">IFERROR(__xludf.DUMMYFUNCTION("""COMPUTED_VALUE"""),"")</f>
        <v/>
      </c>
      <c r="E778" s="6" t="str">
        <f ca="1">IFERROR(__xludf.DUMMYFUNCTION("""COMPUTED_VALUE"""),"")</f>
        <v/>
      </c>
      <c r="F778" s="6" t="str">
        <f ca="1">IFERROR(__xludf.DUMMYFUNCTION("""COMPUTED_VALUE"""),"")</f>
        <v/>
      </c>
      <c r="G778" s="6" t="str">
        <f ca="1">IFERROR(__xludf.DUMMYFUNCTION("""COMPUTED_VALUE"""),"")</f>
        <v/>
      </c>
      <c r="H778" s="6" t="str">
        <f ca="1">IFERROR(__xludf.DUMMYFUNCTION("""COMPUTED_VALUE"""),"")</f>
        <v/>
      </c>
      <c r="I778" s="6" t="str">
        <f ca="1">IFERROR(__xludf.DUMMYFUNCTION("""COMPUTED_VALUE"""),"")</f>
        <v/>
      </c>
      <c r="J778" s="6" t="str">
        <f ca="1">IFERROR(__xludf.DUMMYFUNCTION("""COMPUTED_VALUE"""),"")</f>
        <v/>
      </c>
    </row>
    <row r="779" spans="1:10" x14ac:dyDescent="0.2">
      <c r="A779" s="6" t="str">
        <f ca="1">IFERROR(__xludf.DUMMYFUNCTION("""COMPUTED_VALUE"""),"")</f>
        <v/>
      </c>
      <c r="B779" s="6" t="str">
        <f ca="1">IFERROR(__xludf.DUMMYFUNCTION("""COMPUTED_VALUE"""),"")</f>
        <v/>
      </c>
      <c r="C779" s="6" t="str">
        <f ca="1">IFERROR(__xludf.DUMMYFUNCTION("""COMPUTED_VALUE"""),"")</f>
        <v/>
      </c>
      <c r="D779" s="6" t="str">
        <f ca="1">IFERROR(__xludf.DUMMYFUNCTION("""COMPUTED_VALUE"""),"")</f>
        <v/>
      </c>
      <c r="E779" s="6" t="str">
        <f ca="1">IFERROR(__xludf.DUMMYFUNCTION("""COMPUTED_VALUE"""),"")</f>
        <v/>
      </c>
      <c r="F779" s="6" t="str">
        <f ca="1">IFERROR(__xludf.DUMMYFUNCTION("""COMPUTED_VALUE"""),"")</f>
        <v/>
      </c>
      <c r="G779" s="6" t="str">
        <f ca="1">IFERROR(__xludf.DUMMYFUNCTION("""COMPUTED_VALUE"""),"")</f>
        <v/>
      </c>
      <c r="H779" s="6" t="str">
        <f ca="1">IFERROR(__xludf.DUMMYFUNCTION("""COMPUTED_VALUE"""),"")</f>
        <v/>
      </c>
      <c r="I779" s="6" t="str">
        <f ca="1">IFERROR(__xludf.DUMMYFUNCTION("""COMPUTED_VALUE"""),"")</f>
        <v/>
      </c>
      <c r="J779" s="6" t="str">
        <f ca="1">IFERROR(__xludf.DUMMYFUNCTION("""COMPUTED_VALUE"""),"")</f>
        <v/>
      </c>
    </row>
    <row r="780" spans="1:10" x14ac:dyDescent="0.2">
      <c r="A780" s="6" t="str">
        <f ca="1">IFERROR(__xludf.DUMMYFUNCTION("""COMPUTED_VALUE"""),"")</f>
        <v/>
      </c>
      <c r="B780" s="6" t="str">
        <f ca="1">IFERROR(__xludf.DUMMYFUNCTION("""COMPUTED_VALUE"""),"")</f>
        <v/>
      </c>
      <c r="C780" s="6" t="str">
        <f ca="1">IFERROR(__xludf.DUMMYFUNCTION("""COMPUTED_VALUE"""),"")</f>
        <v/>
      </c>
      <c r="D780" s="6" t="str">
        <f ca="1">IFERROR(__xludf.DUMMYFUNCTION("""COMPUTED_VALUE"""),"")</f>
        <v/>
      </c>
      <c r="E780" s="6" t="str">
        <f ca="1">IFERROR(__xludf.DUMMYFUNCTION("""COMPUTED_VALUE"""),"")</f>
        <v/>
      </c>
      <c r="F780" s="6" t="str">
        <f ca="1">IFERROR(__xludf.DUMMYFUNCTION("""COMPUTED_VALUE"""),"")</f>
        <v/>
      </c>
      <c r="G780" s="6" t="str">
        <f ca="1">IFERROR(__xludf.DUMMYFUNCTION("""COMPUTED_VALUE"""),"")</f>
        <v/>
      </c>
      <c r="H780" s="6" t="str">
        <f ca="1">IFERROR(__xludf.DUMMYFUNCTION("""COMPUTED_VALUE"""),"")</f>
        <v/>
      </c>
      <c r="I780" s="6" t="str">
        <f ca="1">IFERROR(__xludf.DUMMYFUNCTION("""COMPUTED_VALUE"""),"")</f>
        <v/>
      </c>
      <c r="J780" s="6" t="str">
        <f ca="1">IFERROR(__xludf.DUMMYFUNCTION("""COMPUTED_VALUE"""),"")</f>
        <v/>
      </c>
    </row>
    <row r="781" spans="1:10" x14ac:dyDescent="0.2">
      <c r="A781" s="6" t="str">
        <f ca="1">IFERROR(__xludf.DUMMYFUNCTION("""COMPUTED_VALUE"""),"")</f>
        <v/>
      </c>
      <c r="B781" s="6" t="str">
        <f ca="1">IFERROR(__xludf.DUMMYFUNCTION("""COMPUTED_VALUE"""),"")</f>
        <v/>
      </c>
      <c r="C781" s="6" t="str">
        <f ca="1">IFERROR(__xludf.DUMMYFUNCTION("""COMPUTED_VALUE"""),"")</f>
        <v/>
      </c>
      <c r="D781" s="6" t="str">
        <f ca="1">IFERROR(__xludf.DUMMYFUNCTION("""COMPUTED_VALUE"""),"")</f>
        <v/>
      </c>
      <c r="E781" s="6" t="str">
        <f ca="1">IFERROR(__xludf.DUMMYFUNCTION("""COMPUTED_VALUE"""),"")</f>
        <v/>
      </c>
      <c r="F781" s="6" t="str">
        <f ca="1">IFERROR(__xludf.DUMMYFUNCTION("""COMPUTED_VALUE"""),"")</f>
        <v/>
      </c>
      <c r="G781" s="6" t="str">
        <f ca="1">IFERROR(__xludf.DUMMYFUNCTION("""COMPUTED_VALUE"""),"")</f>
        <v/>
      </c>
      <c r="H781" s="6" t="str">
        <f ca="1">IFERROR(__xludf.DUMMYFUNCTION("""COMPUTED_VALUE"""),"")</f>
        <v/>
      </c>
      <c r="I781" s="6" t="str">
        <f ca="1">IFERROR(__xludf.DUMMYFUNCTION("""COMPUTED_VALUE"""),"")</f>
        <v/>
      </c>
      <c r="J781" s="6" t="str">
        <f ca="1">IFERROR(__xludf.DUMMYFUNCTION("""COMPUTED_VALUE"""),"")</f>
        <v/>
      </c>
    </row>
    <row r="782" spans="1:10" x14ac:dyDescent="0.2">
      <c r="A782" s="6" t="str">
        <f ca="1">IFERROR(__xludf.DUMMYFUNCTION("""COMPUTED_VALUE"""),"")</f>
        <v/>
      </c>
      <c r="B782" s="6" t="str">
        <f ca="1">IFERROR(__xludf.DUMMYFUNCTION("""COMPUTED_VALUE"""),"")</f>
        <v/>
      </c>
      <c r="C782" s="6" t="str">
        <f ca="1">IFERROR(__xludf.DUMMYFUNCTION("""COMPUTED_VALUE"""),"")</f>
        <v/>
      </c>
      <c r="D782" s="6" t="str">
        <f ca="1">IFERROR(__xludf.DUMMYFUNCTION("""COMPUTED_VALUE"""),"")</f>
        <v/>
      </c>
      <c r="E782" s="6" t="str">
        <f ca="1">IFERROR(__xludf.DUMMYFUNCTION("""COMPUTED_VALUE"""),"")</f>
        <v/>
      </c>
      <c r="F782" s="6" t="str">
        <f ca="1">IFERROR(__xludf.DUMMYFUNCTION("""COMPUTED_VALUE"""),"")</f>
        <v/>
      </c>
      <c r="G782" s="6" t="str">
        <f ca="1">IFERROR(__xludf.DUMMYFUNCTION("""COMPUTED_VALUE"""),"")</f>
        <v/>
      </c>
      <c r="H782" s="6" t="str">
        <f ca="1">IFERROR(__xludf.DUMMYFUNCTION("""COMPUTED_VALUE"""),"")</f>
        <v/>
      </c>
      <c r="I782" s="6" t="str">
        <f ca="1">IFERROR(__xludf.DUMMYFUNCTION("""COMPUTED_VALUE"""),"")</f>
        <v/>
      </c>
      <c r="J782" s="6" t="str">
        <f ca="1">IFERROR(__xludf.DUMMYFUNCTION("""COMPUTED_VALUE"""),"")</f>
        <v/>
      </c>
    </row>
    <row r="783" spans="1:10" x14ac:dyDescent="0.2">
      <c r="A783" s="6" t="str">
        <f ca="1">IFERROR(__xludf.DUMMYFUNCTION("""COMPUTED_VALUE"""),"")</f>
        <v/>
      </c>
      <c r="B783" s="6" t="str">
        <f ca="1">IFERROR(__xludf.DUMMYFUNCTION("""COMPUTED_VALUE"""),"")</f>
        <v/>
      </c>
      <c r="C783" s="6" t="str">
        <f ca="1">IFERROR(__xludf.DUMMYFUNCTION("""COMPUTED_VALUE"""),"")</f>
        <v/>
      </c>
      <c r="D783" s="6" t="str">
        <f ca="1">IFERROR(__xludf.DUMMYFUNCTION("""COMPUTED_VALUE"""),"")</f>
        <v/>
      </c>
      <c r="E783" s="6" t="str">
        <f ca="1">IFERROR(__xludf.DUMMYFUNCTION("""COMPUTED_VALUE"""),"")</f>
        <v/>
      </c>
      <c r="F783" s="6" t="str">
        <f ca="1">IFERROR(__xludf.DUMMYFUNCTION("""COMPUTED_VALUE"""),"")</f>
        <v/>
      </c>
      <c r="G783" s="6" t="str">
        <f ca="1">IFERROR(__xludf.DUMMYFUNCTION("""COMPUTED_VALUE"""),"")</f>
        <v/>
      </c>
      <c r="H783" s="6" t="str">
        <f ca="1">IFERROR(__xludf.DUMMYFUNCTION("""COMPUTED_VALUE"""),"")</f>
        <v/>
      </c>
      <c r="I783" s="6" t="str">
        <f ca="1">IFERROR(__xludf.DUMMYFUNCTION("""COMPUTED_VALUE"""),"")</f>
        <v/>
      </c>
      <c r="J783" s="6" t="str">
        <f ca="1">IFERROR(__xludf.DUMMYFUNCTION("""COMPUTED_VALUE"""),"")</f>
        <v/>
      </c>
    </row>
    <row r="784" spans="1:10" x14ac:dyDescent="0.2">
      <c r="A784" s="6" t="str">
        <f ca="1">IFERROR(__xludf.DUMMYFUNCTION("""COMPUTED_VALUE"""),"")</f>
        <v/>
      </c>
      <c r="B784" s="6" t="str">
        <f ca="1">IFERROR(__xludf.DUMMYFUNCTION("""COMPUTED_VALUE"""),"")</f>
        <v/>
      </c>
      <c r="C784" s="6" t="str">
        <f ca="1">IFERROR(__xludf.DUMMYFUNCTION("""COMPUTED_VALUE"""),"")</f>
        <v/>
      </c>
      <c r="D784" s="6" t="str">
        <f ca="1">IFERROR(__xludf.DUMMYFUNCTION("""COMPUTED_VALUE"""),"")</f>
        <v/>
      </c>
      <c r="E784" s="6" t="str">
        <f ca="1">IFERROR(__xludf.DUMMYFUNCTION("""COMPUTED_VALUE"""),"")</f>
        <v/>
      </c>
      <c r="F784" s="6" t="str">
        <f ca="1">IFERROR(__xludf.DUMMYFUNCTION("""COMPUTED_VALUE"""),"")</f>
        <v/>
      </c>
      <c r="G784" s="6" t="str">
        <f ca="1">IFERROR(__xludf.DUMMYFUNCTION("""COMPUTED_VALUE"""),"")</f>
        <v/>
      </c>
      <c r="H784" s="6" t="str">
        <f ca="1">IFERROR(__xludf.DUMMYFUNCTION("""COMPUTED_VALUE"""),"")</f>
        <v/>
      </c>
      <c r="I784" s="6" t="str">
        <f ca="1">IFERROR(__xludf.DUMMYFUNCTION("""COMPUTED_VALUE"""),"")</f>
        <v/>
      </c>
      <c r="J784" s="6" t="str">
        <f ca="1">IFERROR(__xludf.DUMMYFUNCTION("""COMPUTED_VALUE"""),"")</f>
        <v/>
      </c>
    </row>
    <row r="785" spans="1:10" x14ac:dyDescent="0.2">
      <c r="A785" s="6" t="str">
        <f ca="1">IFERROR(__xludf.DUMMYFUNCTION("""COMPUTED_VALUE"""),"")</f>
        <v/>
      </c>
      <c r="B785" s="6" t="str">
        <f ca="1">IFERROR(__xludf.DUMMYFUNCTION("""COMPUTED_VALUE"""),"")</f>
        <v/>
      </c>
      <c r="C785" s="6" t="str">
        <f ca="1">IFERROR(__xludf.DUMMYFUNCTION("""COMPUTED_VALUE"""),"")</f>
        <v/>
      </c>
      <c r="D785" s="6" t="str">
        <f ca="1">IFERROR(__xludf.DUMMYFUNCTION("""COMPUTED_VALUE"""),"")</f>
        <v/>
      </c>
      <c r="E785" s="6" t="str">
        <f ca="1">IFERROR(__xludf.DUMMYFUNCTION("""COMPUTED_VALUE"""),"")</f>
        <v/>
      </c>
      <c r="F785" s="6" t="str">
        <f ca="1">IFERROR(__xludf.DUMMYFUNCTION("""COMPUTED_VALUE"""),"")</f>
        <v/>
      </c>
      <c r="G785" s="6" t="str">
        <f ca="1">IFERROR(__xludf.DUMMYFUNCTION("""COMPUTED_VALUE"""),"")</f>
        <v/>
      </c>
      <c r="H785" s="6" t="str">
        <f ca="1">IFERROR(__xludf.DUMMYFUNCTION("""COMPUTED_VALUE"""),"")</f>
        <v/>
      </c>
      <c r="I785" s="6" t="str">
        <f ca="1">IFERROR(__xludf.DUMMYFUNCTION("""COMPUTED_VALUE"""),"")</f>
        <v/>
      </c>
      <c r="J785" s="6" t="str">
        <f ca="1">IFERROR(__xludf.DUMMYFUNCTION("""COMPUTED_VALUE"""),"")</f>
        <v/>
      </c>
    </row>
    <row r="786" spans="1:10" x14ac:dyDescent="0.2">
      <c r="A786" s="6" t="str">
        <f ca="1">IFERROR(__xludf.DUMMYFUNCTION("""COMPUTED_VALUE"""),"")</f>
        <v/>
      </c>
      <c r="B786" s="6" t="str">
        <f ca="1">IFERROR(__xludf.DUMMYFUNCTION("""COMPUTED_VALUE"""),"")</f>
        <v/>
      </c>
      <c r="C786" s="6" t="str">
        <f ca="1">IFERROR(__xludf.DUMMYFUNCTION("""COMPUTED_VALUE"""),"")</f>
        <v/>
      </c>
      <c r="D786" s="6" t="str">
        <f ca="1">IFERROR(__xludf.DUMMYFUNCTION("""COMPUTED_VALUE"""),"")</f>
        <v/>
      </c>
      <c r="E786" s="6" t="str">
        <f ca="1">IFERROR(__xludf.DUMMYFUNCTION("""COMPUTED_VALUE"""),"")</f>
        <v/>
      </c>
      <c r="F786" s="6" t="str">
        <f ca="1">IFERROR(__xludf.DUMMYFUNCTION("""COMPUTED_VALUE"""),"")</f>
        <v/>
      </c>
      <c r="G786" s="6" t="str">
        <f ca="1">IFERROR(__xludf.DUMMYFUNCTION("""COMPUTED_VALUE"""),"")</f>
        <v/>
      </c>
      <c r="H786" s="6" t="str">
        <f ca="1">IFERROR(__xludf.DUMMYFUNCTION("""COMPUTED_VALUE"""),"")</f>
        <v/>
      </c>
      <c r="I786" s="6" t="str">
        <f ca="1">IFERROR(__xludf.DUMMYFUNCTION("""COMPUTED_VALUE"""),"")</f>
        <v/>
      </c>
      <c r="J786" s="6" t="str">
        <f ca="1">IFERROR(__xludf.DUMMYFUNCTION("""COMPUTED_VALUE"""),"")</f>
        <v/>
      </c>
    </row>
    <row r="787" spans="1:10" x14ac:dyDescent="0.2">
      <c r="A787" s="6" t="str">
        <f ca="1">IFERROR(__xludf.DUMMYFUNCTION("""COMPUTED_VALUE"""),"")</f>
        <v/>
      </c>
      <c r="B787" s="6" t="str">
        <f ca="1">IFERROR(__xludf.DUMMYFUNCTION("""COMPUTED_VALUE"""),"")</f>
        <v/>
      </c>
      <c r="C787" s="6" t="str">
        <f ca="1">IFERROR(__xludf.DUMMYFUNCTION("""COMPUTED_VALUE"""),"")</f>
        <v/>
      </c>
      <c r="D787" s="6" t="str">
        <f ca="1">IFERROR(__xludf.DUMMYFUNCTION("""COMPUTED_VALUE"""),"")</f>
        <v/>
      </c>
      <c r="E787" s="6" t="str">
        <f ca="1">IFERROR(__xludf.DUMMYFUNCTION("""COMPUTED_VALUE"""),"")</f>
        <v/>
      </c>
      <c r="F787" s="6" t="str">
        <f ca="1">IFERROR(__xludf.DUMMYFUNCTION("""COMPUTED_VALUE"""),"")</f>
        <v/>
      </c>
      <c r="G787" s="6" t="str">
        <f ca="1">IFERROR(__xludf.DUMMYFUNCTION("""COMPUTED_VALUE"""),"")</f>
        <v/>
      </c>
      <c r="H787" s="6" t="str">
        <f ca="1">IFERROR(__xludf.DUMMYFUNCTION("""COMPUTED_VALUE"""),"")</f>
        <v/>
      </c>
      <c r="I787" s="6" t="str">
        <f ca="1">IFERROR(__xludf.DUMMYFUNCTION("""COMPUTED_VALUE"""),"")</f>
        <v/>
      </c>
      <c r="J787" s="6" t="str">
        <f ca="1">IFERROR(__xludf.DUMMYFUNCTION("""COMPUTED_VALUE"""),"")</f>
        <v/>
      </c>
    </row>
    <row r="788" spans="1:10" x14ac:dyDescent="0.2">
      <c r="A788" s="6" t="str">
        <f ca="1">IFERROR(__xludf.DUMMYFUNCTION("""COMPUTED_VALUE"""),"")</f>
        <v/>
      </c>
      <c r="B788" s="6" t="str">
        <f ca="1">IFERROR(__xludf.DUMMYFUNCTION("""COMPUTED_VALUE"""),"")</f>
        <v/>
      </c>
      <c r="C788" s="6" t="str">
        <f ca="1">IFERROR(__xludf.DUMMYFUNCTION("""COMPUTED_VALUE"""),"")</f>
        <v/>
      </c>
      <c r="D788" s="6" t="str">
        <f ca="1">IFERROR(__xludf.DUMMYFUNCTION("""COMPUTED_VALUE"""),"")</f>
        <v/>
      </c>
      <c r="E788" s="6" t="str">
        <f ca="1">IFERROR(__xludf.DUMMYFUNCTION("""COMPUTED_VALUE"""),"")</f>
        <v/>
      </c>
      <c r="F788" s="6" t="str">
        <f ca="1">IFERROR(__xludf.DUMMYFUNCTION("""COMPUTED_VALUE"""),"")</f>
        <v/>
      </c>
      <c r="G788" s="6" t="str">
        <f ca="1">IFERROR(__xludf.DUMMYFUNCTION("""COMPUTED_VALUE"""),"")</f>
        <v/>
      </c>
      <c r="H788" s="6" t="str">
        <f ca="1">IFERROR(__xludf.DUMMYFUNCTION("""COMPUTED_VALUE"""),"")</f>
        <v/>
      </c>
      <c r="I788" s="6" t="str">
        <f ca="1">IFERROR(__xludf.DUMMYFUNCTION("""COMPUTED_VALUE"""),"")</f>
        <v/>
      </c>
      <c r="J788" s="6" t="str">
        <f ca="1">IFERROR(__xludf.DUMMYFUNCTION("""COMPUTED_VALUE"""),"")</f>
        <v/>
      </c>
    </row>
    <row r="789" spans="1:10" x14ac:dyDescent="0.2">
      <c r="A789" s="6" t="str">
        <f ca="1">IFERROR(__xludf.DUMMYFUNCTION("""COMPUTED_VALUE"""),"")</f>
        <v/>
      </c>
      <c r="B789" s="6" t="str">
        <f ca="1">IFERROR(__xludf.DUMMYFUNCTION("""COMPUTED_VALUE"""),"")</f>
        <v/>
      </c>
      <c r="C789" s="6" t="str">
        <f ca="1">IFERROR(__xludf.DUMMYFUNCTION("""COMPUTED_VALUE"""),"")</f>
        <v/>
      </c>
      <c r="D789" s="6" t="str">
        <f ca="1">IFERROR(__xludf.DUMMYFUNCTION("""COMPUTED_VALUE"""),"")</f>
        <v/>
      </c>
      <c r="E789" s="6" t="str">
        <f ca="1">IFERROR(__xludf.DUMMYFUNCTION("""COMPUTED_VALUE"""),"")</f>
        <v/>
      </c>
      <c r="F789" s="6" t="str">
        <f ca="1">IFERROR(__xludf.DUMMYFUNCTION("""COMPUTED_VALUE"""),"")</f>
        <v/>
      </c>
      <c r="G789" s="6" t="str">
        <f ca="1">IFERROR(__xludf.DUMMYFUNCTION("""COMPUTED_VALUE"""),"")</f>
        <v/>
      </c>
      <c r="H789" s="6" t="str">
        <f ca="1">IFERROR(__xludf.DUMMYFUNCTION("""COMPUTED_VALUE"""),"")</f>
        <v/>
      </c>
      <c r="I789" s="6" t="str">
        <f ca="1">IFERROR(__xludf.DUMMYFUNCTION("""COMPUTED_VALUE"""),"")</f>
        <v/>
      </c>
      <c r="J789" s="6" t="str">
        <f ca="1">IFERROR(__xludf.DUMMYFUNCTION("""COMPUTED_VALUE"""),"")</f>
        <v/>
      </c>
    </row>
    <row r="790" spans="1:10" x14ac:dyDescent="0.2">
      <c r="A790" s="6" t="str">
        <f ca="1">IFERROR(__xludf.DUMMYFUNCTION("""COMPUTED_VALUE"""),"")</f>
        <v/>
      </c>
      <c r="B790" s="6" t="str">
        <f ca="1">IFERROR(__xludf.DUMMYFUNCTION("""COMPUTED_VALUE"""),"")</f>
        <v/>
      </c>
      <c r="C790" s="6" t="str">
        <f ca="1">IFERROR(__xludf.DUMMYFUNCTION("""COMPUTED_VALUE"""),"")</f>
        <v/>
      </c>
      <c r="D790" s="6" t="str">
        <f ca="1">IFERROR(__xludf.DUMMYFUNCTION("""COMPUTED_VALUE"""),"")</f>
        <v/>
      </c>
      <c r="E790" s="6" t="str">
        <f ca="1">IFERROR(__xludf.DUMMYFUNCTION("""COMPUTED_VALUE"""),"")</f>
        <v/>
      </c>
      <c r="F790" s="6" t="str">
        <f ca="1">IFERROR(__xludf.DUMMYFUNCTION("""COMPUTED_VALUE"""),"")</f>
        <v/>
      </c>
      <c r="G790" s="6" t="str">
        <f ca="1">IFERROR(__xludf.DUMMYFUNCTION("""COMPUTED_VALUE"""),"")</f>
        <v/>
      </c>
      <c r="H790" s="6" t="str">
        <f ca="1">IFERROR(__xludf.DUMMYFUNCTION("""COMPUTED_VALUE"""),"")</f>
        <v/>
      </c>
      <c r="I790" s="6" t="str">
        <f ca="1">IFERROR(__xludf.DUMMYFUNCTION("""COMPUTED_VALUE"""),"")</f>
        <v/>
      </c>
      <c r="J790" s="6" t="str">
        <f ca="1">IFERROR(__xludf.DUMMYFUNCTION("""COMPUTED_VALUE"""),"")</f>
        <v/>
      </c>
    </row>
    <row r="791" spans="1:10" x14ac:dyDescent="0.2">
      <c r="A791" s="6" t="str">
        <f ca="1">IFERROR(__xludf.DUMMYFUNCTION("""COMPUTED_VALUE"""),"")</f>
        <v/>
      </c>
      <c r="B791" s="6" t="str">
        <f ca="1">IFERROR(__xludf.DUMMYFUNCTION("""COMPUTED_VALUE"""),"")</f>
        <v/>
      </c>
      <c r="C791" s="6" t="str">
        <f ca="1">IFERROR(__xludf.DUMMYFUNCTION("""COMPUTED_VALUE"""),"")</f>
        <v/>
      </c>
      <c r="D791" s="6" t="str">
        <f ca="1">IFERROR(__xludf.DUMMYFUNCTION("""COMPUTED_VALUE"""),"")</f>
        <v/>
      </c>
      <c r="E791" s="6" t="str">
        <f ca="1">IFERROR(__xludf.DUMMYFUNCTION("""COMPUTED_VALUE"""),"")</f>
        <v/>
      </c>
      <c r="F791" s="6" t="str">
        <f ca="1">IFERROR(__xludf.DUMMYFUNCTION("""COMPUTED_VALUE"""),"")</f>
        <v/>
      </c>
      <c r="G791" s="6" t="str">
        <f ca="1">IFERROR(__xludf.DUMMYFUNCTION("""COMPUTED_VALUE"""),"")</f>
        <v/>
      </c>
      <c r="H791" s="6" t="str">
        <f ca="1">IFERROR(__xludf.DUMMYFUNCTION("""COMPUTED_VALUE"""),"")</f>
        <v/>
      </c>
      <c r="I791" s="6" t="str">
        <f ca="1">IFERROR(__xludf.DUMMYFUNCTION("""COMPUTED_VALUE"""),"")</f>
        <v/>
      </c>
      <c r="J791" s="6" t="str">
        <f ca="1">IFERROR(__xludf.DUMMYFUNCTION("""COMPUTED_VALUE"""),"")</f>
        <v/>
      </c>
    </row>
    <row r="792" spans="1:10" x14ac:dyDescent="0.2">
      <c r="A792" s="6" t="str">
        <f ca="1">IFERROR(__xludf.DUMMYFUNCTION("""COMPUTED_VALUE"""),"")</f>
        <v/>
      </c>
      <c r="B792" s="6" t="str">
        <f ca="1">IFERROR(__xludf.DUMMYFUNCTION("""COMPUTED_VALUE"""),"")</f>
        <v/>
      </c>
      <c r="C792" s="6" t="str">
        <f ca="1">IFERROR(__xludf.DUMMYFUNCTION("""COMPUTED_VALUE"""),"")</f>
        <v/>
      </c>
      <c r="D792" s="6" t="str">
        <f ca="1">IFERROR(__xludf.DUMMYFUNCTION("""COMPUTED_VALUE"""),"")</f>
        <v/>
      </c>
      <c r="E792" s="6" t="str">
        <f ca="1">IFERROR(__xludf.DUMMYFUNCTION("""COMPUTED_VALUE"""),"")</f>
        <v/>
      </c>
      <c r="F792" s="6" t="str">
        <f ca="1">IFERROR(__xludf.DUMMYFUNCTION("""COMPUTED_VALUE"""),"")</f>
        <v/>
      </c>
      <c r="G792" s="6" t="str">
        <f ca="1">IFERROR(__xludf.DUMMYFUNCTION("""COMPUTED_VALUE"""),"")</f>
        <v/>
      </c>
      <c r="H792" s="6" t="str">
        <f ca="1">IFERROR(__xludf.DUMMYFUNCTION("""COMPUTED_VALUE"""),"")</f>
        <v/>
      </c>
      <c r="I792" s="6" t="str">
        <f ca="1">IFERROR(__xludf.DUMMYFUNCTION("""COMPUTED_VALUE"""),"")</f>
        <v/>
      </c>
      <c r="J792" s="6" t="str">
        <f ca="1">IFERROR(__xludf.DUMMYFUNCTION("""COMPUTED_VALUE"""),"")</f>
        <v/>
      </c>
    </row>
    <row r="793" spans="1:10" x14ac:dyDescent="0.2">
      <c r="A793" s="6" t="str">
        <f ca="1">IFERROR(__xludf.DUMMYFUNCTION("""COMPUTED_VALUE"""),"")</f>
        <v/>
      </c>
      <c r="B793" s="6" t="str">
        <f ca="1">IFERROR(__xludf.DUMMYFUNCTION("""COMPUTED_VALUE"""),"")</f>
        <v/>
      </c>
      <c r="C793" s="6" t="str">
        <f ca="1">IFERROR(__xludf.DUMMYFUNCTION("""COMPUTED_VALUE"""),"")</f>
        <v/>
      </c>
      <c r="D793" s="6" t="str">
        <f ca="1">IFERROR(__xludf.DUMMYFUNCTION("""COMPUTED_VALUE"""),"")</f>
        <v/>
      </c>
      <c r="E793" s="6" t="str">
        <f ca="1">IFERROR(__xludf.DUMMYFUNCTION("""COMPUTED_VALUE"""),"")</f>
        <v/>
      </c>
      <c r="F793" s="6" t="str">
        <f ca="1">IFERROR(__xludf.DUMMYFUNCTION("""COMPUTED_VALUE"""),"")</f>
        <v/>
      </c>
      <c r="G793" s="6" t="str">
        <f ca="1">IFERROR(__xludf.DUMMYFUNCTION("""COMPUTED_VALUE"""),"")</f>
        <v/>
      </c>
      <c r="H793" s="6" t="str">
        <f ca="1">IFERROR(__xludf.DUMMYFUNCTION("""COMPUTED_VALUE"""),"")</f>
        <v/>
      </c>
      <c r="I793" s="6" t="str">
        <f ca="1">IFERROR(__xludf.DUMMYFUNCTION("""COMPUTED_VALUE"""),"")</f>
        <v/>
      </c>
      <c r="J793" s="6" t="str">
        <f ca="1">IFERROR(__xludf.DUMMYFUNCTION("""COMPUTED_VALUE"""),"")</f>
        <v/>
      </c>
    </row>
    <row r="794" spans="1:10" x14ac:dyDescent="0.2">
      <c r="A794" s="6" t="str">
        <f ca="1">IFERROR(__xludf.DUMMYFUNCTION("""COMPUTED_VALUE"""),"")</f>
        <v/>
      </c>
      <c r="B794" s="6" t="str">
        <f ca="1">IFERROR(__xludf.DUMMYFUNCTION("""COMPUTED_VALUE"""),"")</f>
        <v/>
      </c>
      <c r="C794" s="6" t="str">
        <f ca="1">IFERROR(__xludf.DUMMYFUNCTION("""COMPUTED_VALUE"""),"")</f>
        <v/>
      </c>
      <c r="D794" s="6" t="str">
        <f ca="1">IFERROR(__xludf.DUMMYFUNCTION("""COMPUTED_VALUE"""),"")</f>
        <v/>
      </c>
      <c r="E794" s="6" t="str">
        <f ca="1">IFERROR(__xludf.DUMMYFUNCTION("""COMPUTED_VALUE"""),"")</f>
        <v/>
      </c>
      <c r="F794" s="6" t="str">
        <f ca="1">IFERROR(__xludf.DUMMYFUNCTION("""COMPUTED_VALUE"""),"")</f>
        <v/>
      </c>
      <c r="G794" s="6" t="str">
        <f ca="1">IFERROR(__xludf.DUMMYFUNCTION("""COMPUTED_VALUE"""),"")</f>
        <v/>
      </c>
      <c r="H794" s="6" t="str">
        <f ca="1">IFERROR(__xludf.DUMMYFUNCTION("""COMPUTED_VALUE"""),"")</f>
        <v/>
      </c>
      <c r="I794" s="6" t="str">
        <f ca="1">IFERROR(__xludf.DUMMYFUNCTION("""COMPUTED_VALUE"""),"")</f>
        <v/>
      </c>
      <c r="J794" s="6" t="str">
        <f ca="1">IFERROR(__xludf.DUMMYFUNCTION("""COMPUTED_VALUE"""),"")</f>
        <v/>
      </c>
    </row>
    <row r="795" spans="1:10" x14ac:dyDescent="0.2">
      <c r="A795" s="6" t="str">
        <f ca="1">IFERROR(__xludf.DUMMYFUNCTION("""COMPUTED_VALUE"""),"")</f>
        <v/>
      </c>
      <c r="B795" s="6" t="str">
        <f ca="1">IFERROR(__xludf.DUMMYFUNCTION("""COMPUTED_VALUE"""),"")</f>
        <v/>
      </c>
      <c r="C795" s="6" t="str">
        <f ca="1">IFERROR(__xludf.DUMMYFUNCTION("""COMPUTED_VALUE"""),"")</f>
        <v/>
      </c>
      <c r="D795" s="6" t="str">
        <f ca="1">IFERROR(__xludf.DUMMYFUNCTION("""COMPUTED_VALUE"""),"")</f>
        <v/>
      </c>
      <c r="E795" s="6" t="str">
        <f ca="1">IFERROR(__xludf.DUMMYFUNCTION("""COMPUTED_VALUE"""),"")</f>
        <v/>
      </c>
      <c r="F795" s="6" t="str">
        <f ca="1">IFERROR(__xludf.DUMMYFUNCTION("""COMPUTED_VALUE"""),"")</f>
        <v/>
      </c>
      <c r="G795" s="6" t="str">
        <f ca="1">IFERROR(__xludf.DUMMYFUNCTION("""COMPUTED_VALUE"""),"")</f>
        <v/>
      </c>
      <c r="H795" s="6" t="str">
        <f ca="1">IFERROR(__xludf.DUMMYFUNCTION("""COMPUTED_VALUE"""),"")</f>
        <v/>
      </c>
      <c r="I795" s="6" t="str">
        <f ca="1">IFERROR(__xludf.DUMMYFUNCTION("""COMPUTED_VALUE"""),"")</f>
        <v/>
      </c>
      <c r="J795" s="6" t="str">
        <f ca="1">IFERROR(__xludf.DUMMYFUNCTION("""COMPUTED_VALUE"""),"")</f>
        <v/>
      </c>
    </row>
    <row r="796" spans="1:10" x14ac:dyDescent="0.2">
      <c r="A796" s="6" t="str">
        <f ca="1">IFERROR(__xludf.DUMMYFUNCTION("""COMPUTED_VALUE"""),"")</f>
        <v/>
      </c>
      <c r="B796" s="6" t="str">
        <f ca="1">IFERROR(__xludf.DUMMYFUNCTION("""COMPUTED_VALUE"""),"")</f>
        <v/>
      </c>
      <c r="C796" s="6" t="str">
        <f ca="1">IFERROR(__xludf.DUMMYFUNCTION("""COMPUTED_VALUE"""),"")</f>
        <v/>
      </c>
      <c r="D796" s="6" t="str">
        <f ca="1">IFERROR(__xludf.DUMMYFUNCTION("""COMPUTED_VALUE"""),"")</f>
        <v/>
      </c>
      <c r="E796" s="6" t="str">
        <f ca="1">IFERROR(__xludf.DUMMYFUNCTION("""COMPUTED_VALUE"""),"")</f>
        <v/>
      </c>
      <c r="F796" s="6" t="str">
        <f ca="1">IFERROR(__xludf.DUMMYFUNCTION("""COMPUTED_VALUE"""),"")</f>
        <v/>
      </c>
      <c r="G796" s="6" t="str">
        <f ca="1">IFERROR(__xludf.DUMMYFUNCTION("""COMPUTED_VALUE"""),"")</f>
        <v/>
      </c>
      <c r="H796" s="6" t="str">
        <f ca="1">IFERROR(__xludf.DUMMYFUNCTION("""COMPUTED_VALUE"""),"")</f>
        <v/>
      </c>
      <c r="I796" s="6" t="str">
        <f ca="1">IFERROR(__xludf.DUMMYFUNCTION("""COMPUTED_VALUE"""),"")</f>
        <v/>
      </c>
      <c r="J796" s="6" t="str">
        <f ca="1">IFERROR(__xludf.DUMMYFUNCTION("""COMPUTED_VALUE"""),"")</f>
        <v/>
      </c>
    </row>
    <row r="797" spans="1:10" x14ac:dyDescent="0.2">
      <c r="A797" s="6" t="str">
        <f ca="1">IFERROR(__xludf.DUMMYFUNCTION("""COMPUTED_VALUE"""),"")</f>
        <v/>
      </c>
      <c r="B797" s="6" t="str">
        <f ca="1">IFERROR(__xludf.DUMMYFUNCTION("""COMPUTED_VALUE"""),"")</f>
        <v/>
      </c>
      <c r="C797" s="6" t="str">
        <f ca="1">IFERROR(__xludf.DUMMYFUNCTION("""COMPUTED_VALUE"""),"")</f>
        <v/>
      </c>
      <c r="D797" s="6" t="str">
        <f ca="1">IFERROR(__xludf.DUMMYFUNCTION("""COMPUTED_VALUE"""),"")</f>
        <v/>
      </c>
      <c r="E797" s="6" t="str">
        <f ca="1">IFERROR(__xludf.DUMMYFUNCTION("""COMPUTED_VALUE"""),"")</f>
        <v/>
      </c>
      <c r="F797" s="6" t="str">
        <f ca="1">IFERROR(__xludf.DUMMYFUNCTION("""COMPUTED_VALUE"""),"")</f>
        <v/>
      </c>
      <c r="G797" s="6" t="str">
        <f ca="1">IFERROR(__xludf.DUMMYFUNCTION("""COMPUTED_VALUE"""),"")</f>
        <v/>
      </c>
      <c r="H797" s="6" t="str">
        <f ca="1">IFERROR(__xludf.DUMMYFUNCTION("""COMPUTED_VALUE"""),"")</f>
        <v/>
      </c>
      <c r="I797" s="6" t="str">
        <f ca="1">IFERROR(__xludf.DUMMYFUNCTION("""COMPUTED_VALUE"""),"")</f>
        <v/>
      </c>
      <c r="J797" s="6" t="str">
        <f ca="1">IFERROR(__xludf.DUMMYFUNCTION("""COMPUTED_VALUE"""),"")</f>
        <v/>
      </c>
    </row>
    <row r="798" spans="1:10" x14ac:dyDescent="0.2">
      <c r="A798" s="6" t="str">
        <f ca="1">IFERROR(__xludf.DUMMYFUNCTION("""COMPUTED_VALUE"""),"")</f>
        <v/>
      </c>
      <c r="B798" s="6" t="str">
        <f ca="1">IFERROR(__xludf.DUMMYFUNCTION("""COMPUTED_VALUE"""),"")</f>
        <v/>
      </c>
      <c r="C798" s="6" t="str">
        <f ca="1">IFERROR(__xludf.DUMMYFUNCTION("""COMPUTED_VALUE"""),"")</f>
        <v/>
      </c>
      <c r="D798" s="6" t="str">
        <f ca="1">IFERROR(__xludf.DUMMYFUNCTION("""COMPUTED_VALUE"""),"")</f>
        <v/>
      </c>
      <c r="E798" s="6" t="str">
        <f ca="1">IFERROR(__xludf.DUMMYFUNCTION("""COMPUTED_VALUE"""),"")</f>
        <v/>
      </c>
      <c r="F798" s="6" t="str">
        <f ca="1">IFERROR(__xludf.DUMMYFUNCTION("""COMPUTED_VALUE"""),"")</f>
        <v/>
      </c>
      <c r="G798" s="6" t="str">
        <f ca="1">IFERROR(__xludf.DUMMYFUNCTION("""COMPUTED_VALUE"""),"")</f>
        <v/>
      </c>
      <c r="H798" s="6" t="str">
        <f ca="1">IFERROR(__xludf.DUMMYFUNCTION("""COMPUTED_VALUE"""),"")</f>
        <v/>
      </c>
      <c r="I798" s="6" t="str">
        <f ca="1">IFERROR(__xludf.DUMMYFUNCTION("""COMPUTED_VALUE"""),"")</f>
        <v/>
      </c>
      <c r="J798" s="6" t="str">
        <f ca="1">IFERROR(__xludf.DUMMYFUNCTION("""COMPUTED_VALUE"""),"")</f>
        <v/>
      </c>
    </row>
    <row r="799" spans="1:10" x14ac:dyDescent="0.2">
      <c r="A799" s="6" t="str">
        <f ca="1">IFERROR(__xludf.DUMMYFUNCTION("""COMPUTED_VALUE"""),"")</f>
        <v/>
      </c>
      <c r="B799" s="6" t="str">
        <f ca="1">IFERROR(__xludf.DUMMYFUNCTION("""COMPUTED_VALUE"""),"")</f>
        <v/>
      </c>
      <c r="C799" s="6" t="str">
        <f ca="1">IFERROR(__xludf.DUMMYFUNCTION("""COMPUTED_VALUE"""),"")</f>
        <v/>
      </c>
      <c r="D799" s="6" t="str">
        <f ca="1">IFERROR(__xludf.DUMMYFUNCTION("""COMPUTED_VALUE"""),"")</f>
        <v/>
      </c>
      <c r="E799" s="6" t="str">
        <f ca="1">IFERROR(__xludf.DUMMYFUNCTION("""COMPUTED_VALUE"""),"")</f>
        <v/>
      </c>
      <c r="F799" s="6" t="str">
        <f ca="1">IFERROR(__xludf.DUMMYFUNCTION("""COMPUTED_VALUE"""),"")</f>
        <v/>
      </c>
      <c r="G799" s="6" t="str">
        <f ca="1">IFERROR(__xludf.DUMMYFUNCTION("""COMPUTED_VALUE"""),"")</f>
        <v/>
      </c>
      <c r="H799" s="6" t="str">
        <f ca="1">IFERROR(__xludf.DUMMYFUNCTION("""COMPUTED_VALUE"""),"")</f>
        <v/>
      </c>
      <c r="I799" s="6" t="str">
        <f ca="1">IFERROR(__xludf.DUMMYFUNCTION("""COMPUTED_VALUE"""),"")</f>
        <v/>
      </c>
      <c r="J799" s="6" t="str">
        <f ca="1">IFERROR(__xludf.DUMMYFUNCTION("""COMPUTED_VALUE"""),"")</f>
        <v/>
      </c>
    </row>
    <row r="800" spans="1:10" x14ac:dyDescent="0.2">
      <c r="A800" s="6" t="str">
        <f ca="1">IFERROR(__xludf.DUMMYFUNCTION("""COMPUTED_VALUE"""),"")</f>
        <v/>
      </c>
      <c r="B800" s="6" t="str">
        <f ca="1">IFERROR(__xludf.DUMMYFUNCTION("""COMPUTED_VALUE"""),"")</f>
        <v/>
      </c>
      <c r="C800" s="6" t="str">
        <f ca="1">IFERROR(__xludf.DUMMYFUNCTION("""COMPUTED_VALUE"""),"")</f>
        <v/>
      </c>
      <c r="D800" s="6" t="str">
        <f ca="1">IFERROR(__xludf.DUMMYFUNCTION("""COMPUTED_VALUE"""),"")</f>
        <v/>
      </c>
      <c r="E800" s="6" t="str">
        <f ca="1">IFERROR(__xludf.DUMMYFUNCTION("""COMPUTED_VALUE"""),"")</f>
        <v/>
      </c>
      <c r="F800" s="6" t="str">
        <f ca="1">IFERROR(__xludf.DUMMYFUNCTION("""COMPUTED_VALUE"""),"")</f>
        <v/>
      </c>
      <c r="G800" s="6" t="str">
        <f ca="1">IFERROR(__xludf.DUMMYFUNCTION("""COMPUTED_VALUE"""),"")</f>
        <v/>
      </c>
      <c r="H800" s="6" t="str">
        <f ca="1">IFERROR(__xludf.DUMMYFUNCTION("""COMPUTED_VALUE"""),"")</f>
        <v/>
      </c>
      <c r="I800" s="6" t="str">
        <f ca="1">IFERROR(__xludf.DUMMYFUNCTION("""COMPUTED_VALUE"""),"")</f>
        <v/>
      </c>
      <c r="J800" s="6" t="str">
        <f ca="1">IFERROR(__xludf.DUMMYFUNCTION("""COMPUTED_VALUE"""),"")</f>
        <v/>
      </c>
    </row>
    <row r="801" spans="1:10" x14ac:dyDescent="0.2">
      <c r="A801" s="6" t="str">
        <f ca="1">IFERROR(__xludf.DUMMYFUNCTION("""COMPUTED_VALUE"""),"")</f>
        <v/>
      </c>
      <c r="B801" s="6" t="str">
        <f ca="1">IFERROR(__xludf.DUMMYFUNCTION("""COMPUTED_VALUE"""),"")</f>
        <v/>
      </c>
      <c r="C801" s="6" t="str">
        <f ca="1">IFERROR(__xludf.DUMMYFUNCTION("""COMPUTED_VALUE"""),"")</f>
        <v/>
      </c>
      <c r="D801" s="6" t="str">
        <f ca="1">IFERROR(__xludf.DUMMYFUNCTION("""COMPUTED_VALUE"""),"")</f>
        <v/>
      </c>
      <c r="E801" s="6" t="str">
        <f ca="1">IFERROR(__xludf.DUMMYFUNCTION("""COMPUTED_VALUE"""),"")</f>
        <v/>
      </c>
      <c r="F801" s="6" t="str">
        <f ca="1">IFERROR(__xludf.DUMMYFUNCTION("""COMPUTED_VALUE"""),"")</f>
        <v/>
      </c>
      <c r="G801" s="6" t="str">
        <f ca="1">IFERROR(__xludf.DUMMYFUNCTION("""COMPUTED_VALUE"""),"")</f>
        <v/>
      </c>
      <c r="H801" s="6" t="str">
        <f ca="1">IFERROR(__xludf.DUMMYFUNCTION("""COMPUTED_VALUE"""),"")</f>
        <v/>
      </c>
      <c r="I801" s="6" t="str">
        <f ca="1">IFERROR(__xludf.DUMMYFUNCTION("""COMPUTED_VALUE"""),"")</f>
        <v/>
      </c>
      <c r="J801" s="6" t="str">
        <f ca="1">IFERROR(__xludf.DUMMYFUNCTION("""COMPUTED_VALUE"""),"")</f>
        <v/>
      </c>
    </row>
    <row r="802" spans="1:10" x14ac:dyDescent="0.2">
      <c r="A802" s="6" t="str">
        <f ca="1">IFERROR(__xludf.DUMMYFUNCTION("""COMPUTED_VALUE"""),"")</f>
        <v/>
      </c>
      <c r="B802" s="6" t="str">
        <f ca="1">IFERROR(__xludf.DUMMYFUNCTION("""COMPUTED_VALUE"""),"")</f>
        <v/>
      </c>
      <c r="C802" s="6" t="str">
        <f ca="1">IFERROR(__xludf.DUMMYFUNCTION("""COMPUTED_VALUE"""),"")</f>
        <v/>
      </c>
      <c r="D802" s="6" t="str">
        <f ca="1">IFERROR(__xludf.DUMMYFUNCTION("""COMPUTED_VALUE"""),"")</f>
        <v/>
      </c>
      <c r="E802" s="6" t="str">
        <f ca="1">IFERROR(__xludf.DUMMYFUNCTION("""COMPUTED_VALUE"""),"")</f>
        <v/>
      </c>
      <c r="F802" s="6" t="str">
        <f ca="1">IFERROR(__xludf.DUMMYFUNCTION("""COMPUTED_VALUE"""),"")</f>
        <v/>
      </c>
      <c r="G802" s="6" t="str">
        <f ca="1">IFERROR(__xludf.DUMMYFUNCTION("""COMPUTED_VALUE"""),"")</f>
        <v/>
      </c>
      <c r="H802" s="6" t="str">
        <f ca="1">IFERROR(__xludf.DUMMYFUNCTION("""COMPUTED_VALUE"""),"")</f>
        <v/>
      </c>
      <c r="I802" s="6" t="str">
        <f ca="1">IFERROR(__xludf.DUMMYFUNCTION("""COMPUTED_VALUE"""),"")</f>
        <v/>
      </c>
      <c r="J802" s="6" t="str">
        <f ca="1">IFERROR(__xludf.DUMMYFUNCTION("""COMPUTED_VALUE"""),"")</f>
        <v/>
      </c>
    </row>
    <row r="803" spans="1:10" x14ac:dyDescent="0.2">
      <c r="A803" s="6" t="str">
        <f ca="1">IFERROR(__xludf.DUMMYFUNCTION("""COMPUTED_VALUE"""),"")</f>
        <v/>
      </c>
      <c r="B803" s="6" t="str">
        <f ca="1">IFERROR(__xludf.DUMMYFUNCTION("""COMPUTED_VALUE"""),"")</f>
        <v/>
      </c>
      <c r="C803" s="6" t="str">
        <f ca="1">IFERROR(__xludf.DUMMYFUNCTION("""COMPUTED_VALUE"""),"")</f>
        <v/>
      </c>
      <c r="D803" s="6" t="str">
        <f ca="1">IFERROR(__xludf.DUMMYFUNCTION("""COMPUTED_VALUE"""),"")</f>
        <v/>
      </c>
      <c r="E803" s="6" t="str">
        <f ca="1">IFERROR(__xludf.DUMMYFUNCTION("""COMPUTED_VALUE"""),"")</f>
        <v/>
      </c>
      <c r="F803" s="6" t="str">
        <f ca="1">IFERROR(__xludf.DUMMYFUNCTION("""COMPUTED_VALUE"""),"")</f>
        <v/>
      </c>
      <c r="G803" s="6" t="str">
        <f ca="1">IFERROR(__xludf.DUMMYFUNCTION("""COMPUTED_VALUE"""),"")</f>
        <v/>
      </c>
      <c r="H803" s="6" t="str">
        <f ca="1">IFERROR(__xludf.DUMMYFUNCTION("""COMPUTED_VALUE"""),"")</f>
        <v/>
      </c>
      <c r="I803" s="6" t="str">
        <f ca="1">IFERROR(__xludf.DUMMYFUNCTION("""COMPUTED_VALUE"""),"")</f>
        <v/>
      </c>
      <c r="J803" s="6" t="str">
        <f ca="1">IFERROR(__xludf.DUMMYFUNCTION("""COMPUTED_VALUE"""),"")</f>
        <v/>
      </c>
    </row>
    <row r="804" spans="1:10" x14ac:dyDescent="0.2">
      <c r="A804" s="6" t="str">
        <f ca="1">IFERROR(__xludf.DUMMYFUNCTION("""COMPUTED_VALUE"""),"")</f>
        <v/>
      </c>
      <c r="B804" s="6" t="str">
        <f ca="1">IFERROR(__xludf.DUMMYFUNCTION("""COMPUTED_VALUE"""),"")</f>
        <v/>
      </c>
      <c r="C804" s="6" t="str">
        <f ca="1">IFERROR(__xludf.DUMMYFUNCTION("""COMPUTED_VALUE"""),"")</f>
        <v/>
      </c>
      <c r="D804" s="6" t="str">
        <f ca="1">IFERROR(__xludf.DUMMYFUNCTION("""COMPUTED_VALUE"""),"")</f>
        <v/>
      </c>
      <c r="E804" s="6" t="str">
        <f ca="1">IFERROR(__xludf.DUMMYFUNCTION("""COMPUTED_VALUE"""),"")</f>
        <v/>
      </c>
      <c r="F804" s="6" t="str">
        <f ca="1">IFERROR(__xludf.DUMMYFUNCTION("""COMPUTED_VALUE"""),"")</f>
        <v/>
      </c>
      <c r="G804" s="6" t="str">
        <f ca="1">IFERROR(__xludf.DUMMYFUNCTION("""COMPUTED_VALUE"""),"")</f>
        <v/>
      </c>
      <c r="H804" s="6" t="str">
        <f ca="1">IFERROR(__xludf.DUMMYFUNCTION("""COMPUTED_VALUE"""),"")</f>
        <v/>
      </c>
      <c r="I804" s="6" t="str">
        <f ca="1">IFERROR(__xludf.DUMMYFUNCTION("""COMPUTED_VALUE"""),"")</f>
        <v/>
      </c>
      <c r="J804" s="6" t="str">
        <f ca="1">IFERROR(__xludf.DUMMYFUNCTION("""COMPUTED_VALUE"""),"")</f>
        <v/>
      </c>
    </row>
    <row r="805" spans="1:10" x14ac:dyDescent="0.2">
      <c r="A805" s="6" t="str">
        <f ca="1">IFERROR(__xludf.DUMMYFUNCTION("""COMPUTED_VALUE"""),"")</f>
        <v/>
      </c>
      <c r="B805" s="6" t="str">
        <f ca="1">IFERROR(__xludf.DUMMYFUNCTION("""COMPUTED_VALUE"""),"")</f>
        <v/>
      </c>
      <c r="C805" s="6" t="str">
        <f ca="1">IFERROR(__xludf.DUMMYFUNCTION("""COMPUTED_VALUE"""),"")</f>
        <v/>
      </c>
      <c r="D805" s="6" t="str">
        <f ca="1">IFERROR(__xludf.DUMMYFUNCTION("""COMPUTED_VALUE"""),"")</f>
        <v/>
      </c>
      <c r="E805" s="6" t="str">
        <f ca="1">IFERROR(__xludf.DUMMYFUNCTION("""COMPUTED_VALUE"""),"")</f>
        <v/>
      </c>
      <c r="F805" s="6" t="str">
        <f ca="1">IFERROR(__xludf.DUMMYFUNCTION("""COMPUTED_VALUE"""),"")</f>
        <v/>
      </c>
      <c r="G805" s="6" t="str">
        <f ca="1">IFERROR(__xludf.DUMMYFUNCTION("""COMPUTED_VALUE"""),"")</f>
        <v/>
      </c>
      <c r="H805" s="6" t="str">
        <f ca="1">IFERROR(__xludf.DUMMYFUNCTION("""COMPUTED_VALUE"""),"")</f>
        <v/>
      </c>
      <c r="I805" s="6" t="str">
        <f ca="1">IFERROR(__xludf.DUMMYFUNCTION("""COMPUTED_VALUE"""),"")</f>
        <v/>
      </c>
      <c r="J805" s="6" t="str">
        <f ca="1">IFERROR(__xludf.DUMMYFUNCTION("""COMPUTED_VALUE"""),"")</f>
        <v/>
      </c>
    </row>
    <row r="806" spans="1:10" x14ac:dyDescent="0.2">
      <c r="A806" s="6" t="str">
        <f ca="1">IFERROR(__xludf.DUMMYFUNCTION("""COMPUTED_VALUE"""),"")</f>
        <v/>
      </c>
      <c r="B806" s="6" t="str">
        <f ca="1">IFERROR(__xludf.DUMMYFUNCTION("""COMPUTED_VALUE"""),"")</f>
        <v/>
      </c>
      <c r="C806" s="6" t="str">
        <f ca="1">IFERROR(__xludf.DUMMYFUNCTION("""COMPUTED_VALUE"""),"")</f>
        <v/>
      </c>
      <c r="D806" s="6" t="str">
        <f ca="1">IFERROR(__xludf.DUMMYFUNCTION("""COMPUTED_VALUE"""),"")</f>
        <v/>
      </c>
      <c r="E806" s="6" t="str">
        <f ca="1">IFERROR(__xludf.DUMMYFUNCTION("""COMPUTED_VALUE"""),"")</f>
        <v/>
      </c>
      <c r="F806" s="6" t="str">
        <f ca="1">IFERROR(__xludf.DUMMYFUNCTION("""COMPUTED_VALUE"""),"")</f>
        <v/>
      </c>
      <c r="G806" s="6" t="str">
        <f ca="1">IFERROR(__xludf.DUMMYFUNCTION("""COMPUTED_VALUE"""),"")</f>
        <v/>
      </c>
      <c r="H806" s="6" t="str">
        <f ca="1">IFERROR(__xludf.DUMMYFUNCTION("""COMPUTED_VALUE"""),"")</f>
        <v/>
      </c>
      <c r="I806" s="6" t="str">
        <f ca="1">IFERROR(__xludf.DUMMYFUNCTION("""COMPUTED_VALUE"""),"")</f>
        <v/>
      </c>
      <c r="J806" s="6" t="str">
        <f ca="1">IFERROR(__xludf.DUMMYFUNCTION("""COMPUTED_VALUE"""),"")</f>
        <v/>
      </c>
    </row>
    <row r="807" spans="1:10" x14ac:dyDescent="0.2">
      <c r="A807" s="6" t="str">
        <f ca="1">IFERROR(__xludf.DUMMYFUNCTION("""COMPUTED_VALUE"""),"")</f>
        <v/>
      </c>
      <c r="B807" s="6" t="str">
        <f ca="1">IFERROR(__xludf.DUMMYFUNCTION("""COMPUTED_VALUE"""),"")</f>
        <v/>
      </c>
      <c r="C807" s="6" t="str">
        <f ca="1">IFERROR(__xludf.DUMMYFUNCTION("""COMPUTED_VALUE"""),"")</f>
        <v/>
      </c>
      <c r="D807" s="6" t="str">
        <f ca="1">IFERROR(__xludf.DUMMYFUNCTION("""COMPUTED_VALUE"""),"")</f>
        <v/>
      </c>
      <c r="E807" s="6" t="str">
        <f ca="1">IFERROR(__xludf.DUMMYFUNCTION("""COMPUTED_VALUE"""),"")</f>
        <v/>
      </c>
      <c r="F807" s="6" t="str">
        <f ca="1">IFERROR(__xludf.DUMMYFUNCTION("""COMPUTED_VALUE"""),"")</f>
        <v/>
      </c>
      <c r="G807" s="6" t="str">
        <f ca="1">IFERROR(__xludf.DUMMYFUNCTION("""COMPUTED_VALUE"""),"")</f>
        <v/>
      </c>
      <c r="H807" s="6" t="str">
        <f ca="1">IFERROR(__xludf.DUMMYFUNCTION("""COMPUTED_VALUE"""),"")</f>
        <v/>
      </c>
      <c r="I807" s="6" t="str">
        <f ca="1">IFERROR(__xludf.DUMMYFUNCTION("""COMPUTED_VALUE"""),"")</f>
        <v/>
      </c>
      <c r="J807" s="6" t="str">
        <f ca="1">IFERROR(__xludf.DUMMYFUNCTION("""COMPUTED_VALUE"""),"")</f>
        <v/>
      </c>
    </row>
    <row r="808" spans="1:10" x14ac:dyDescent="0.2">
      <c r="A808" s="6" t="str">
        <f ca="1">IFERROR(__xludf.DUMMYFUNCTION("""COMPUTED_VALUE"""),"")</f>
        <v/>
      </c>
      <c r="B808" s="6" t="str">
        <f ca="1">IFERROR(__xludf.DUMMYFUNCTION("""COMPUTED_VALUE"""),"")</f>
        <v/>
      </c>
      <c r="C808" s="6" t="str">
        <f ca="1">IFERROR(__xludf.DUMMYFUNCTION("""COMPUTED_VALUE"""),"")</f>
        <v/>
      </c>
      <c r="D808" s="6" t="str">
        <f ca="1">IFERROR(__xludf.DUMMYFUNCTION("""COMPUTED_VALUE"""),"")</f>
        <v/>
      </c>
      <c r="E808" s="6" t="str">
        <f ca="1">IFERROR(__xludf.DUMMYFUNCTION("""COMPUTED_VALUE"""),"")</f>
        <v/>
      </c>
      <c r="F808" s="6" t="str">
        <f ca="1">IFERROR(__xludf.DUMMYFUNCTION("""COMPUTED_VALUE"""),"")</f>
        <v/>
      </c>
      <c r="G808" s="6" t="str">
        <f ca="1">IFERROR(__xludf.DUMMYFUNCTION("""COMPUTED_VALUE"""),"")</f>
        <v/>
      </c>
      <c r="H808" s="6" t="str">
        <f ca="1">IFERROR(__xludf.DUMMYFUNCTION("""COMPUTED_VALUE"""),"")</f>
        <v/>
      </c>
      <c r="I808" s="6" t="str">
        <f ca="1">IFERROR(__xludf.DUMMYFUNCTION("""COMPUTED_VALUE"""),"")</f>
        <v/>
      </c>
      <c r="J808" s="6" t="str">
        <f ca="1">IFERROR(__xludf.DUMMYFUNCTION("""COMPUTED_VALUE"""),"")</f>
        <v/>
      </c>
    </row>
    <row r="809" spans="1:10" x14ac:dyDescent="0.2">
      <c r="A809" s="6" t="str">
        <f ca="1">IFERROR(__xludf.DUMMYFUNCTION("""COMPUTED_VALUE"""),"")</f>
        <v/>
      </c>
      <c r="B809" s="6" t="str">
        <f ca="1">IFERROR(__xludf.DUMMYFUNCTION("""COMPUTED_VALUE"""),"")</f>
        <v/>
      </c>
      <c r="C809" s="6" t="str">
        <f ca="1">IFERROR(__xludf.DUMMYFUNCTION("""COMPUTED_VALUE"""),"")</f>
        <v/>
      </c>
      <c r="D809" s="6" t="str">
        <f ca="1">IFERROR(__xludf.DUMMYFUNCTION("""COMPUTED_VALUE"""),"")</f>
        <v/>
      </c>
      <c r="E809" s="6" t="str">
        <f ca="1">IFERROR(__xludf.DUMMYFUNCTION("""COMPUTED_VALUE"""),"")</f>
        <v/>
      </c>
      <c r="F809" s="6" t="str">
        <f ca="1">IFERROR(__xludf.DUMMYFUNCTION("""COMPUTED_VALUE"""),"")</f>
        <v/>
      </c>
      <c r="G809" s="6" t="str">
        <f ca="1">IFERROR(__xludf.DUMMYFUNCTION("""COMPUTED_VALUE"""),"")</f>
        <v/>
      </c>
      <c r="H809" s="6" t="str">
        <f ca="1">IFERROR(__xludf.DUMMYFUNCTION("""COMPUTED_VALUE"""),"")</f>
        <v/>
      </c>
      <c r="I809" s="6" t="str">
        <f ca="1">IFERROR(__xludf.DUMMYFUNCTION("""COMPUTED_VALUE"""),"")</f>
        <v/>
      </c>
      <c r="J809" s="6" t="str">
        <f ca="1">IFERROR(__xludf.DUMMYFUNCTION("""COMPUTED_VALUE"""),"")</f>
        <v/>
      </c>
    </row>
    <row r="810" spans="1:10" x14ac:dyDescent="0.2">
      <c r="A810" s="6" t="str">
        <f ca="1">IFERROR(__xludf.DUMMYFUNCTION("""COMPUTED_VALUE"""),"")</f>
        <v/>
      </c>
      <c r="B810" s="6" t="str">
        <f ca="1">IFERROR(__xludf.DUMMYFUNCTION("""COMPUTED_VALUE"""),"")</f>
        <v/>
      </c>
      <c r="C810" s="6" t="str">
        <f ca="1">IFERROR(__xludf.DUMMYFUNCTION("""COMPUTED_VALUE"""),"")</f>
        <v/>
      </c>
      <c r="D810" s="6" t="str">
        <f ca="1">IFERROR(__xludf.DUMMYFUNCTION("""COMPUTED_VALUE"""),"")</f>
        <v/>
      </c>
      <c r="E810" s="6" t="str">
        <f ca="1">IFERROR(__xludf.DUMMYFUNCTION("""COMPUTED_VALUE"""),"")</f>
        <v/>
      </c>
      <c r="F810" s="6" t="str">
        <f ca="1">IFERROR(__xludf.DUMMYFUNCTION("""COMPUTED_VALUE"""),"")</f>
        <v/>
      </c>
      <c r="G810" s="6" t="str">
        <f ca="1">IFERROR(__xludf.DUMMYFUNCTION("""COMPUTED_VALUE"""),"")</f>
        <v/>
      </c>
      <c r="H810" s="6" t="str">
        <f ca="1">IFERROR(__xludf.DUMMYFUNCTION("""COMPUTED_VALUE"""),"")</f>
        <v/>
      </c>
      <c r="I810" s="6" t="str">
        <f ca="1">IFERROR(__xludf.DUMMYFUNCTION("""COMPUTED_VALUE"""),"")</f>
        <v/>
      </c>
      <c r="J810" s="6" t="str">
        <f ca="1">IFERROR(__xludf.DUMMYFUNCTION("""COMPUTED_VALUE"""),"")</f>
        <v/>
      </c>
    </row>
    <row r="811" spans="1:10" x14ac:dyDescent="0.2">
      <c r="A811" s="6" t="str">
        <f ca="1">IFERROR(__xludf.DUMMYFUNCTION("""COMPUTED_VALUE"""),"")</f>
        <v/>
      </c>
      <c r="B811" s="6" t="str">
        <f ca="1">IFERROR(__xludf.DUMMYFUNCTION("""COMPUTED_VALUE"""),"")</f>
        <v/>
      </c>
      <c r="C811" s="6" t="str">
        <f ca="1">IFERROR(__xludf.DUMMYFUNCTION("""COMPUTED_VALUE"""),"")</f>
        <v/>
      </c>
      <c r="D811" s="6" t="str">
        <f ca="1">IFERROR(__xludf.DUMMYFUNCTION("""COMPUTED_VALUE"""),"")</f>
        <v/>
      </c>
      <c r="E811" s="6" t="str">
        <f ca="1">IFERROR(__xludf.DUMMYFUNCTION("""COMPUTED_VALUE"""),"")</f>
        <v/>
      </c>
      <c r="F811" s="6" t="str">
        <f ca="1">IFERROR(__xludf.DUMMYFUNCTION("""COMPUTED_VALUE"""),"")</f>
        <v/>
      </c>
      <c r="G811" s="6" t="str">
        <f ca="1">IFERROR(__xludf.DUMMYFUNCTION("""COMPUTED_VALUE"""),"")</f>
        <v/>
      </c>
      <c r="H811" s="6" t="str">
        <f ca="1">IFERROR(__xludf.DUMMYFUNCTION("""COMPUTED_VALUE"""),"")</f>
        <v/>
      </c>
      <c r="I811" s="6" t="str">
        <f ca="1">IFERROR(__xludf.DUMMYFUNCTION("""COMPUTED_VALUE"""),"")</f>
        <v/>
      </c>
      <c r="J811" s="6" t="str">
        <f ca="1">IFERROR(__xludf.DUMMYFUNCTION("""COMPUTED_VALUE"""),"")</f>
        <v/>
      </c>
    </row>
    <row r="812" spans="1:10" x14ac:dyDescent="0.2">
      <c r="A812" s="6" t="str">
        <f ca="1">IFERROR(__xludf.DUMMYFUNCTION("""COMPUTED_VALUE"""),"")</f>
        <v/>
      </c>
      <c r="B812" s="6" t="str">
        <f ca="1">IFERROR(__xludf.DUMMYFUNCTION("""COMPUTED_VALUE"""),"")</f>
        <v/>
      </c>
      <c r="C812" s="6" t="str">
        <f ca="1">IFERROR(__xludf.DUMMYFUNCTION("""COMPUTED_VALUE"""),"")</f>
        <v/>
      </c>
      <c r="D812" s="6" t="str">
        <f ca="1">IFERROR(__xludf.DUMMYFUNCTION("""COMPUTED_VALUE"""),"")</f>
        <v/>
      </c>
      <c r="E812" s="6" t="str">
        <f ca="1">IFERROR(__xludf.DUMMYFUNCTION("""COMPUTED_VALUE"""),"")</f>
        <v/>
      </c>
      <c r="F812" s="6" t="str">
        <f ca="1">IFERROR(__xludf.DUMMYFUNCTION("""COMPUTED_VALUE"""),"")</f>
        <v/>
      </c>
      <c r="G812" s="6" t="str">
        <f ca="1">IFERROR(__xludf.DUMMYFUNCTION("""COMPUTED_VALUE"""),"")</f>
        <v/>
      </c>
      <c r="H812" s="6" t="str">
        <f ca="1">IFERROR(__xludf.DUMMYFUNCTION("""COMPUTED_VALUE"""),"")</f>
        <v/>
      </c>
      <c r="I812" s="6" t="str">
        <f ca="1">IFERROR(__xludf.DUMMYFUNCTION("""COMPUTED_VALUE"""),"")</f>
        <v/>
      </c>
      <c r="J812" s="6" t="str">
        <f ca="1">IFERROR(__xludf.DUMMYFUNCTION("""COMPUTED_VALUE"""),"")</f>
        <v/>
      </c>
    </row>
    <row r="813" spans="1:10" x14ac:dyDescent="0.2">
      <c r="A813" s="6" t="str">
        <f ca="1">IFERROR(__xludf.DUMMYFUNCTION("""COMPUTED_VALUE"""),"")</f>
        <v/>
      </c>
      <c r="B813" s="6" t="str">
        <f ca="1">IFERROR(__xludf.DUMMYFUNCTION("""COMPUTED_VALUE"""),"")</f>
        <v/>
      </c>
      <c r="C813" s="6" t="str">
        <f ca="1">IFERROR(__xludf.DUMMYFUNCTION("""COMPUTED_VALUE"""),"")</f>
        <v/>
      </c>
      <c r="D813" s="6" t="str">
        <f ca="1">IFERROR(__xludf.DUMMYFUNCTION("""COMPUTED_VALUE"""),"")</f>
        <v/>
      </c>
      <c r="E813" s="6" t="str">
        <f ca="1">IFERROR(__xludf.DUMMYFUNCTION("""COMPUTED_VALUE"""),"")</f>
        <v/>
      </c>
      <c r="F813" s="6" t="str">
        <f ca="1">IFERROR(__xludf.DUMMYFUNCTION("""COMPUTED_VALUE"""),"")</f>
        <v/>
      </c>
      <c r="G813" s="6" t="str">
        <f ca="1">IFERROR(__xludf.DUMMYFUNCTION("""COMPUTED_VALUE"""),"")</f>
        <v/>
      </c>
      <c r="H813" s="6" t="str">
        <f ca="1">IFERROR(__xludf.DUMMYFUNCTION("""COMPUTED_VALUE"""),"")</f>
        <v/>
      </c>
      <c r="I813" s="6" t="str">
        <f ca="1">IFERROR(__xludf.DUMMYFUNCTION("""COMPUTED_VALUE"""),"")</f>
        <v/>
      </c>
      <c r="J813" s="6" t="str">
        <f ca="1">IFERROR(__xludf.DUMMYFUNCTION("""COMPUTED_VALUE"""),"")</f>
        <v/>
      </c>
    </row>
    <row r="814" spans="1:10" x14ac:dyDescent="0.2">
      <c r="A814" s="6" t="str">
        <f ca="1">IFERROR(__xludf.DUMMYFUNCTION("""COMPUTED_VALUE"""),"")</f>
        <v/>
      </c>
      <c r="B814" s="6" t="str">
        <f ca="1">IFERROR(__xludf.DUMMYFUNCTION("""COMPUTED_VALUE"""),"")</f>
        <v/>
      </c>
      <c r="C814" s="6" t="str">
        <f ca="1">IFERROR(__xludf.DUMMYFUNCTION("""COMPUTED_VALUE"""),"")</f>
        <v/>
      </c>
      <c r="D814" s="6" t="str">
        <f ca="1">IFERROR(__xludf.DUMMYFUNCTION("""COMPUTED_VALUE"""),"")</f>
        <v/>
      </c>
      <c r="E814" s="6" t="str">
        <f ca="1">IFERROR(__xludf.DUMMYFUNCTION("""COMPUTED_VALUE"""),"")</f>
        <v/>
      </c>
      <c r="F814" s="6" t="str">
        <f ca="1">IFERROR(__xludf.DUMMYFUNCTION("""COMPUTED_VALUE"""),"")</f>
        <v/>
      </c>
      <c r="G814" s="6" t="str">
        <f ca="1">IFERROR(__xludf.DUMMYFUNCTION("""COMPUTED_VALUE"""),"")</f>
        <v/>
      </c>
      <c r="H814" s="6" t="str">
        <f ca="1">IFERROR(__xludf.DUMMYFUNCTION("""COMPUTED_VALUE"""),"")</f>
        <v/>
      </c>
      <c r="I814" s="6" t="str">
        <f ca="1">IFERROR(__xludf.DUMMYFUNCTION("""COMPUTED_VALUE"""),"")</f>
        <v/>
      </c>
      <c r="J814" s="6" t="str">
        <f ca="1">IFERROR(__xludf.DUMMYFUNCTION("""COMPUTED_VALUE"""),"")</f>
        <v/>
      </c>
    </row>
    <row r="815" spans="1:10" x14ac:dyDescent="0.2">
      <c r="A815" s="6" t="str">
        <f ca="1">IFERROR(__xludf.DUMMYFUNCTION("""COMPUTED_VALUE"""),"")</f>
        <v/>
      </c>
      <c r="B815" s="6" t="str">
        <f ca="1">IFERROR(__xludf.DUMMYFUNCTION("""COMPUTED_VALUE"""),"")</f>
        <v/>
      </c>
      <c r="C815" s="6" t="str">
        <f ca="1">IFERROR(__xludf.DUMMYFUNCTION("""COMPUTED_VALUE"""),"")</f>
        <v/>
      </c>
      <c r="D815" s="6" t="str">
        <f ca="1">IFERROR(__xludf.DUMMYFUNCTION("""COMPUTED_VALUE"""),"")</f>
        <v/>
      </c>
      <c r="E815" s="6" t="str">
        <f ca="1">IFERROR(__xludf.DUMMYFUNCTION("""COMPUTED_VALUE"""),"")</f>
        <v/>
      </c>
      <c r="F815" s="6" t="str">
        <f ca="1">IFERROR(__xludf.DUMMYFUNCTION("""COMPUTED_VALUE"""),"")</f>
        <v/>
      </c>
      <c r="G815" s="6" t="str">
        <f ca="1">IFERROR(__xludf.DUMMYFUNCTION("""COMPUTED_VALUE"""),"")</f>
        <v/>
      </c>
      <c r="H815" s="6" t="str">
        <f ca="1">IFERROR(__xludf.DUMMYFUNCTION("""COMPUTED_VALUE"""),"")</f>
        <v/>
      </c>
      <c r="I815" s="6" t="str">
        <f ca="1">IFERROR(__xludf.DUMMYFUNCTION("""COMPUTED_VALUE"""),"")</f>
        <v/>
      </c>
      <c r="J815" s="6" t="str">
        <f ca="1">IFERROR(__xludf.DUMMYFUNCTION("""COMPUTED_VALUE"""),"")</f>
        <v/>
      </c>
    </row>
    <row r="816" spans="1:10" x14ac:dyDescent="0.2">
      <c r="A816" s="6" t="str">
        <f ca="1">IFERROR(__xludf.DUMMYFUNCTION("""COMPUTED_VALUE"""),"")</f>
        <v/>
      </c>
      <c r="B816" s="6" t="str">
        <f ca="1">IFERROR(__xludf.DUMMYFUNCTION("""COMPUTED_VALUE"""),"")</f>
        <v/>
      </c>
      <c r="C816" s="6" t="str">
        <f ca="1">IFERROR(__xludf.DUMMYFUNCTION("""COMPUTED_VALUE"""),"")</f>
        <v/>
      </c>
      <c r="D816" s="6" t="str">
        <f ca="1">IFERROR(__xludf.DUMMYFUNCTION("""COMPUTED_VALUE"""),"")</f>
        <v/>
      </c>
      <c r="E816" s="6" t="str">
        <f ca="1">IFERROR(__xludf.DUMMYFUNCTION("""COMPUTED_VALUE"""),"")</f>
        <v/>
      </c>
      <c r="F816" s="6" t="str">
        <f ca="1">IFERROR(__xludf.DUMMYFUNCTION("""COMPUTED_VALUE"""),"")</f>
        <v/>
      </c>
      <c r="G816" s="6" t="str">
        <f ca="1">IFERROR(__xludf.DUMMYFUNCTION("""COMPUTED_VALUE"""),"")</f>
        <v/>
      </c>
      <c r="H816" s="6" t="str">
        <f ca="1">IFERROR(__xludf.DUMMYFUNCTION("""COMPUTED_VALUE"""),"")</f>
        <v/>
      </c>
      <c r="I816" s="6" t="str">
        <f ca="1">IFERROR(__xludf.DUMMYFUNCTION("""COMPUTED_VALUE"""),"")</f>
        <v/>
      </c>
      <c r="J816" s="6" t="str">
        <f ca="1">IFERROR(__xludf.DUMMYFUNCTION("""COMPUTED_VALUE"""),"")</f>
        <v/>
      </c>
    </row>
    <row r="817" spans="1:10" x14ac:dyDescent="0.2">
      <c r="A817" s="6" t="str">
        <f ca="1">IFERROR(__xludf.DUMMYFUNCTION("""COMPUTED_VALUE"""),"")</f>
        <v/>
      </c>
      <c r="B817" s="6" t="str">
        <f ca="1">IFERROR(__xludf.DUMMYFUNCTION("""COMPUTED_VALUE"""),"")</f>
        <v/>
      </c>
      <c r="C817" s="6" t="str">
        <f ca="1">IFERROR(__xludf.DUMMYFUNCTION("""COMPUTED_VALUE"""),"")</f>
        <v/>
      </c>
      <c r="D817" s="6" t="str">
        <f ca="1">IFERROR(__xludf.DUMMYFUNCTION("""COMPUTED_VALUE"""),"")</f>
        <v/>
      </c>
      <c r="E817" s="6" t="str">
        <f ca="1">IFERROR(__xludf.DUMMYFUNCTION("""COMPUTED_VALUE"""),"")</f>
        <v/>
      </c>
      <c r="F817" s="6" t="str">
        <f ca="1">IFERROR(__xludf.DUMMYFUNCTION("""COMPUTED_VALUE"""),"")</f>
        <v/>
      </c>
      <c r="G817" s="6" t="str">
        <f ca="1">IFERROR(__xludf.DUMMYFUNCTION("""COMPUTED_VALUE"""),"")</f>
        <v/>
      </c>
      <c r="H817" s="6" t="str">
        <f ca="1">IFERROR(__xludf.DUMMYFUNCTION("""COMPUTED_VALUE"""),"")</f>
        <v/>
      </c>
      <c r="I817" s="6" t="str">
        <f ca="1">IFERROR(__xludf.DUMMYFUNCTION("""COMPUTED_VALUE"""),"")</f>
        <v/>
      </c>
      <c r="J817" s="6" t="str">
        <f ca="1">IFERROR(__xludf.DUMMYFUNCTION("""COMPUTED_VALUE"""),"")</f>
        <v/>
      </c>
    </row>
    <row r="818" spans="1:10" x14ac:dyDescent="0.2">
      <c r="A818" s="6" t="str">
        <f ca="1">IFERROR(__xludf.DUMMYFUNCTION("""COMPUTED_VALUE"""),"")</f>
        <v/>
      </c>
      <c r="B818" s="6" t="str">
        <f ca="1">IFERROR(__xludf.DUMMYFUNCTION("""COMPUTED_VALUE"""),"")</f>
        <v/>
      </c>
      <c r="C818" s="6" t="str">
        <f ca="1">IFERROR(__xludf.DUMMYFUNCTION("""COMPUTED_VALUE"""),"")</f>
        <v/>
      </c>
      <c r="D818" s="6" t="str">
        <f ca="1">IFERROR(__xludf.DUMMYFUNCTION("""COMPUTED_VALUE"""),"")</f>
        <v/>
      </c>
      <c r="E818" s="6" t="str">
        <f ca="1">IFERROR(__xludf.DUMMYFUNCTION("""COMPUTED_VALUE"""),"")</f>
        <v/>
      </c>
      <c r="F818" s="6" t="str">
        <f ca="1">IFERROR(__xludf.DUMMYFUNCTION("""COMPUTED_VALUE"""),"")</f>
        <v/>
      </c>
      <c r="G818" s="6" t="str">
        <f ca="1">IFERROR(__xludf.DUMMYFUNCTION("""COMPUTED_VALUE"""),"")</f>
        <v/>
      </c>
      <c r="H818" s="6" t="str">
        <f ca="1">IFERROR(__xludf.DUMMYFUNCTION("""COMPUTED_VALUE"""),"")</f>
        <v/>
      </c>
      <c r="I818" s="6" t="str">
        <f ca="1">IFERROR(__xludf.DUMMYFUNCTION("""COMPUTED_VALUE"""),"")</f>
        <v/>
      </c>
      <c r="J818" s="6" t="str">
        <f ca="1">IFERROR(__xludf.DUMMYFUNCTION("""COMPUTED_VALUE"""),"")</f>
        <v/>
      </c>
    </row>
    <row r="819" spans="1:10" x14ac:dyDescent="0.2">
      <c r="A819" s="6" t="str">
        <f ca="1">IFERROR(__xludf.DUMMYFUNCTION("""COMPUTED_VALUE"""),"")</f>
        <v/>
      </c>
      <c r="B819" s="6" t="str">
        <f ca="1">IFERROR(__xludf.DUMMYFUNCTION("""COMPUTED_VALUE"""),"")</f>
        <v/>
      </c>
      <c r="C819" s="6" t="str">
        <f ca="1">IFERROR(__xludf.DUMMYFUNCTION("""COMPUTED_VALUE"""),"")</f>
        <v/>
      </c>
      <c r="D819" s="6" t="str">
        <f ca="1">IFERROR(__xludf.DUMMYFUNCTION("""COMPUTED_VALUE"""),"")</f>
        <v/>
      </c>
      <c r="E819" s="6" t="str">
        <f ca="1">IFERROR(__xludf.DUMMYFUNCTION("""COMPUTED_VALUE"""),"")</f>
        <v/>
      </c>
      <c r="F819" s="6" t="str">
        <f ca="1">IFERROR(__xludf.DUMMYFUNCTION("""COMPUTED_VALUE"""),"")</f>
        <v/>
      </c>
      <c r="G819" s="6" t="str">
        <f ca="1">IFERROR(__xludf.DUMMYFUNCTION("""COMPUTED_VALUE"""),"")</f>
        <v/>
      </c>
      <c r="H819" s="6" t="str">
        <f ca="1">IFERROR(__xludf.DUMMYFUNCTION("""COMPUTED_VALUE"""),"")</f>
        <v/>
      </c>
      <c r="I819" s="6" t="str">
        <f ca="1">IFERROR(__xludf.DUMMYFUNCTION("""COMPUTED_VALUE"""),"")</f>
        <v/>
      </c>
      <c r="J819" s="6" t="str">
        <f ca="1">IFERROR(__xludf.DUMMYFUNCTION("""COMPUTED_VALUE"""),"")</f>
        <v/>
      </c>
    </row>
    <row r="820" spans="1:10" x14ac:dyDescent="0.2">
      <c r="A820" s="6" t="str">
        <f ca="1">IFERROR(__xludf.DUMMYFUNCTION("""COMPUTED_VALUE"""),"")</f>
        <v/>
      </c>
      <c r="B820" s="6" t="str">
        <f ca="1">IFERROR(__xludf.DUMMYFUNCTION("""COMPUTED_VALUE"""),"")</f>
        <v/>
      </c>
      <c r="C820" s="6" t="str">
        <f ca="1">IFERROR(__xludf.DUMMYFUNCTION("""COMPUTED_VALUE"""),"")</f>
        <v/>
      </c>
      <c r="D820" s="6" t="str">
        <f ca="1">IFERROR(__xludf.DUMMYFUNCTION("""COMPUTED_VALUE"""),"")</f>
        <v/>
      </c>
      <c r="E820" s="6" t="str">
        <f ca="1">IFERROR(__xludf.DUMMYFUNCTION("""COMPUTED_VALUE"""),"")</f>
        <v/>
      </c>
      <c r="F820" s="6" t="str">
        <f ca="1">IFERROR(__xludf.DUMMYFUNCTION("""COMPUTED_VALUE"""),"")</f>
        <v/>
      </c>
      <c r="G820" s="6" t="str">
        <f ca="1">IFERROR(__xludf.DUMMYFUNCTION("""COMPUTED_VALUE"""),"")</f>
        <v/>
      </c>
      <c r="H820" s="6" t="str">
        <f ca="1">IFERROR(__xludf.DUMMYFUNCTION("""COMPUTED_VALUE"""),"")</f>
        <v/>
      </c>
      <c r="I820" s="6" t="str">
        <f ca="1">IFERROR(__xludf.DUMMYFUNCTION("""COMPUTED_VALUE"""),"")</f>
        <v/>
      </c>
      <c r="J820" s="6" t="str">
        <f ca="1">IFERROR(__xludf.DUMMYFUNCTION("""COMPUTED_VALUE"""),"")</f>
        <v/>
      </c>
    </row>
    <row r="821" spans="1:10" x14ac:dyDescent="0.2">
      <c r="A821" s="6" t="str">
        <f ca="1">IFERROR(__xludf.DUMMYFUNCTION("""COMPUTED_VALUE"""),"")</f>
        <v/>
      </c>
      <c r="B821" s="6" t="str">
        <f ca="1">IFERROR(__xludf.DUMMYFUNCTION("""COMPUTED_VALUE"""),"")</f>
        <v/>
      </c>
      <c r="C821" s="6" t="str">
        <f ca="1">IFERROR(__xludf.DUMMYFUNCTION("""COMPUTED_VALUE"""),"")</f>
        <v/>
      </c>
      <c r="D821" s="6" t="str">
        <f ca="1">IFERROR(__xludf.DUMMYFUNCTION("""COMPUTED_VALUE"""),"")</f>
        <v/>
      </c>
      <c r="E821" s="6" t="str">
        <f ca="1">IFERROR(__xludf.DUMMYFUNCTION("""COMPUTED_VALUE"""),"")</f>
        <v/>
      </c>
      <c r="F821" s="6" t="str">
        <f ca="1">IFERROR(__xludf.DUMMYFUNCTION("""COMPUTED_VALUE"""),"")</f>
        <v/>
      </c>
      <c r="G821" s="6" t="str">
        <f ca="1">IFERROR(__xludf.DUMMYFUNCTION("""COMPUTED_VALUE"""),"")</f>
        <v/>
      </c>
      <c r="H821" s="6" t="str">
        <f ca="1">IFERROR(__xludf.DUMMYFUNCTION("""COMPUTED_VALUE"""),"")</f>
        <v/>
      </c>
      <c r="I821" s="6" t="str">
        <f ca="1">IFERROR(__xludf.DUMMYFUNCTION("""COMPUTED_VALUE"""),"")</f>
        <v/>
      </c>
      <c r="J821" s="6" t="str">
        <f ca="1">IFERROR(__xludf.DUMMYFUNCTION("""COMPUTED_VALUE"""),"")</f>
        <v/>
      </c>
    </row>
    <row r="822" spans="1:10" x14ac:dyDescent="0.2">
      <c r="A822" s="6" t="str">
        <f ca="1">IFERROR(__xludf.DUMMYFUNCTION("""COMPUTED_VALUE"""),"")</f>
        <v/>
      </c>
      <c r="B822" s="6" t="str">
        <f ca="1">IFERROR(__xludf.DUMMYFUNCTION("""COMPUTED_VALUE"""),"")</f>
        <v/>
      </c>
      <c r="C822" s="6" t="str">
        <f ca="1">IFERROR(__xludf.DUMMYFUNCTION("""COMPUTED_VALUE"""),"")</f>
        <v/>
      </c>
      <c r="D822" s="6" t="str">
        <f ca="1">IFERROR(__xludf.DUMMYFUNCTION("""COMPUTED_VALUE"""),"")</f>
        <v/>
      </c>
      <c r="E822" s="6" t="str">
        <f ca="1">IFERROR(__xludf.DUMMYFUNCTION("""COMPUTED_VALUE"""),"")</f>
        <v/>
      </c>
      <c r="F822" s="6" t="str">
        <f ca="1">IFERROR(__xludf.DUMMYFUNCTION("""COMPUTED_VALUE"""),"")</f>
        <v/>
      </c>
      <c r="G822" s="6" t="str">
        <f ca="1">IFERROR(__xludf.DUMMYFUNCTION("""COMPUTED_VALUE"""),"")</f>
        <v/>
      </c>
      <c r="H822" s="6" t="str">
        <f ca="1">IFERROR(__xludf.DUMMYFUNCTION("""COMPUTED_VALUE"""),"")</f>
        <v/>
      </c>
      <c r="I822" s="6" t="str">
        <f ca="1">IFERROR(__xludf.DUMMYFUNCTION("""COMPUTED_VALUE"""),"")</f>
        <v/>
      </c>
      <c r="J822" s="6" t="str">
        <f ca="1">IFERROR(__xludf.DUMMYFUNCTION("""COMPUTED_VALUE"""),"")</f>
        <v/>
      </c>
    </row>
    <row r="823" spans="1:10" x14ac:dyDescent="0.2">
      <c r="A823" s="6" t="str">
        <f ca="1">IFERROR(__xludf.DUMMYFUNCTION("""COMPUTED_VALUE"""),"")</f>
        <v/>
      </c>
      <c r="B823" s="6" t="str">
        <f ca="1">IFERROR(__xludf.DUMMYFUNCTION("""COMPUTED_VALUE"""),"")</f>
        <v/>
      </c>
      <c r="C823" s="6" t="str">
        <f ca="1">IFERROR(__xludf.DUMMYFUNCTION("""COMPUTED_VALUE"""),"")</f>
        <v/>
      </c>
      <c r="D823" s="6" t="str">
        <f ca="1">IFERROR(__xludf.DUMMYFUNCTION("""COMPUTED_VALUE"""),"")</f>
        <v/>
      </c>
      <c r="E823" s="6" t="str">
        <f ca="1">IFERROR(__xludf.DUMMYFUNCTION("""COMPUTED_VALUE"""),"")</f>
        <v/>
      </c>
      <c r="F823" s="6" t="str">
        <f ca="1">IFERROR(__xludf.DUMMYFUNCTION("""COMPUTED_VALUE"""),"")</f>
        <v/>
      </c>
      <c r="G823" s="6" t="str">
        <f ca="1">IFERROR(__xludf.DUMMYFUNCTION("""COMPUTED_VALUE"""),"")</f>
        <v/>
      </c>
      <c r="H823" s="6" t="str">
        <f ca="1">IFERROR(__xludf.DUMMYFUNCTION("""COMPUTED_VALUE"""),"")</f>
        <v/>
      </c>
      <c r="I823" s="6" t="str">
        <f ca="1">IFERROR(__xludf.DUMMYFUNCTION("""COMPUTED_VALUE"""),"")</f>
        <v/>
      </c>
      <c r="J823" s="6" t="str">
        <f ca="1">IFERROR(__xludf.DUMMYFUNCTION("""COMPUTED_VALUE"""),"")</f>
        <v/>
      </c>
    </row>
    <row r="824" spans="1:10" x14ac:dyDescent="0.2">
      <c r="A824" s="6" t="str">
        <f ca="1">IFERROR(__xludf.DUMMYFUNCTION("""COMPUTED_VALUE"""),"")</f>
        <v/>
      </c>
      <c r="B824" s="6" t="str">
        <f ca="1">IFERROR(__xludf.DUMMYFUNCTION("""COMPUTED_VALUE"""),"")</f>
        <v/>
      </c>
      <c r="C824" s="6" t="str">
        <f ca="1">IFERROR(__xludf.DUMMYFUNCTION("""COMPUTED_VALUE"""),"")</f>
        <v/>
      </c>
      <c r="D824" s="6" t="str">
        <f ca="1">IFERROR(__xludf.DUMMYFUNCTION("""COMPUTED_VALUE"""),"")</f>
        <v/>
      </c>
      <c r="E824" s="6" t="str">
        <f ca="1">IFERROR(__xludf.DUMMYFUNCTION("""COMPUTED_VALUE"""),"")</f>
        <v/>
      </c>
      <c r="F824" s="6" t="str">
        <f ca="1">IFERROR(__xludf.DUMMYFUNCTION("""COMPUTED_VALUE"""),"")</f>
        <v/>
      </c>
      <c r="G824" s="6" t="str">
        <f ca="1">IFERROR(__xludf.DUMMYFUNCTION("""COMPUTED_VALUE"""),"")</f>
        <v/>
      </c>
      <c r="H824" s="6" t="str">
        <f ca="1">IFERROR(__xludf.DUMMYFUNCTION("""COMPUTED_VALUE"""),"")</f>
        <v/>
      </c>
      <c r="I824" s="6" t="str">
        <f ca="1">IFERROR(__xludf.DUMMYFUNCTION("""COMPUTED_VALUE"""),"")</f>
        <v/>
      </c>
      <c r="J824" s="6" t="str">
        <f ca="1">IFERROR(__xludf.DUMMYFUNCTION("""COMPUTED_VALUE"""),"")</f>
        <v/>
      </c>
    </row>
    <row r="825" spans="1:10" x14ac:dyDescent="0.2">
      <c r="A825" s="6" t="str">
        <f ca="1">IFERROR(__xludf.DUMMYFUNCTION("""COMPUTED_VALUE"""),"")</f>
        <v/>
      </c>
      <c r="B825" s="6" t="str">
        <f ca="1">IFERROR(__xludf.DUMMYFUNCTION("""COMPUTED_VALUE"""),"")</f>
        <v/>
      </c>
      <c r="C825" s="6" t="str">
        <f ca="1">IFERROR(__xludf.DUMMYFUNCTION("""COMPUTED_VALUE"""),"")</f>
        <v/>
      </c>
      <c r="D825" s="6" t="str">
        <f ca="1">IFERROR(__xludf.DUMMYFUNCTION("""COMPUTED_VALUE"""),"")</f>
        <v/>
      </c>
      <c r="E825" s="6" t="str">
        <f ca="1">IFERROR(__xludf.DUMMYFUNCTION("""COMPUTED_VALUE"""),"")</f>
        <v/>
      </c>
      <c r="F825" s="6" t="str">
        <f ca="1">IFERROR(__xludf.DUMMYFUNCTION("""COMPUTED_VALUE"""),"")</f>
        <v/>
      </c>
      <c r="G825" s="6" t="str">
        <f ca="1">IFERROR(__xludf.DUMMYFUNCTION("""COMPUTED_VALUE"""),"")</f>
        <v/>
      </c>
      <c r="H825" s="6" t="str">
        <f ca="1">IFERROR(__xludf.DUMMYFUNCTION("""COMPUTED_VALUE"""),"")</f>
        <v/>
      </c>
      <c r="I825" s="6" t="str">
        <f ca="1">IFERROR(__xludf.DUMMYFUNCTION("""COMPUTED_VALUE"""),"")</f>
        <v/>
      </c>
      <c r="J825" s="6" t="str">
        <f ca="1">IFERROR(__xludf.DUMMYFUNCTION("""COMPUTED_VALUE"""),"")</f>
        <v/>
      </c>
    </row>
    <row r="826" spans="1:10" x14ac:dyDescent="0.2">
      <c r="A826" s="6" t="str">
        <f ca="1">IFERROR(__xludf.DUMMYFUNCTION("""COMPUTED_VALUE"""),"")</f>
        <v/>
      </c>
      <c r="B826" s="6" t="str">
        <f ca="1">IFERROR(__xludf.DUMMYFUNCTION("""COMPUTED_VALUE"""),"")</f>
        <v/>
      </c>
      <c r="C826" s="6" t="str">
        <f ca="1">IFERROR(__xludf.DUMMYFUNCTION("""COMPUTED_VALUE"""),"")</f>
        <v/>
      </c>
      <c r="D826" s="6" t="str">
        <f ca="1">IFERROR(__xludf.DUMMYFUNCTION("""COMPUTED_VALUE"""),"")</f>
        <v/>
      </c>
      <c r="E826" s="6" t="str">
        <f ca="1">IFERROR(__xludf.DUMMYFUNCTION("""COMPUTED_VALUE"""),"")</f>
        <v/>
      </c>
      <c r="F826" s="6" t="str">
        <f ca="1">IFERROR(__xludf.DUMMYFUNCTION("""COMPUTED_VALUE"""),"")</f>
        <v/>
      </c>
      <c r="G826" s="6" t="str">
        <f ca="1">IFERROR(__xludf.DUMMYFUNCTION("""COMPUTED_VALUE"""),"")</f>
        <v/>
      </c>
      <c r="H826" s="6" t="str">
        <f ca="1">IFERROR(__xludf.DUMMYFUNCTION("""COMPUTED_VALUE"""),"")</f>
        <v/>
      </c>
      <c r="I826" s="6" t="str">
        <f ca="1">IFERROR(__xludf.DUMMYFUNCTION("""COMPUTED_VALUE"""),"")</f>
        <v/>
      </c>
      <c r="J826" s="6" t="str">
        <f ca="1">IFERROR(__xludf.DUMMYFUNCTION("""COMPUTED_VALUE"""),"")</f>
        <v/>
      </c>
    </row>
    <row r="827" spans="1:10" x14ac:dyDescent="0.2">
      <c r="A827" s="6" t="str">
        <f ca="1">IFERROR(__xludf.DUMMYFUNCTION("""COMPUTED_VALUE"""),"")</f>
        <v/>
      </c>
      <c r="B827" s="6" t="str">
        <f ca="1">IFERROR(__xludf.DUMMYFUNCTION("""COMPUTED_VALUE"""),"")</f>
        <v/>
      </c>
      <c r="C827" s="6" t="str">
        <f ca="1">IFERROR(__xludf.DUMMYFUNCTION("""COMPUTED_VALUE"""),"")</f>
        <v/>
      </c>
      <c r="D827" s="6" t="str">
        <f ca="1">IFERROR(__xludf.DUMMYFUNCTION("""COMPUTED_VALUE"""),"")</f>
        <v/>
      </c>
      <c r="E827" s="6" t="str">
        <f ca="1">IFERROR(__xludf.DUMMYFUNCTION("""COMPUTED_VALUE"""),"")</f>
        <v/>
      </c>
      <c r="F827" s="6" t="str">
        <f ca="1">IFERROR(__xludf.DUMMYFUNCTION("""COMPUTED_VALUE"""),"")</f>
        <v/>
      </c>
      <c r="G827" s="6" t="str">
        <f ca="1">IFERROR(__xludf.DUMMYFUNCTION("""COMPUTED_VALUE"""),"")</f>
        <v/>
      </c>
      <c r="H827" s="6" t="str">
        <f ca="1">IFERROR(__xludf.DUMMYFUNCTION("""COMPUTED_VALUE"""),"")</f>
        <v/>
      </c>
      <c r="I827" s="6" t="str">
        <f ca="1">IFERROR(__xludf.DUMMYFUNCTION("""COMPUTED_VALUE"""),"")</f>
        <v/>
      </c>
      <c r="J827" s="6" t="str">
        <f ca="1">IFERROR(__xludf.DUMMYFUNCTION("""COMPUTED_VALUE"""),"")</f>
        <v/>
      </c>
    </row>
    <row r="828" spans="1:10" x14ac:dyDescent="0.2">
      <c r="A828" s="6" t="str">
        <f ca="1">IFERROR(__xludf.DUMMYFUNCTION("""COMPUTED_VALUE"""),"")</f>
        <v/>
      </c>
      <c r="B828" s="6" t="str">
        <f ca="1">IFERROR(__xludf.DUMMYFUNCTION("""COMPUTED_VALUE"""),"")</f>
        <v/>
      </c>
      <c r="C828" s="6" t="str">
        <f ca="1">IFERROR(__xludf.DUMMYFUNCTION("""COMPUTED_VALUE"""),"")</f>
        <v/>
      </c>
      <c r="D828" s="6" t="str">
        <f ca="1">IFERROR(__xludf.DUMMYFUNCTION("""COMPUTED_VALUE"""),"")</f>
        <v/>
      </c>
      <c r="E828" s="6" t="str">
        <f ca="1">IFERROR(__xludf.DUMMYFUNCTION("""COMPUTED_VALUE"""),"")</f>
        <v/>
      </c>
      <c r="F828" s="6" t="str">
        <f ca="1">IFERROR(__xludf.DUMMYFUNCTION("""COMPUTED_VALUE"""),"")</f>
        <v/>
      </c>
      <c r="G828" s="6" t="str">
        <f ca="1">IFERROR(__xludf.DUMMYFUNCTION("""COMPUTED_VALUE"""),"")</f>
        <v/>
      </c>
      <c r="H828" s="6" t="str">
        <f ca="1">IFERROR(__xludf.DUMMYFUNCTION("""COMPUTED_VALUE"""),"")</f>
        <v/>
      </c>
      <c r="I828" s="6" t="str">
        <f ca="1">IFERROR(__xludf.DUMMYFUNCTION("""COMPUTED_VALUE"""),"")</f>
        <v/>
      </c>
      <c r="J828" s="6" t="str">
        <f ca="1">IFERROR(__xludf.DUMMYFUNCTION("""COMPUTED_VALUE"""),"")</f>
        <v/>
      </c>
    </row>
    <row r="829" spans="1:10" x14ac:dyDescent="0.2">
      <c r="A829" s="6" t="str">
        <f ca="1">IFERROR(__xludf.DUMMYFUNCTION("""COMPUTED_VALUE"""),"")</f>
        <v/>
      </c>
      <c r="B829" s="6" t="str">
        <f ca="1">IFERROR(__xludf.DUMMYFUNCTION("""COMPUTED_VALUE"""),"")</f>
        <v/>
      </c>
      <c r="C829" s="6" t="str">
        <f ca="1">IFERROR(__xludf.DUMMYFUNCTION("""COMPUTED_VALUE"""),"")</f>
        <v/>
      </c>
      <c r="D829" s="6" t="str">
        <f ca="1">IFERROR(__xludf.DUMMYFUNCTION("""COMPUTED_VALUE"""),"")</f>
        <v/>
      </c>
      <c r="E829" s="6" t="str">
        <f ca="1">IFERROR(__xludf.DUMMYFUNCTION("""COMPUTED_VALUE"""),"")</f>
        <v/>
      </c>
      <c r="F829" s="6" t="str">
        <f ca="1">IFERROR(__xludf.DUMMYFUNCTION("""COMPUTED_VALUE"""),"")</f>
        <v/>
      </c>
      <c r="G829" s="6" t="str">
        <f ca="1">IFERROR(__xludf.DUMMYFUNCTION("""COMPUTED_VALUE"""),"")</f>
        <v/>
      </c>
      <c r="H829" s="6" t="str">
        <f ca="1">IFERROR(__xludf.DUMMYFUNCTION("""COMPUTED_VALUE"""),"")</f>
        <v/>
      </c>
      <c r="I829" s="6" t="str">
        <f ca="1">IFERROR(__xludf.DUMMYFUNCTION("""COMPUTED_VALUE"""),"")</f>
        <v/>
      </c>
      <c r="J829" s="6" t="str">
        <f ca="1">IFERROR(__xludf.DUMMYFUNCTION("""COMPUTED_VALUE"""),"")</f>
        <v/>
      </c>
    </row>
    <row r="830" spans="1:10" x14ac:dyDescent="0.2">
      <c r="A830" s="6" t="str">
        <f ca="1">IFERROR(__xludf.DUMMYFUNCTION("""COMPUTED_VALUE"""),"")</f>
        <v/>
      </c>
      <c r="B830" s="6" t="str">
        <f ca="1">IFERROR(__xludf.DUMMYFUNCTION("""COMPUTED_VALUE"""),"")</f>
        <v/>
      </c>
      <c r="C830" s="6" t="str">
        <f ca="1">IFERROR(__xludf.DUMMYFUNCTION("""COMPUTED_VALUE"""),"")</f>
        <v/>
      </c>
      <c r="D830" s="6" t="str">
        <f ca="1">IFERROR(__xludf.DUMMYFUNCTION("""COMPUTED_VALUE"""),"")</f>
        <v/>
      </c>
      <c r="E830" s="6" t="str">
        <f ca="1">IFERROR(__xludf.DUMMYFUNCTION("""COMPUTED_VALUE"""),"")</f>
        <v/>
      </c>
      <c r="F830" s="6" t="str">
        <f ca="1">IFERROR(__xludf.DUMMYFUNCTION("""COMPUTED_VALUE"""),"")</f>
        <v/>
      </c>
      <c r="G830" s="6" t="str">
        <f ca="1">IFERROR(__xludf.DUMMYFUNCTION("""COMPUTED_VALUE"""),"")</f>
        <v/>
      </c>
      <c r="H830" s="6" t="str">
        <f ca="1">IFERROR(__xludf.DUMMYFUNCTION("""COMPUTED_VALUE"""),"")</f>
        <v/>
      </c>
      <c r="I830" s="6" t="str">
        <f ca="1">IFERROR(__xludf.DUMMYFUNCTION("""COMPUTED_VALUE"""),"")</f>
        <v/>
      </c>
      <c r="J830" s="6" t="str">
        <f ca="1">IFERROR(__xludf.DUMMYFUNCTION("""COMPUTED_VALUE"""),"")</f>
        <v/>
      </c>
    </row>
    <row r="831" spans="1:10" x14ac:dyDescent="0.2">
      <c r="A831" s="6" t="str">
        <f ca="1">IFERROR(__xludf.DUMMYFUNCTION("""COMPUTED_VALUE"""),"")</f>
        <v/>
      </c>
      <c r="B831" s="6" t="str">
        <f ca="1">IFERROR(__xludf.DUMMYFUNCTION("""COMPUTED_VALUE"""),"")</f>
        <v/>
      </c>
      <c r="C831" s="6" t="str">
        <f ca="1">IFERROR(__xludf.DUMMYFUNCTION("""COMPUTED_VALUE"""),"")</f>
        <v/>
      </c>
      <c r="D831" s="6" t="str">
        <f ca="1">IFERROR(__xludf.DUMMYFUNCTION("""COMPUTED_VALUE"""),"")</f>
        <v/>
      </c>
      <c r="E831" s="6" t="str">
        <f ca="1">IFERROR(__xludf.DUMMYFUNCTION("""COMPUTED_VALUE"""),"")</f>
        <v/>
      </c>
      <c r="F831" s="6" t="str">
        <f ca="1">IFERROR(__xludf.DUMMYFUNCTION("""COMPUTED_VALUE"""),"")</f>
        <v/>
      </c>
      <c r="G831" s="6" t="str">
        <f ca="1">IFERROR(__xludf.DUMMYFUNCTION("""COMPUTED_VALUE"""),"")</f>
        <v/>
      </c>
      <c r="H831" s="6" t="str">
        <f ca="1">IFERROR(__xludf.DUMMYFUNCTION("""COMPUTED_VALUE"""),"")</f>
        <v/>
      </c>
      <c r="I831" s="6" t="str">
        <f ca="1">IFERROR(__xludf.DUMMYFUNCTION("""COMPUTED_VALUE"""),"")</f>
        <v/>
      </c>
      <c r="J831" s="6" t="str">
        <f ca="1">IFERROR(__xludf.DUMMYFUNCTION("""COMPUTED_VALUE"""),"")</f>
        <v/>
      </c>
    </row>
    <row r="832" spans="1:10" x14ac:dyDescent="0.2">
      <c r="A832" s="6" t="str">
        <f ca="1">IFERROR(__xludf.DUMMYFUNCTION("""COMPUTED_VALUE"""),"")</f>
        <v/>
      </c>
      <c r="B832" s="6" t="str">
        <f ca="1">IFERROR(__xludf.DUMMYFUNCTION("""COMPUTED_VALUE"""),"")</f>
        <v/>
      </c>
      <c r="C832" s="6" t="str">
        <f ca="1">IFERROR(__xludf.DUMMYFUNCTION("""COMPUTED_VALUE"""),"")</f>
        <v/>
      </c>
      <c r="D832" s="6" t="str">
        <f ca="1">IFERROR(__xludf.DUMMYFUNCTION("""COMPUTED_VALUE"""),"")</f>
        <v/>
      </c>
      <c r="E832" s="6" t="str">
        <f ca="1">IFERROR(__xludf.DUMMYFUNCTION("""COMPUTED_VALUE"""),"")</f>
        <v/>
      </c>
      <c r="F832" s="6" t="str">
        <f ca="1">IFERROR(__xludf.DUMMYFUNCTION("""COMPUTED_VALUE"""),"")</f>
        <v/>
      </c>
      <c r="G832" s="6" t="str">
        <f ca="1">IFERROR(__xludf.DUMMYFUNCTION("""COMPUTED_VALUE"""),"")</f>
        <v/>
      </c>
      <c r="H832" s="6" t="str">
        <f ca="1">IFERROR(__xludf.DUMMYFUNCTION("""COMPUTED_VALUE"""),"")</f>
        <v/>
      </c>
      <c r="I832" s="6" t="str">
        <f ca="1">IFERROR(__xludf.DUMMYFUNCTION("""COMPUTED_VALUE"""),"")</f>
        <v/>
      </c>
      <c r="J832" s="6" t="str">
        <f ca="1">IFERROR(__xludf.DUMMYFUNCTION("""COMPUTED_VALUE"""),"")</f>
        <v/>
      </c>
    </row>
    <row r="833" spans="1:10" x14ac:dyDescent="0.2">
      <c r="A833" s="6" t="str">
        <f ca="1">IFERROR(__xludf.DUMMYFUNCTION("""COMPUTED_VALUE"""),"")</f>
        <v/>
      </c>
      <c r="B833" s="6" t="str">
        <f ca="1">IFERROR(__xludf.DUMMYFUNCTION("""COMPUTED_VALUE"""),"")</f>
        <v/>
      </c>
      <c r="C833" s="6" t="str">
        <f ca="1">IFERROR(__xludf.DUMMYFUNCTION("""COMPUTED_VALUE"""),"")</f>
        <v/>
      </c>
      <c r="D833" s="6" t="str">
        <f ca="1">IFERROR(__xludf.DUMMYFUNCTION("""COMPUTED_VALUE"""),"")</f>
        <v/>
      </c>
      <c r="E833" s="6" t="str">
        <f ca="1">IFERROR(__xludf.DUMMYFUNCTION("""COMPUTED_VALUE"""),"")</f>
        <v/>
      </c>
      <c r="F833" s="6" t="str">
        <f ca="1">IFERROR(__xludf.DUMMYFUNCTION("""COMPUTED_VALUE"""),"")</f>
        <v/>
      </c>
      <c r="G833" s="6" t="str">
        <f ca="1">IFERROR(__xludf.DUMMYFUNCTION("""COMPUTED_VALUE"""),"")</f>
        <v/>
      </c>
      <c r="H833" s="6" t="str">
        <f ca="1">IFERROR(__xludf.DUMMYFUNCTION("""COMPUTED_VALUE"""),"")</f>
        <v/>
      </c>
      <c r="I833" s="6" t="str">
        <f ca="1">IFERROR(__xludf.DUMMYFUNCTION("""COMPUTED_VALUE"""),"")</f>
        <v/>
      </c>
      <c r="J833" s="6" t="str">
        <f ca="1">IFERROR(__xludf.DUMMYFUNCTION("""COMPUTED_VALUE"""),"")</f>
        <v/>
      </c>
    </row>
    <row r="834" spans="1:10" x14ac:dyDescent="0.2">
      <c r="A834" s="6" t="str">
        <f ca="1">IFERROR(__xludf.DUMMYFUNCTION("""COMPUTED_VALUE"""),"")</f>
        <v/>
      </c>
      <c r="B834" s="6" t="str">
        <f ca="1">IFERROR(__xludf.DUMMYFUNCTION("""COMPUTED_VALUE"""),"")</f>
        <v/>
      </c>
      <c r="C834" s="6" t="str">
        <f ca="1">IFERROR(__xludf.DUMMYFUNCTION("""COMPUTED_VALUE"""),"")</f>
        <v/>
      </c>
      <c r="D834" s="6" t="str">
        <f ca="1">IFERROR(__xludf.DUMMYFUNCTION("""COMPUTED_VALUE"""),"")</f>
        <v/>
      </c>
      <c r="E834" s="6" t="str">
        <f ca="1">IFERROR(__xludf.DUMMYFUNCTION("""COMPUTED_VALUE"""),"")</f>
        <v/>
      </c>
      <c r="F834" s="6" t="str">
        <f ca="1">IFERROR(__xludf.DUMMYFUNCTION("""COMPUTED_VALUE"""),"")</f>
        <v/>
      </c>
      <c r="G834" s="6" t="str">
        <f ca="1">IFERROR(__xludf.DUMMYFUNCTION("""COMPUTED_VALUE"""),"")</f>
        <v/>
      </c>
      <c r="H834" s="6" t="str">
        <f ca="1">IFERROR(__xludf.DUMMYFUNCTION("""COMPUTED_VALUE"""),"")</f>
        <v/>
      </c>
      <c r="I834" s="6" t="str">
        <f ca="1">IFERROR(__xludf.DUMMYFUNCTION("""COMPUTED_VALUE"""),"")</f>
        <v/>
      </c>
      <c r="J834" s="6" t="str">
        <f ca="1">IFERROR(__xludf.DUMMYFUNCTION("""COMPUTED_VALUE"""),"")</f>
        <v/>
      </c>
    </row>
    <row r="835" spans="1:10" x14ac:dyDescent="0.2">
      <c r="A835" s="6" t="str">
        <f ca="1">IFERROR(__xludf.DUMMYFUNCTION("""COMPUTED_VALUE"""),"")</f>
        <v/>
      </c>
      <c r="B835" s="6" t="str">
        <f ca="1">IFERROR(__xludf.DUMMYFUNCTION("""COMPUTED_VALUE"""),"")</f>
        <v/>
      </c>
      <c r="C835" s="6" t="str">
        <f ca="1">IFERROR(__xludf.DUMMYFUNCTION("""COMPUTED_VALUE"""),"")</f>
        <v/>
      </c>
      <c r="D835" s="6" t="str">
        <f ca="1">IFERROR(__xludf.DUMMYFUNCTION("""COMPUTED_VALUE"""),"")</f>
        <v/>
      </c>
      <c r="E835" s="6" t="str">
        <f ca="1">IFERROR(__xludf.DUMMYFUNCTION("""COMPUTED_VALUE"""),"")</f>
        <v/>
      </c>
      <c r="F835" s="6" t="str">
        <f ca="1">IFERROR(__xludf.DUMMYFUNCTION("""COMPUTED_VALUE"""),"")</f>
        <v/>
      </c>
      <c r="G835" s="6" t="str">
        <f ca="1">IFERROR(__xludf.DUMMYFUNCTION("""COMPUTED_VALUE"""),"")</f>
        <v/>
      </c>
      <c r="H835" s="6" t="str">
        <f ca="1">IFERROR(__xludf.DUMMYFUNCTION("""COMPUTED_VALUE"""),"")</f>
        <v/>
      </c>
      <c r="I835" s="6" t="str">
        <f ca="1">IFERROR(__xludf.DUMMYFUNCTION("""COMPUTED_VALUE"""),"")</f>
        <v/>
      </c>
      <c r="J835" s="6" t="str">
        <f ca="1">IFERROR(__xludf.DUMMYFUNCTION("""COMPUTED_VALUE"""),"")</f>
        <v/>
      </c>
    </row>
    <row r="836" spans="1:10" x14ac:dyDescent="0.2">
      <c r="A836" s="6" t="str">
        <f ca="1">IFERROR(__xludf.DUMMYFUNCTION("""COMPUTED_VALUE"""),"")</f>
        <v/>
      </c>
      <c r="B836" s="6" t="str">
        <f ca="1">IFERROR(__xludf.DUMMYFUNCTION("""COMPUTED_VALUE"""),"")</f>
        <v/>
      </c>
      <c r="C836" s="6" t="str">
        <f ca="1">IFERROR(__xludf.DUMMYFUNCTION("""COMPUTED_VALUE"""),"")</f>
        <v/>
      </c>
      <c r="D836" s="6" t="str">
        <f ca="1">IFERROR(__xludf.DUMMYFUNCTION("""COMPUTED_VALUE"""),"")</f>
        <v/>
      </c>
      <c r="E836" s="6" t="str">
        <f ca="1">IFERROR(__xludf.DUMMYFUNCTION("""COMPUTED_VALUE"""),"")</f>
        <v/>
      </c>
      <c r="F836" s="6" t="str">
        <f ca="1">IFERROR(__xludf.DUMMYFUNCTION("""COMPUTED_VALUE"""),"")</f>
        <v/>
      </c>
      <c r="G836" s="6" t="str">
        <f ca="1">IFERROR(__xludf.DUMMYFUNCTION("""COMPUTED_VALUE"""),"")</f>
        <v/>
      </c>
      <c r="H836" s="6" t="str">
        <f ca="1">IFERROR(__xludf.DUMMYFUNCTION("""COMPUTED_VALUE"""),"")</f>
        <v/>
      </c>
      <c r="I836" s="6" t="str">
        <f ca="1">IFERROR(__xludf.DUMMYFUNCTION("""COMPUTED_VALUE"""),"")</f>
        <v/>
      </c>
      <c r="J836" s="6" t="str">
        <f ca="1">IFERROR(__xludf.DUMMYFUNCTION("""COMPUTED_VALUE"""),"")</f>
        <v/>
      </c>
    </row>
    <row r="837" spans="1:10" x14ac:dyDescent="0.2">
      <c r="A837" s="6" t="str">
        <f ca="1">IFERROR(__xludf.DUMMYFUNCTION("""COMPUTED_VALUE"""),"")</f>
        <v/>
      </c>
      <c r="B837" s="6" t="str">
        <f ca="1">IFERROR(__xludf.DUMMYFUNCTION("""COMPUTED_VALUE"""),"")</f>
        <v/>
      </c>
      <c r="C837" s="6" t="str">
        <f ca="1">IFERROR(__xludf.DUMMYFUNCTION("""COMPUTED_VALUE"""),"")</f>
        <v/>
      </c>
      <c r="D837" s="6" t="str">
        <f ca="1">IFERROR(__xludf.DUMMYFUNCTION("""COMPUTED_VALUE"""),"")</f>
        <v/>
      </c>
      <c r="E837" s="6" t="str">
        <f ca="1">IFERROR(__xludf.DUMMYFUNCTION("""COMPUTED_VALUE"""),"")</f>
        <v/>
      </c>
      <c r="F837" s="6" t="str">
        <f ca="1">IFERROR(__xludf.DUMMYFUNCTION("""COMPUTED_VALUE"""),"")</f>
        <v/>
      </c>
      <c r="G837" s="6" t="str">
        <f ca="1">IFERROR(__xludf.DUMMYFUNCTION("""COMPUTED_VALUE"""),"")</f>
        <v/>
      </c>
      <c r="H837" s="6" t="str">
        <f ca="1">IFERROR(__xludf.DUMMYFUNCTION("""COMPUTED_VALUE"""),"")</f>
        <v/>
      </c>
      <c r="I837" s="6" t="str">
        <f ca="1">IFERROR(__xludf.DUMMYFUNCTION("""COMPUTED_VALUE"""),"")</f>
        <v/>
      </c>
      <c r="J837" s="6" t="str">
        <f ca="1">IFERROR(__xludf.DUMMYFUNCTION("""COMPUTED_VALUE"""),"")</f>
        <v/>
      </c>
    </row>
    <row r="838" spans="1:10" x14ac:dyDescent="0.2">
      <c r="A838" s="6" t="str">
        <f ca="1">IFERROR(__xludf.DUMMYFUNCTION("""COMPUTED_VALUE"""),"")</f>
        <v/>
      </c>
      <c r="B838" s="6" t="str">
        <f ca="1">IFERROR(__xludf.DUMMYFUNCTION("""COMPUTED_VALUE"""),"")</f>
        <v/>
      </c>
      <c r="C838" s="6" t="str">
        <f ca="1">IFERROR(__xludf.DUMMYFUNCTION("""COMPUTED_VALUE"""),"")</f>
        <v/>
      </c>
      <c r="D838" s="6" t="str">
        <f ca="1">IFERROR(__xludf.DUMMYFUNCTION("""COMPUTED_VALUE"""),"")</f>
        <v/>
      </c>
      <c r="E838" s="6" t="str">
        <f ca="1">IFERROR(__xludf.DUMMYFUNCTION("""COMPUTED_VALUE"""),"")</f>
        <v/>
      </c>
      <c r="F838" s="6" t="str">
        <f ca="1">IFERROR(__xludf.DUMMYFUNCTION("""COMPUTED_VALUE"""),"")</f>
        <v/>
      </c>
      <c r="G838" s="6" t="str">
        <f ca="1">IFERROR(__xludf.DUMMYFUNCTION("""COMPUTED_VALUE"""),"")</f>
        <v/>
      </c>
      <c r="H838" s="6" t="str">
        <f ca="1">IFERROR(__xludf.DUMMYFUNCTION("""COMPUTED_VALUE"""),"")</f>
        <v/>
      </c>
      <c r="I838" s="6" t="str">
        <f ca="1">IFERROR(__xludf.DUMMYFUNCTION("""COMPUTED_VALUE"""),"")</f>
        <v/>
      </c>
      <c r="J838" s="6" t="str">
        <f ca="1">IFERROR(__xludf.DUMMYFUNCTION("""COMPUTED_VALUE"""),"")</f>
        <v/>
      </c>
    </row>
    <row r="839" spans="1:10" x14ac:dyDescent="0.2">
      <c r="A839" s="6" t="str">
        <f ca="1">IFERROR(__xludf.DUMMYFUNCTION("""COMPUTED_VALUE"""),"")</f>
        <v/>
      </c>
      <c r="B839" s="6" t="str">
        <f ca="1">IFERROR(__xludf.DUMMYFUNCTION("""COMPUTED_VALUE"""),"")</f>
        <v/>
      </c>
      <c r="C839" s="6" t="str">
        <f ca="1">IFERROR(__xludf.DUMMYFUNCTION("""COMPUTED_VALUE"""),"")</f>
        <v/>
      </c>
      <c r="D839" s="6" t="str">
        <f ca="1">IFERROR(__xludf.DUMMYFUNCTION("""COMPUTED_VALUE"""),"")</f>
        <v/>
      </c>
      <c r="E839" s="6" t="str">
        <f ca="1">IFERROR(__xludf.DUMMYFUNCTION("""COMPUTED_VALUE"""),"")</f>
        <v/>
      </c>
      <c r="F839" s="6" t="str">
        <f ca="1">IFERROR(__xludf.DUMMYFUNCTION("""COMPUTED_VALUE"""),"")</f>
        <v/>
      </c>
      <c r="G839" s="6" t="str">
        <f ca="1">IFERROR(__xludf.DUMMYFUNCTION("""COMPUTED_VALUE"""),"")</f>
        <v/>
      </c>
      <c r="H839" s="6" t="str">
        <f ca="1">IFERROR(__xludf.DUMMYFUNCTION("""COMPUTED_VALUE"""),"")</f>
        <v/>
      </c>
      <c r="I839" s="6" t="str">
        <f ca="1">IFERROR(__xludf.DUMMYFUNCTION("""COMPUTED_VALUE"""),"")</f>
        <v/>
      </c>
      <c r="J839" s="6" t="str">
        <f ca="1">IFERROR(__xludf.DUMMYFUNCTION("""COMPUTED_VALUE"""),"")</f>
        <v/>
      </c>
    </row>
    <row r="840" spans="1:10" x14ac:dyDescent="0.2">
      <c r="A840" s="6" t="str">
        <f ca="1">IFERROR(__xludf.DUMMYFUNCTION("""COMPUTED_VALUE"""),"")</f>
        <v/>
      </c>
      <c r="B840" s="6" t="str">
        <f ca="1">IFERROR(__xludf.DUMMYFUNCTION("""COMPUTED_VALUE"""),"")</f>
        <v/>
      </c>
      <c r="C840" s="6" t="str">
        <f ca="1">IFERROR(__xludf.DUMMYFUNCTION("""COMPUTED_VALUE"""),"")</f>
        <v/>
      </c>
      <c r="D840" s="6" t="str">
        <f ca="1">IFERROR(__xludf.DUMMYFUNCTION("""COMPUTED_VALUE"""),"")</f>
        <v/>
      </c>
      <c r="E840" s="6" t="str">
        <f ca="1">IFERROR(__xludf.DUMMYFUNCTION("""COMPUTED_VALUE"""),"")</f>
        <v/>
      </c>
      <c r="F840" s="6" t="str">
        <f ca="1">IFERROR(__xludf.DUMMYFUNCTION("""COMPUTED_VALUE"""),"")</f>
        <v/>
      </c>
      <c r="G840" s="6" t="str">
        <f ca="1">IFERROR(__xludf.DUMMYFUNCTION("""COMPUTED_VALUE"""),"")</f>
        <v/>
      </c>
      <c r="H840" s="6" t="str">
        <f ca="1">IFERROR(__xludf.DUMMYFUNCTION("""COMPUTED_VALUE"""),"")</f>
        <v/>
      </c>
      <c r="I840" s="6" t="str">
        <f ca="1">IFERROR(__xludf.DUMMYFUNCTION("""COMPUTED_VALUE"""),"")</f>
        <v/>
      </c>
      <c r="J840" s="6" t="str">
        <f ca="1">IFERROR(__xludf.DUMMYFUNCTION("""COMPUTED_VALUE"""),"")</f>
        <v/>
      </c>
    </row>
    <row r="841" spans="1:10" x14ac:dyDescent="0.2">
      <c r="A841" s="6" t="str">
        <f ca="1">IFERROR(__xludf.DUMMYFUNCTION("""COMPUTED_VALUE"""),"")</f>
        <v/>
      </c>
      <c r="B841" s="6" t="str">
        <f ca="1">IFERROR(__xludf.DUMMYFUNCTION("""COMPUTED_VALUE"""),"")</f>
        <v/>
      </c>
      <c r="C841" s="6" t="str">
        <f ca="1">IFERROR(__xludf.DUMMYFUNCTION("""COMPUTED_VALUE"""),"")</f>
        <v/>
      </c>
      <c r="D841" s="6" t="str">
        <f ca="1">IFERROR(__xludf.DUMMYFUNCTION("""COMPUTED_VALUE"""),"")</f>
        <v/>
      </c>
      <c r="E841" s="6" t="str">
        <f ca="1">IFERROR(__xludf.DUMMYFUNCTION("""COMPUTED_VALUE"""),"")</f>
        <v/>
      </c>
      <c r="F841" s="6" t="str">
        <f ca="1">IFERROR(__xludf.DUMMYFUNCTION("""COMPUTED_VALUE"""),"")</f>
        <v/>
      </c>
      <c r="G841" s="6" t="str">
        <f ca="1">IFERROR(__xludf.DUMMYFUNCTION("""COMPUTED_VALUE"""),"")</f>
        <v/>
      </c>
      <c r="H841" s="6" t="str">
        <f ca="1">IFERROR(__xludf.DUMMYFUNCTION("""COMPUTED_VALUE"""),"")</f>
        <v/>
      </c>
      <c r="I841" s="6" t="str">
        <f ca="1">IFERROR(__xludf.DUMMYFUNCTION("""COMPUTED_VALUE"""),"")</f>
        <v/>
      </c>
      <c r="J841" s="6" t="str">
        <f ca="1">IFERROR(__xludf.DUMMYFUNCTION("""COMPUTED_VALUE"""),"")</f>
        <v/>
      </c>
    </row>
    <row r="842" spans="1:10" x14ac:dyDescent="0.2">
      <c r="A842" s="6" t="str">
        <f ca="1">IFERROR(__xludf.DUMMYFUNCTION("""COMPUTED_VALUE"""),"")</f>
        <v/>
      </c>
      <c r="B842" s="6" t="str">
        <f ca="1">IFERROR(__xludf.DUMMYFUNCTION("""COMPUTED_VALUE"""),"")</f>
        <v/>
      </c>
      <c r="C842" s="6" t="str">
        <f ca="1">IFERROR(__xludf.DUMMYFUNCTION("""COMPUTED_VALUE"""),"")</f>
        <v/>
      </c>
      <c r="D842" s="6" t="str">
        <f ca="1">IFERROR(__xludf.DUMMYFUNCTION("""COMPUTED_VALUE"""),"")</f>
        <v/>
      </c>
      <c r="E842" s="6" t="str">
        <f ca="1">IFERROR(__xludf.DUMMYFUNCTION("""COMPUTED_VALUE"""),"")</f>
        <v/>
      </c>
      <c r="F842" s="6" t="str">
        <f ca="1">IFERROR(__xludf.DUMMYFUNCTION("""COMPUTED_VALUE"""),"")</f>
        <v/>
      </c>
      <c r="G842" s="6" t="str">
        <f ca="1">IFERROR(__xludf.DUMMYFUNCTION("""COMPUTED_VALUE"""),"")</f>
        <v/>
      </c>
      <c r="H842" s="6" t="str">
        <f ca="1">IFERROR(__xludf.DUMMYFUNCTION("""COMPUTED_VALUE"""),"")</f>
        <v/>
      </c>
      <c r="I842" s="6" t="str">
        <f ca="1">IFERROR(__xludf.DUMMYFUNCTION("""COMPUTED_VALUE"""),"")</f>
        <v/>
      </c>
      <c r="J842" s="6" t="str">
        <f ca="1">IFERROR(__xludf.DUMMYFUNCTION("""COMPUTED_VALUE"""),"")</f>
        <v/>
      </c>
    </row>
    <row r="843" spans="1:10" x14ac:dyDescent="0.2">
      <c r="A843" s="6" t="str">
        <f ca="1">IFERROR(__xludf.DUMMYFUNCTION("""COMPUTED_VALUE"""),"")</f>
        <v/>
      </c>
      <c r="B843" s="6" t="str">
        <f ca="1">IFERROR(__xludf.DUMMYFUNCTION("""COMPUTED_VALUE"""),"")</f>
        <v/>
      </c>
      <c r="C843" s="6" t="str">
        <f ca="1">IFERROR(__xludf.DUMMYFUNCTION("""COMPUTED_VALUE"""),"")</f>
        <v/>
      </c>
      <c r="D843" s="6" t="str">
        <f ca="1">IFERROR(__xludf.DUMMYFUNCTION("""COMPUTED_VALUE"""),"")</f>
        <v/>
      </c>
      <c r="E843" s="6" t="str">
        <f ca="1">IFERROR(__xludf.DUMMYFUNCTION("""COMPUTED_VALUE"""),"")</f>
        <v/>
      </c>
      <c r="F843" s="6" t="str">
        <f ca="1">IFERROR(__xludf.DUMMYFUNCTION("""COMPUTED_VALUE"""),"")</f>
        <v/>
      </c>
      <c r="G843" s="6" t="str">
        <f ca="1">IFERROR(__xludf.DUMMYFUNCTION("""COMPUTED_VALUE"""),"")</f>
        <v/>
      </c>
      <c r="H843" s="6" t="str">
        <f ca="1">IFERROR(__xludf.DUMMYFUNCTION("""COMPUTED_VALUE"""),"")</f>
        <v/>
      </c>
      <c r="I843" s="6" t="str">
        <f ca="1">IFERROR(__xludf.DUMMYFUNCTION("""COMPUTED_VALUE"""),"")</f>
        <v/>
      </c>
      <c r="J843" s="6" t="str">
        <f ca="1">IFERROR(__xludf.DUMMYFUNCTION("""COMPUTED_VALUE"""),"")</f>
        <v/>
      </c>
    </row>
    <row r="844" spans="1:10" x14ac:dyDescent="0.2">
      <c r="A844" s="6" t="str">
        <f ca="1">IFERROR(__xludf.DUMMYFUNCTION("""COMPUTED_VALUE"""),"")</f>
        <v/>
      </c>
      <c r="B844" s="6" t="str">
        <f ca="1">IFERROR(__xludf.DUMMYFUNCTION("""COMPUTED_VALUE"""),"")</f>
        <v/>
      </c>
      <c r="C844" s="6" t="str">
        <f ca="1">IFERROR(__xludf.DUMMYFUNCTION("""COMPUTED_VALUE"""),"")</f>
        <v/>
      </c>
      <c r="D844" s="6" t="str">
        <f ca="1">IFERROR(__xludf.DUMMYFUNCTION("""COMPUTED_VALUE"""),"")</f>
        <v/>
      </c>
      <c r="E844" s="6" t="str">
        <f ca="1">IFERROR(__xludf.DUMMYFUNCTION("""COMPUTED_VALUE"""),"")</f>
        <v/>
      </c>
      <c r="F844" s="6" t="str">
        <f ca="1">IFERROR(__xludf.DUMMYFUNCTION("""COMPUTED_VALUE"""),"")</f>
        <v/>
      </c>
      <c r="G844" s="6" t="str">
        <f ca="1">IFERROR(__xludf.DUMMYFUNCTION("""COMPUTED_VALUE"""),"")</f>
        <v/>
      </c>
      <c r="H844" s="6" t="str">
        <f ca="1">IFERROR(__xludf.DUMMYFUNCTION("""COMPUTED_VALUE"""),"")</f>
        <v/>
      </c>
      <c r="I844" s="6" t="str">
        <f ca="1">IFERROR(__xludf.DUMMYFUNCTION("""COMPUTED_VALUE"""),"")</f>
        <v/>
      </c>
      <c r="J844" s="6" t="str">
        <f ca="1">IFERROR(__xludf.DUMMYFUNCTION("""COMPUTED_VALUE"""),"")</f>
        <v/>
      </c>
    </row>
    <row r="845" spans="1:10" x14ac:dyDescent="0.2">
      <c r="A845" s="6" t="str">
        <f ca="1">IFERROR(__xludf.DUMMYFUNCTION("""COMPUTED_VALUE"""),"")</f>
        <v/>
      </c>
      <c r="B845" s="6" t="str">
        <f ca="1">IFERROR(__xludf.DUMMYFUNCTION("""COMPUTED_VALUE"""),"")</f>
        <v/>
      </c>
      <c r="C845" s="6" t="str">
        <f ca="1">IFERROR(__xludf.DUMMYFUNCTION("""COMPUTED_VALUE"""),"")</f>
        <v/>
      </c>
      <c r="D845" s="6" t="str">
        <f ca="1">IFERROR(__xludf.DUMMYFUNCTION("""COMPUTED_VALUE"""),"")</f>
        <v/>
      </c>
      <c r="E845" s="6" t="str">
        <f ca="1">IFERROR(__xludf.DUMMYFUNCTION("""COMPUTED_VALUE"""),"")</f>
        <v/>
      </c>
      <c r="F845" s="6" t="str">
        <f ca="1">IFERROR(__xludf.DUMMYFUNCTION("""COMPUTED_VALUE"""),"")</f>
        <v/>
      </c>
      <c r="G845" s="6" t="str">
        <f ca="1">IFERROR(__xludf.DUMMYFUNCTION("""COMPUTED_VALUE"""),"")</f>
        <v/>
      </c>
      <c r="H845" s="6" t="str">
        <f ca="1">IFERROR(__xludf.DUMMYFUNCTION("""COMPUTED_VALUE"""),"")</f>
        <v/>
      </c>
      <c r="I845" s="6" t="str">
        <f ca="1">IFERROR(__xludf.DUMMYFUNCTION("""COMPUTED_VALUE"""),"")</f>
        <v/>
      </c>
      <c r="J845" s="6" t="str">
        <f ca="1">IFERROR(__xludf.DUMMYFUNCTION("""COMPUTED_VALUE"""),"")</f>
        <v/>
      </c>
    </row>
    <row r="846" spans="1:10" x14ac:dyDescent="0.2">
      <c r="A846" s="6" t="str">
        <f ca="1">IFERROR(__xludf.DUMMYFUNCTION("""COMPUTED_VALUE"""),"")</f>
        <v/>
      </c>
      <c r="B846" s="6" t="str">
        <f ca="1">IFERROR(__xludf.DUMMYFUNCTION("""COMPUTED_VALUE"""),"")</f>
        <v/>
      </c>
      <c r="C846" s="6" t="str">
        <f ca="1">IFERROR(__xludf.DUMMYFUNCTION("""COMPUTED_VALUE"""),"")</f>
        <v/>
      </c>
      <c r="D846" s="6" t="str">
        <f ca="1">IFERROR(__xludf.DUMMYFUNCTION("""COMPUTED_VALUE"""),"")</f>
        <v/>
      </c>
      <c r="E846" s="6" t="str">
        <f ca="1">IFERROR(__xludf.DUMMYFUNCTION("""COMPUTED_VALUE"""),"")</f>
        <v/>
      </c>
      <c r="F846" s="6" t="str">
        <f ca="1">IFERROR(__xludf.DUMMYFUNCTION("""COMPUTED_VALUE"""),"")</f>
        <v/>
      </c>
      <c r="G846" s="6" t="str">
        <f ca="1">IFERROR(__xludf.DUMMYFUNCTION("""COMPUTED_VALUE"""),"")</f>
        <v/>
      </c>
      <c r="H846" s="6" t="str">
        <f ca="1">IFERROR(__xludf.DUMMYFUNCTION("""COMPUTED_VALUE"""),"")</f>
        <v/>
      </c>
      <c r="I846" s="6" t="str">
        <f ca="1">IFERROR(__xludf.DUMMYFUNCTION("""COMPUTED_VALUE"""),"")</f>
        <v/>
      </c>
      <c r="J846" s="6" t="str">
        <f ca="1">IFERROR(__xludf.DUMMYFUNCTION("""COMPUTED_VALUE"""),"")</f>
        <v/>
      </c>
    </row>
    <row r="847" spans="1:10" x14ac:dyDescent="0.2">
      <c r="A847" s="6" t="str">
        <f ca="1">IFERROR(__xludf.DUMMYFUNCTION("""COMPUTED_VALUE"""),"")</f>
        <v/>
      </c>
      <c r="B847" s="6" t="str">
        <f ca="1">IFERROR(__xludf.DUMMYFUNCTION("""COMPUTED_VALUE"""),"")</f>
        <v/>
      </c>
      <c r="C847" s="6" t="str">
        <f ca="1">IFERROR(__xludf.DUMMYFUNCTION("""COMPUTED_VALUE"""),"")</f>
        <v/>
      </c>
      <c r="D847" s="6" t="str">
        <f ca="1">IFERROR(__xludf.DUMMYFUNCTION("""COMPUTED_VALUE"""),"")</f>
        <v/>
      </c>
      <c r="E847" s="6" t="str">
        <f ca="1">IFERROR(__xludf.DUMMYFUNCTION("""COMPUTED_VALUE"""),"")</f>
        <v/>
      </c>
      <c r="F847" s="6" t="str">
        <f ca="1">IFERROR(__xludf.DUMMYFUNCTION("""COMPUTED_VALUE"""),"")</f>
        <v/>
      </c>
      <c r="G847" s="6" t="str">
        <f ca="1">IFERROR(__xludf.DUMMYFUNCTION("""COMPUTED_VALUE"""),"")</f>
        <v/>
      </c>
      <c r="H847" s="6" t="str">
        <f ca="1">IFERROR(__xludf.DUMMYFUNCTION("""COMPUTED_VALUE"""),"")</f>
        <v/>
      </c>
      <c r="I847" s="6" t="str">
        <f ca="1">IFERROR(__xludf.DUMMYFUNCTION("""COMPUTED_VALUE"""),"")</f>
        <v/>
      </c>
      <c r="J847" s="6" t="str">
        <f ca="1">IFERROR(__xludf.DUMMYFUNCTION("""COMPUTED_VALUE"""),"")</f>
        <v/>
      </c>
    </row>
    <row r="848" spans="1:10" x14ac:dyDescent="0.2">
      <c r="A848" s="6" t="str">
        <f ca="1">IFERROR(__xludf.DUMMYFUNCTION("""COMPUTED_VALUE"""),"")</f>
        <v/>
      </c>
      <c r="B848" s="6" t="str">
        <f ca="1">IFERROR(__xludf.DUMMYFUNCTION("""COMPUTED_VALUE"""),"")</f>
        <v/>
      </c>
      <c r="C848" s="6" t="str">
        <f ca="1">IFERROR(__xludf.DUMMYFUNCTION("""COMPUTED_VALUE"""),"")</f>
        <v/>
      </c>
      <c r="D848" s="6" t="str">
        <f ca="1">IFERROR(__xludf.DUMMYFUNCTION("""COMPUTED_VALUE"""),"")</f>
        <v/>
      </c>
      <c r="E848" s="6" t="str">
        <f ca="1">IFERROR(__xludf.DUMMYFUNCTION("""COMPUTED_VALUE"""),"")</f>
        <v/>
      </c>
      <c r="F848" s="6" t="str">
        <f ca="1">IFERROR(__xludf.DUMMYFUNCTION("""COMPUTED_VALUE"""),"")</f>
        <v/>
      </c>
      <c r="G848" s="6" t="str">
        <f ca="1">IFERROR(__xludf.DUMMYFUNCTION("""COMPUTED_VALUE"""),"")</f>
        <v/>
      </c>
      <c r="H848" s="6" t="str">
        <f ca="1">IFERROR(__xludf.DUMMYFUNCTION("""COMPUTED_VALUE"""),"")</f>
        <v/>
      </c>
      <c r="I848" s="6" t="str">
        <f ca="1">IFERROR(__xludf.DUMMYFUNCTION("""COMPUTED_VALUE"""),"")</f>
        <v/>
      </c>
      <c r="J848" s="6" t="str">
        <f ca="1">IFERROR(__xludf.DUMMYFUNCTION("""COMPUTED_VALUE"""),"")</f>
        <v/>
      </c>
    </row>
    <row r="849" spans="1:10" x14ac:dyDescent="0.2">
      <c r="A849" s="6" t="str">
        <f ca="1">IFERROR(__xludf.DUMMYFUNCTION("""COMPUTED_VALUE"""),"")</f>
        <v/>
      </c>
      <c r="B849" s="6" t="str">
        <f ca="1">IFERROR(__xludf.DUMMYFUNCTION("""COMPUTED_VALUE"""),"")</f>
        <v/>
      </c>
      <c r="C849" s="6" t="str">
        <f ca="1">IFERROR(__xludf.DUMMYFUNCTION("""COMPUTED_VALUE"""),"")</f>
        <v/>
      </c>
      <c r="D849" s="6" t="str">
        <f ca="1">IFERROR(__xludf.DUMMYFUNCTION("""COMPUTED_VALUE"""),"")</f>
        <v/>
      </c>
      <c r="E849" s="6" t="str">
        <f ca="1">IFERROR(__xludf.DUMMYFUNCTION("""COMPUTED_VALUE"""),"")</f>
        <v/>
      </c>
      <c r="F849" s="6" t="str">
        <f ca="1">IFERROR(__xludf.DUMMYFUNCTION("""COMPUTED_VALUE"""),"")</f>
        <v/>
      </c>
      <c r="G849" s="6" t="str">
        <f ca="1">IFERROR(__xludf.DUMMYFUNCTION("""COMPUTED_VALUE"""),"")</f>
        <v/>
      </c>
      <c r="H849" s="6" t="str">
        <f ca="1">IFERROR(__xludf.DUMMYFUNCTION("""COMPUTED_VALUE"""),"")</f>
        <v/>
      </c>
      <c r="I849" s="6" t="str">
        <f ca="1">IFERROR(__xludf.DUMMYFUNCTION("""COMPUTED_VALUE"""),"")</f>
        <v/>
      </c>
      <c r="J849" s="6" t="str">
        <f ca="1">IFERROR(__xludf.DUMMYFUNCTION("""COMPUTED_VALUE"""),"")</f>
        <v/>
      </c>
    </row>
    <row r="850" spans="1:10" x14ac:dyDescent="0.2">
      <c r="A850" s="6" t="str">
        <f ca="1">IFERROR(__xludf.DUMMYFUNCTION("""COMPUTED_VALUE"""),"")</f>
        <v/>
      </c>
      <c r="B850" s="6" t="str">
        <f ca="1">IFERROR(__xludf.DUMMYFUNCTION("""COMPUTED_VALUE"""),"")</f>
        <v/>
      </c>
      <c r="C850" s="6" t="str">
        <f ca="1">IFERROR(__xludf.DUMMYFUNCTION("""COMPUTED_VALUE"""),"")</f>
        <v/>
      </c>
      <c r="D850" s="6" t="str">
        <f ca="1">IFERROR(__xludf.DUMMYFUNCTION("""COMPUTED_VALUE"""),"")</f>
        <v/>
      </c>
      <c r="E850" s="6" t="str">
        <f ca="1">IFERROR(__xludf.DUMMYFUNCTION("""COMPUTED_VALUE"""),"")</f>
        <v/>
      </c>
      <c r="F850" s="6" t="str">
        <f ca="1">IFERROR(__xludf.DUMMYFUNCTION("""COMPUTED_VALUE"""),"")</f>
        <v/>
      </c>
      <c r="G850" s="6" t="str">
        <f ca="1">IFERROR(__xludf.DUMMYFUNCTION("""COMPUTED_VALUE"""),"")</f>
        <v/>
      </c>
      <c r="H850" s="6" t="str">
        <f ca="1">IFERROR(__xludf.DUMMYFUNCTION("""COMPUTED_VALUE"""),"")</f>
        <v/>
      </c>
      <c r="I850" s="6" t="str">
        <f ca="1">IFERROR(__xludf.DUMMYFUNCTION("""COMPUTED_VALUE"""),"")</f>
        <v/>
      </c>
      <c r="J850" s="6" t="str">
        <f ca="1">IFERROR(__xludf.DUMMYFUNCTION("""COMPUTED_VALUE"""),"")</f>
        <v/>
      </c>
    </row>
    <row r="851" spans="1:10" x14ac:dyDescent="0.2">
      <c r="A851" s="6" t="str">
        <f ca="1">IFERROR(__xludf.DUMMYFUNCTION("""COMPUTED_VALUE"""),"")</f>
        <v/>
      </c>
      <c r="B851" s="6" t="str">
        <f ca="1">IFERROR(__xludf.DUMMYFUNCTION("""COMPUTED_VALUE"""),"")</f>
        <v/>
      </c>
      <c r="C851" s="6" t="str">
        <f ca="1">IFERROR(__xludf.DUMMYFUNCTION("""COMPUTED_VALUE"""),"")</f>
        <v/>
      </c>
      <c r="D851" s="6" t="str">
        <f ca="1">IFERROR(__xludf.DUMMYFUNCTION("""COMPUTED_VALUE"""),"")</f>
        <v/>
      </c>
      <c r="E851" s="6" t="str">
        <f ca="1">IFERROR(__xludf.DUMMYFUNCTION("""COMPUTED_VALUE"""),"")</f>
        <v/>
      </c>
      <c r="F851" s="6" t="str">
        <f ca="1">IFERROR(__xludf.DUMMYFUNCTION("""COMPUTED_VALUE"""),"")</f>
        <v/>
      </c>
      <c r="G851" s="6" t="str">
        <f ca="1">IFERROR(__xludf.DUMMYFUNCTION("""COMPUTED_VALUE"""),"")</f>
        <v/>
      </c>
      <c r="H851" s="6" t="str">
        <f ca="1">IFERROR(__xludf.DUMMYFUNCTION("""COMPUTED_VALUE"""),"")</f>
        <v/>
      </c>
      <c r="I851" s="6" t="str">
        <f ca="1">IFERROR(__xludf.DUMMYFUNCTION("""COMPUTED_VALUE"""),"")</f>
        <v/>
      </c>
      <c r="J851" s="6" t="str">
        <f ca="1">IFERROR(__xludf.DUMMYFUNCTION("""COMPUTED_VALUE"""),"")</f>
        <v/>
      </c>
    </row>
    <row r="852" spans="1:10" x14ac:dyDescent="0.2">
      <c r="A852" s="6" t="str">
        <f ca="1">IFERROR(__xludf.DUMMYFUNCTION("""COMPUTED_VALUE"""),"")</f>
        <v/>
      </c>
      <c r="B852" s="6" t="str">
        <f ca="1">IFERROR(__xludf.DUMMYFUNCTION("""COMPUTED_VALUE"""),"")</f>
        <v/>
      </c>
      <c r="C852" s="6" t="str">
        <f ca="1">IFERROR(__xludf.DUMMYFUNCTION("""COMPUTED_VALUE"""),"")</f>
        <v/>
      </c>
      <c r="D852" s="6" t="str">
        <f ca="1">IFERROR(__xludf.DUMMYFUNCTION("""COMPUTED_VALUE"""),"")</f>
        <v/>
      </c>
      <c r="E852" s="6" t="str">
        <f ca="1">IFERROR(__xludf.DUMMYFUNCTION("""COMPUTED_VALUE"""),"")</f>
        <v/>
      </c>
      <c r="F852" s="6" t="str">
        <f ca="1">IFERROR(__xludf.DUMMYFUNCTION("""COMPUTED_VALUE"""),"")</f>
        <v/>
      </c>
      <c r="G852" s="6" t="str">
        <f ca="1">IFERROR(__xludf.DUMMYFUNCTION("""COMPUTED_VALUE"""),"")</f>
        <v/>
      </c>
      <c r="H852" s="6" t="str">
        <f ca="1">IFERROR(__xludf.DUMMYFUNCTION("""COMPUTED_VALUE"""),"")</f>
        <v/>
      </c>
      <c r="I852" s="6" t="str">
        <f ca="1">IFERROR(__xludf.DUMMYFUNCTION("""COMPUTED_VALUE"""),"")</f>
        <v/>
      </c>
      <c r="J852" s="6" t="str">
        <f ca="1">IFERROR(__xludf.DUMMYFUNCTION("""COMPUTED_VALUE"""),"")</f>
        <v/>
      </c>
    </row>
    <row r="853" spans="1:10" x14ac:dyDescent="0.2">
      <c r="A853" s="6" t="str">
        <f ca="1">IFERROR(__xludf.DUMMYFUNCTION("""COMPUTED_VALUE"""),"")</f>
        <v/>
      </c>
      <c r="B853" s="6" t="str">
        <f ca="1">IFERROR(__xludf.DUMMYFUNCTION("""COMPUTED_VALUE"""),"")</f>
        <v/>
      </c>
      <c r="C853" s="6" t="str">
        <f ca="1">IFERROR(__xludf.DUMMYFUNCTION("""COMPUTED_VALUE"""),"")</f>
        <v/>
      </c>
      <c r="D853" s="6" t="str">
        <f ca="1">IFERROR(__xludf.DUMMYFUNCTION("""COMPUTED_VALUE"""),"")</f>
        <v/>
      </c>
      <c r="E853" s="6" t="str">
        <f ca="1">IFERROR(__xludf.DUMMYFUNCTION("""COMPUTED_VALUE"""),"")</f>
        <v/>
      </c>
      <c r="F853" s="6" t="str">
        <f ca="1">IFERROR(__xludf.DUMMYFUNCTION("""COMPUTED_VALUE"""),"")</f>
        <v/>
      </c>
      <c r="G853" s="6" t="str">
        <f ca="1">IFERROR(__xludf.DUMMYFUNCTION("""COMPUTED_VALUE"""),"")</f>
        <v/>
      </c>
      <c r="H853" s="6" t="str">
        <f ca="1">IFERROR(__xludf.DUMMYFUNCTION("""COMPUTED_VALUE"""),"")</f>
        <v/>
      </c>
      <c r="I853" s="6" t="str">
        <f ca="1">IFERROR(__xludf.DUMMYFUNCTION("""COMPUTED_VALUE"""),"")</f>
        <v/>
      </c>
      <c r="J853" s="6" t="str">
        <f ca="1">IFERROR(__xludf.DUMMYFUNCTION("""COMPUTED_VALUE"""),"")</f>
        <v/>
      </c>
    </row>
    <row r="854" spans="1:10" x14ac:dyDescent="0.2">
      <c r="A854" s="6" t="str">
        <f ca="1">IFERROR(__xludf.DUMMYFUNCTION("""COMPUTED_VALUE"""),"")</f>
        <v/>
      </c>
      <c r="B854" s="6" t="str">
        <f ca="1">IFERROR(__xludf.DUMMYFUNCTION("""COMPUTED_VALUE"""),"")</f>
        <v/>
      </c>
      <c r="C854" s="6" t="str">
        <f ca="1">IFERROR(__xludf.DUMMYFUNCTION("""COMPUTED_VALUE"""),"")</f>
        <v/>
      </c>
      <c r="D854" s="6" t="str">
        <f ca="1">IFERROR(__xludf.DUMMYFUNCTION("""COMPUTED_VALUE"""),"")</f>
        <v/>
      </c>
      <c r="E854" s="6" t="str">
        <f ca="1">IFERROR(__xludf.DUMMYFUNCTION("""COMPUTED_VALUE"""),"")</f>
        <v/>
      </c>
      <c r="F854" s="6" t="str">
        <f ca="1">IFERROR(__xludf.DUMMYFUNCTION("""COMPUTED_VALUE"""),"")</f>
        <v/>
      </c>
      <c r="G854" s="6" t="str">
        <f ca="1">IFERROR(__xludf.DUMMYFUNCTION("""COMPUTED_VALUE"""),"")</f>
        <v/>
      </c>
      <c r="H854" s="6" t="str">
        <f ca="1">IFERROR(__xludf.DUMMYFUNCTION("""COMPUTED_VALUE"""),"")</f>
        <v/>
      </c>
      <c r="I854" s="6" t="str">
        <f ca="1">IFERROR(__xludf.DUMMYFUNCTION("""COMPUTED_VALUE"""),"")</f>
        <v/>
      </c>
      <c r="J854" s="6" t="str">
        <f ca="1">IFERROR(__xludf.DUMMYFUNCTION("""COMPUTED_VALUE"""),"")</f>
        <v/>
      </c>
    </row>
    <row r="855" spans="1:10" x14ac:dyDescent="0.2">
      <c r="A855" s="6" t="str">
        <f ca="1">IFERROR(__xludf.DUMMYFUNCTION("""COMPUTED_VALUE"""),"")</f>
        <v/>
      </c>
      <c r="B855" s="6" t="str">
        <f ca="1">IFERROR(__xludf.DUMMYFUNCTION("""COMPUTED_VALUE"""),"")</f>
        <v/>
      </c>
      <c r="C855" s="6" t="str">
        <f ca="1">IFERROR(__xludf.DUMMYFUNCTION("""COMPUTED_VALUE"""),"")</f>
        <v/>
      </c>
      <c r="D855" s="6" t="str">
        <f ca="1">IFERROR(__xludf.DUMMYFUNCTION("""COMPUTED_VALUE"""),"")</f>
        <v/>
      </c>
      <c r="E855" s="6" t="str">
        <f ca="1">IFERROR(__xludf.DUMMYFUNCTION("""COMPUTED_VALUE"""),"")</f>
        <v/>
      </c>
      <c r="F855" s="6" t="str">
        <f ca="1">IFERROR(__xludf.DUMMYFUNCTION("""COMPUTED_VALUE"""),"")</f>
        <v/>
      </c>
      <c r="G855" s="6" t="str">
        <f ca="1">IFERROR(__xludf.DUMMYFUNCTION("""COMPUTED_VALUE"""),"")</f>
        <v/>
      </c>
      <c r="H855" s="6" t="str">
        <f ca="1">IFERROR(__xludf.DUMMYFUNCTION("""COMPUTED_VALUE"""),"")</f>
        <v/>
      </c>
      <c r="I855" s="6" t="str">
        <f ca="1">IFERROR(__xludf.DUMMYFUNCTION("""COMPUTED_VALUE"""),"")</f>
        <v/>
      </c>
      <c r="J855" s="6" t="str">
        <f ca="1">IFERROR(__xludf.DUMMYFUNCTION("""COMPUTED_VALUE"""),"")</f>
        <v/>
      </c>
    </row>
    <row r="856" spans="1:10" x14ac:dyDescent="0.2">
      <c r="A856" s="6" t="str">
        <f ca="1">IFERROR(__xludf.DUMMYFUNCTION("""COMPUTED_VALUE"""),"")</f>
        <v/>
      </c>
      <c r="B856" s="6" t="str">
        <f ca="1">IFERROR(__xludf.DUMMYFUNCTION("""COMPUTED_VALUE"""),"")</f>
        <v/>
      </c>
      <c r="C856" s="6" t="str">
        <f ca="1">IFERROR(__xludf.DUMMYFUNCTION("""COMPUTED_VALUE"""),"")</f>
        <v/>
      </c>
      <c r="D856" s="6" t="str">
        <f ca="1">IFERROR(__xludf.DUMMYFUNCTION("""COMPUTED_VALUE"""),"")</f>
        <v/>
      </c>
      <c r="E856" s="6" t="str">
        <f ca="1">IFERROR(__xludf.DUMMYFUNCTION("""COMPUTED_VALUE"""),"")</f>
        <v/>
      </c>
      <c r="F856" s="6" t="str">
        <f ca="1">IFERROR(__xludf.DUMMYFUNCTION("""COMPUTED_VALUE"""),"")</f>
        <v/>
      </c>
      <c r="G856" s="6" t="str">
        <f ca="1">IFERROR(__xludf.DUMMYFUNCTION("""COMPUTED_VALUE"""),"")</f>
        <v/>
      </c>
      <c r="H856" s="6" t="str">
        <f ca="1">IFERROR(__xludf.DUMMYFUNCTION("""COMPUTED_VALUE"""),"")</f>
        <v/>
      </c>
      <c r="I856" s="6" t="str">
        <f ca="1">IFERROR(__xludf.DUMMYFUNCTION("""COMPUTED_VALUE"""),"")</f>
        <v/>
      </c>
      <c r="J856" s="6" t="str">
        <f ca="1">IFERROR(__xludf.DUMMYFUNCTION("""COMPUTED_VALUE"""),"")</f>
        <v/>
      </c>
    </row>
    <row r="857" spans="1:10" x14ac:dyDescent="0.2">
      <c r="A857" s="6" t="str">
        <f ca="1">IFERROR(__xludf.DUMMYFUNCTION("""COMPUTED_VALUE"""),"")</f>
        <v/>
      </c>
      <c r="B857" s="6" t="str">
        <f ca="1">IFERROR(__xludf.DUMMYFUNCTION("""COMPUTED_VALUE"""),"")</f>
        <v/>
      </c>
      <c r="C857" s="6" t="str">
        <f ca="1">IFERROR(__xludf.DUMMYFUNCTION("""COMPUTED_VALUE"""),"")</f>
        <v/>
      </c>
      <c r="D857" s="6" t="str">
        <f ca="1">IFERROR(__xludf.DUMMYFUNCTION("""COMPUTED_VALUE"""),"")</f>
        <v/>
      </c>
      <c r="E857" s="6" t="str">
        <f ca="1">IFERROR(__xludf.DUMMYFUNCTION("""COMPUTED_VALUE"""),"")</f>
        <v/>
      </c>
      <c r="F857" s="6" t="str">
        <f ca="1">IFERROR(__xludf.DUMMYFUNCTION("""COMPUTED_VALUE"""),"")</f>
        <v/>
      </c>
      <c r="G857" s="6" t="str">
        <f ca="1">IFERROR(__xludf.DUMMYFUNCTION("""COMPUTED_VALUE"""),"")</f>
        <v/>
      </c>
      <c r="H857" s="6" t="str">
        <f ca="1">IFERROR(__xludf.DUMMYFUNCTION("""COMPUTED_VALUE"""),"")</f>
        <v/>
      </c>
      <c r="I857" s="6" t="str">
        <f ca="1">IFERROR(__xludf.DUMMYFUNCTION("""COMPUTED_VALUE"""),"")</f>
        <v/>
      </c>
      <c r="J857" s="6" t="str">
        <f ca="1">IFERROR(__xludf.DUMMYFUNCTION("""COMPUTED_VALUE"""),"")</f>
        <v/>
      </c>
    </row>
    <row r="858" spans="1:10" x14ac:dyDescent="0.2">
      <c r="A858" s="6" t="str">
        <f ca="1">IFERROR(__xludf.DUMMYFUNCTION("""COMPUTED_VALUE"""),"")</f>
        <v/>
      </c>
      <c r="B858" s="6" t="str">
        <f ca="1">IFERROR(__xludf.DUMMYFUNCTION("""COMPUTED_VALUE"""),"")</f>
        <v/>
      </c>
      <c r="C858" s="6" t="str">
        <f ca="1">IFERROR(__xludf.DUMMYFUNCTION("""COMPUTED_VALUE"""),"")</f>
        <v/>
      </c>
      <c r="D858" s="6" t="str">
        <f ca="1">IFERROR(__xludf.DUMMYFUNCTION("""COMPUTED_VALUE"""),"")</f>
        <v/>
      </c>
      <c r="E858" s="6" t="str">
        <f ca="1">IFERROR(__xludf.DUMMYFUNCTION("""COMPUTED_VALUE"""),"")</f>
        <v/>
      </c>
      <c r="F858" s="6" t="str">
        <f ca="1">IFERROR(__xludf.DUMMYFUNCTION("""COMPUTED_VALUE"""),"")</f>
        <v/>
      </c>
      <c r="G858" s="6" t="str">
        <f ca="1">IFERROR(__xludf.DUMMYFUNCTION("""COMPUTED_VALUE"""),"")</f>
        <v/>
      </c>
      <c r="H858" s="6" t="str">
        <f ca="1">IFERROR(__xludf.DUMMYFUNCTION("""COMPUTED_VALUE"""),"")</f>
        <v/>
      </c>
      <c r="I858" s="6" t="str">
        <f ca="1">IFERROR(__xludf.DUMMYFUNCTION("""COMPUTED_VALUE"""),"")</f>
        <v/>
      </c>
      <c r="J858" s="6" t="str">
        <f ca="1">IFERROR(__xludf.DUMMYFUNCTION("""COMPUTED_VALUE"""),"")</f>
        <v/>
      </c>
    </row>
    <row r="859" spans="1:10" x14ac:dyDescent="0.2">
      <c r="A859" s="6" t="str">
        <f ca="1">IFERROR(__xludf.DUMMYFUNCTION("""COMPUTED_VALUE"""),"")</f>
        <v/>
      </c>
      <c r="B859" s="6" t="str">
        <f ca="1">IFERROR(__xludf.DUMMYFUNCTION("""COMPUTED_VALUE"""),"")</f>
        <v/>
      </c>
      <c r="C859" s="6" t="str">
        <f ca="1">IFERROR(__xludf.DUMMYFUNCTION("""COMPUTED_VALUE"""),"")</f>
        <v/>
      </c>
      <c r="D859" s="6" t="str">
        <f ca="1">IFERROR(__xludf.DUMMYFUNCTION("""COMPUTED_VALUE"""),"")</f>
        <v/>
      </c>
      <c r="E859" s="6" t="str">
        <f ca="1">IFERROR(__xludf.DUMMYFUNCTION("""COMPUTED_VALUE"""),"")</f>
        <v/>
      </c>
      <c r="F859" s="6" t="str">
        <f ca="1">IFERROR(__xludf.DUMMYFUNCTION("""COMPUTED_VALUE"""),"")</f>
        <v/>
      </c>
      <c r="G859" s="6" t="str">
        <f ca="1">IFERROR(__xludf.DUMMYFUNCTION("""COMPUTED_VALUE"""),"")</f>
        <v/>
      </c>
      <c r="H859" s="6" t="str">
        <f ca="1">IFERROR(__xludf.DUMMYFUNCTION("""COMPUTED_VALUE"""),"")</f>
        <v/>
      </c>
      <c r="I859" s="6" t="str">
        <f ca="1">IFERROR(__xludf.DUMMYFUNCTION("""COMPUTED_VALUE"""),"")</f>
        <v/>
      </c>
      <c r="J859" s="6" t="str">
        <f ca="1">IFERROR(__xludf.DUMMYFUNCTION("""COMPUTED_VALUE"""),"")</f>
        <v/>
      </c>
    </row>
    <row r="860" spans="1:10" x14ac:dyDescent="0.2">
      <c r="A860" s="6" t="str">
        <f ca="1">IFERROR(__xludf.DUMMYFUNCTION("""COMPUTED_VALUE"""),"")</f>
        <v/>
      </c>
      <c r="B860" s="6" t="str">
        <f ca="1">IFERROR(__xludf.DUMMYFUNCTION("""COMPUTED_VALUE"""),"")</f>
        <v/>
      </c>
      <c r="C860" s="6" t="str">
        <f ca="1">IFERROR(__xludf.DUMMYFUNCTION("""COMPUTED_VALUE"""),"")</f>
        <v/>
      </c>
      <c r="D860" s="6" t="str">
        <f ca="1">IFERROR(__xludf.DUMMYFUNCTION("""COMPUTED_VALUE"""),"")</f>
        <v/>
      </c>
      <c r="E860" s="6" t="str">
        <f ca="1">IFERROR(__xludf.DUMMYFUNCTION("""COMPUTED_VALUE"""),"")</f>
        <v/>
      </c>
      <c r="F860" s="6" t="str">
        <f ca="1">IFERROR(__xludf.DUMMYFUNCTION("""COMPUTED_VALUE"""),"")</f>
        <v/>
      </c>
      <c r="G860" s="6" t="str">
        <f ca="1">IFERROR(__xludf.DUMMYFUNCTION("""COMPUTED_VALUE"""),"")</f>
        <v/>
      </c>
      <c r="H860" s="6" t="str">
        <f ca="1">IFERROR(__xludf.DUMMYFUNCTION("""COMPUTED_VALUE"""),"")</f>
        <v/>
      </c>
      <c r="I860" s="6" t="str">
        <f ca="1">IFERROR(__xludf.DUMMYFUNCTION("""COMPUTED_VALUE"""),"")</f>
        <v/>
      </c>
      <c r="J860" s="6" t="str">
        <f ca="1">IFERROR(__xludf.DUMMYFUNCTION("""COMPUTED_VALUE"""),"")</f>
        <v/>
      </c>
    </row>
    <row r="861" spans="1:10" x14ac:dyDescent="0.2">
      <c r="A861" s="6" t="str">
        <f ca="1">IFERROR(__xludf.DUMMYFUNCTION("""COMPUTED_VALUE"""),"")</f>
        <v/>
      </c>
      <c r="B861" s="6" t="str">
        <f ca="1">IFERROR(__xludf.DUMMYFUNCTION("""COMPUTED_VALUE"""),"")</f>
        <v/>
      </c>
      <c r="C861" s="6" t="str">
        <f ca="1">IFERROR(__xludf.DUMMYFUNCTION("""COMPUTED_VALUE"""),"")</f>
        <v/>
      </c>
      <c r="D861" s="6" t="str">
        <f ca="1">IFERROR(__xludf.DUMMYFUNCTION("""COMPUTED_VALUE"""),"")</f>
        <v/>
      </c>
      <c r="E861" s="6" t="str">
        <f ca="1">IFERROR(__xludf.DUMMYFUNCTION("""COMPUTED_VALUE"""),"")</f>
        <v/>
      </c>
      <c r="F861" s="6" t="str">
        <f ca="1">IFERROR(__xludf.DUMMYFUNCTION("""COMPUTED_VALUE"""),"")</f>
        <v/>
      </c>
      <c r="G861" s="6" t="str">
        <f ca="1">IFERROR(__xludf.DUMMYFUNCTION("""COMPUTED_VALUE"""),"")</f>
        <v/>
      </c>
      <c r="H861" s="6" t="str">
        <f ca="1">IFERROR(__xludf.DUMMYFUNCTION("""COMPUTED_VALUE"""),"")</f>
        <v/>
      </c>
      <c r="I861" s="6" t="str">
        <f ca="1">IFERROR(__xludf.DUMMYFUNCTION("""COMPUTED_VALUE"""),"")</f>
        <v/>
      </c>
      <c r="J861" s="6" t="str">
        <f ca="1">IFERROR(__xludf.DUMMYFUNCTION("""COMPUTED_VALUE"""),"")</f>
        <v/>
      </c>
    </row>
    <row r="862" spans="1:10" x14ac:dyDescent="0.2">
      <c r="A862" s="6" t="str">
        <f ca="1">IFERROR(__xludf.DUMMYFUNCTION("""COMPUTED_VALUE"""),"")</f>
        <v/>
      </c>
      <c r="B862" s="6" t="str">
        <f ca="1">IFERROR(__xludf.DUMMYFUNCTION("""COMPUTED_VALUE"""),"")</f>
        <v/>
      </c>
      <c r="C862" s="6" t="str">
        <f ca="1">IFERROR(__xludf.DUMMYFUNCTION("""COMPUTED_VALUE"""),"")</f>
        <v/>
      </c>
      <c r="D862" s="6" t="str">
        <f ca="1">IFERROR(__xludf.DUMMYFUNCTION("""COMPUTED_VALUE"""),"")</f>
        <v/>
      </c>
      <c r="E862" s="6" t="str">
        <f ca="1">IFERROR(__xludf.DUMMYFUNCTION("""COMPUTED_VALUE"""),"")</f>
        <v/>
      </c>
      <c r="F862" s="6" t="str">
        <f ca="1">IFERROR(__xludf.DUMMYFUNCTION("""COMPUTED_VALUE"""),"")</f>
        <v/>
      </c>
      <c r="G862" s="6" t="str">
        <f ca="1">IFERROR(__xludf.DUMMYFUNCTION("""COMPUTED_VALUE"""),"")</f>
        <v/>
      </c>
      <c r="H862" s="6" t="str">
        <f ca="1">IFERROR(__xludf.DUMMYFUNCTION("""COMPUTED_VALUE"""),"")</f>
        <v/>
      </c>
      <c r="I862" s="6" t="str">
        <f ca="1">IFERROR(__xludf.DUMMYFUNCTION("""COMPUTED_VALUE"""),"")</f>
        <v/>
      </c>
      <c r="J862" s="6" t="str">
        <f ca="1">IFERROR(__xludf.DUMMYFUNCTION("""COMPUTED_VALUE"""),"")</f>
        <v/>
      </c>
    </row>
    <row r="863" spans="1:10" x14ac:dyDescent="0.2">
      <c r="A863" s="6" t="str">
        <f ca="1">IFERROR(__xludf.DUMMYFUNCTION("""COMPUTED_VALUE"""),"")</f>
        <v/>
      </c>
      <c r="B863" s="6" t="str">
        <f ca="1">IFERROR(__xludf.DUMMYFUNCTION("""COMPUTED_VALUE"""),"")</f>
        <v/>
      </c>
      <c r="C863" s="6" t="str">
        <f ca="1">IFERROR(__xludf.DUMMYFUNCTION("""COMPUTED_VALUE"""),"")</f>
        <v/>
      </c>
      <c r="D863" s="6" t="str">
        <f ca="1">IFERROR(__xludf.DUMMYFUNCTION("""COMPUTED_VALUE"""),"")</f>
        <v/>
      </c>
      <c r="E863" s="6" t="str">
        <f ca="1">IFERROR(__xludf.DUMMYFUNCTION("""COMPUTED_VALUE"""),"")</f>
        <v/>
      </c>
      <c r="F863" s="6" t="str">
        <f ca="1">IFERROR(__xludf.DUMMYFUNCTION("""COMPUTED_VALUE"""),"")</f>
        <v/>
      </c>
      <c r="G863" s="6" t="str">
        <f ca="1">IFERROR(__xludf.DUMMYFUNCTION("""COMPUTED_VALUE"""),"")</f>
        <v/>
      </c>
      <c r="H863" s="6" t="str">
        <f ca="1">IFERROR(__xludf.DUMMYFUNCTION("""COMPUTED_VALUE"""),"")</f>
        <v/>
      </c>
      <c r="I863" s="6" t="str">
        <f ca="1">IFERROR(__xludf.DUMMYFUNCTION("""COMPUTED_VALUE"""),"")</f>
        <v/>
      </c>
      <c r="J863" s="6" t="str">
        <f ca="1">IFERROR(__xludf.DUMMYFUNCTION("""COMPUTED_VALUE"""),"")</f>
        <v/>
      </c>
    </row>
    <row r="864" spans="1:10" x14ac:dyDescent="0.2">
      <c r="A864" s="6" t="str">
        <f ca="1">IFERROR(__xludf.DUMMYFUNCTION("""COMPUTED_VALUE"""),"")</f>
        <v/>
      </c>
      <c r="B864" s="6" t="str">
        <f ca="1">IFERROR(__xludf.DUMMYFUNCTION("""COMPUTED_VALUE"""),"")</f>
        <v/>
      </c>
      <c r="C864" s="6" t="str">
        <f ca="1">IFERROR(__xludf.DUMMYFUNCTION("""COMPUTED_VALUE"""),"")</f>
        <v/>
      </c>
      <c r="D864" s="6" t="str">
        <f ca="1">IFERROR(__xludf.DUMMYFUNCTION("""COMPUTED_VALUE"""),"")</f>
        <v/>
      </c>
      <c r="E864" s="6" t="str">
        <f ca="1">IFERROR(__xludf.DUMMYFUNCTION("""COMPUTED_VALUE"""),"")</f>
        <v/>
      </c>
      <c r="F864" s="6" t="str">
        <f ca="1">IFERROR(__xludf.DUMMYFUNCTION("""COMPUTED_VALUE"""),"")</f>
        <v/>
      </c>
      <c r="G864" s="6" t="str">
        <f ca="1">IFERROR(__xludf.DUMMYFUNCTION("""COMPUTED_VALUE"""),"")</f>
        <v/>
      </c>
      <c r="H864" s="6" t="str">
        <f ca="1">IFERROR(__xludf.DUMMYFUNCTION("""COMPUTED_VALUE"""),"")</f>
        <v/>
      </c>
      <c r="I864" s="6" t="str">
        <f ca="1">IFERROR(__xludf.DUMMYFUNCTION("""COMPUTED_VALUE"""),"")</f>
        <v/>
      </c>
      <c r="J864" s="6" t="str">
        <f ca="1">IFERROR(__xludf.DUMMYFUNCTION("""COMPUTED_VALUE"""),"")</f>
        <v/>
      </c>
    </row>
    <row r="865" spans="1:10" x14ac:dyDescent="0.2">
      <c r="A865" s="6" t="str">
        <f ca="1">IFERROR(__xludf.DUMMYFUNCTION("""COMPUTED_VALUE"""),"")</f>
        <v/>
      </c>
      <c r="B865" s="6" t="str">
        <f ca="1">IFERROR(__xludf.DUMMYFUNCTION("""COMPUTED_VALUE"""),"")</f>
        <v/>
      </c>
      <c r="C865" s="6" t="str">
        <f ca="1">IFERROR(__xludf.DUMMYFUNCTION("""COMPUTED_VALUE"""),"")</f>
        <v/>
      </c>
      <c r="D865" s="6" t="str">
        <f ca="1">IFERROR(__xludf.DUMMYFUNCTION("""COMPUTED_VALUE"""),"")</f>
        <v/>
      </c>
      <c r="E865" s="6" t="str">
        <f ca="1">IFERROR(__xludf.DUMMYFUNCTION("""COMPUTED_VALUE"""),"")</f>
        <v/>
      </c>
      <c r="F865" s="6" t="str">
        <f ca="1">IFERROR(__xludf.DUMMYFUNCTION("""COMPUTED_VALUE"""),"")</f>
        <v/>
      </c>
      <c r="G865" s="6" t="str">
        <f ca="1">IFERROR(__xludf.DUMMYFUNCTION("""COMPUTED_VALUE"""),"")</f>
        <v/>
      </c>
      <c r="H865" s="6" t="str">
        <f ca="1">IFERROR(__xludf.DUMMYFUNCTION("""COMPUTED_VALUE"""),"")</f>
        <v/>
      </c>
      <c r="I865" s="6" t="str">
        <f ca="1">IFERROR(__xludf.DUMMYFUNCTION("""COMPUTED_VALUE"""),"")</f>
        <v/>
      </c>
      <c r="J865" s="6" t="str">
        <f ca="1">IFERROR(__xludf.DUMMYFUNCTION("""COMPUTED_VALUE"""),"")</f>
        <v/>
      </c>
    </row>
    <row r="866" spans="1:10" x14ac:dyDescent="0.2">
      <c r="A866" s="6" t="str">
        <f ca="1">IFERROR(__xludf.DUMMYFUNCTION("""COMPUTED_VALUE"""),"")</f>
        <v/>
      </c>
      <c r="B866" s="6" t="str">
        <f ca="1">IFERROR(__xludf.DUMMYFUNCTION("""COMPUTED_VALUE"""),"")</f>
        <v/>
      </c>
      <c r="C866" s="6" t="str">
        <f ca="1">IFERROR(__xludf.DUMMYFUNCTION("""COMPUTED_VALUE"""),"")</f>
        <v/>
      </c>
      <c r="D866" s="6" t="str">
        <f ca="1">IFERROR(__xludf.DUMMYFUNCTION("""COMPUTED_VALUE"""),"")</f>
        <v/>
      </c>
      <c r="E866" s="6" t="str">
        <f ca="1">IFERROR(__xludf.DUMMYFUNCTION("""COMPUTED_VALUE"""),"")</f>
        <v/>
      </c>
      <c r="F866" s="6" t="str">
        <f ca="1">IFERROR(__xludf.DUMMYFUNCTION("""COMPUTED_VALUE"""),"")</f>
        <v/>
      </c>
      <c r="G866" s="6" t="str">
        <f ca="1">IFERROR(__xludf.DUMMYFUNCTION("""COMPUTED_VALUE"""),"")</f>
        <v/>
      </c>
      <c r="H866" s="6" t="str">
        <f ca="1">IFERROR(__xludf.DUMMYFUNCTION("""COMPUTED_VALUE"""),"")</f>
        <v/>
      </c>
      <c r="I866" s="6" t="str">
        <f ca="1">IFERROR(__xludf.DUMMYFUNCTION("""COMPUTED_VALUE"""),"")</f>
        <v/>
      </c>
      <c r="J866" s="6" t="str">
        <f ca="1">IFERROR(__xludf.DUMMYFUNCTION("""COMPUTED_VALUE"""),"")</f>
        <v/>
      </c>
    </row>
    <row r="867" spans="1:10" x14ac:dyDescent="0.2">
      <c r="A867" s="6" t="str">
        <f ca="1">IFERROR(__xludf.DUMMYFUNCTION("""COMPUTED_VALUE"""),"")</f>
        <v/>
      </c>
      <c r="B867" s="6" t="str">
        <f ca="1">IFERROR(__xludf.DUMMYFUNCTION("""COMPUTED_VALUE"""),"")</f>
        <v/>
      </c>
      <c r="C867" s="6" t="str">
        <f ca="1">IFERROR(__xludf.DUMMYFUNCTION("""COMPUTED_VALUE"""),"")</f>
        <v/>
      </c>
      <c r="D867" s="6" t="str">
        <f ca="1">IFERROR(__xludf.DUMMYFUNCTION("""COMPUTED_VALUE"""),"")</f>
        <v/>
      </c>
      <c r="E867" s="6" t="str">
        <f ca="1">IFERROR(__xludf.DUMMYFUNCTION("""COMPUTED_VALUE"""),"")</f>
        <v/>
      </c>
      <c r="F867" s="6" t="str">
        <f ca="1">IFERROR(__xludf.DUMMYFUNCTION("""COMPUTED_VALUE"""),"")</f>
        <v/>
      </c>
      <c r="G867" s="6" t="str">
        <f ca="1">IFERROR(__xludf.DUMMYFUNCTION("""COMPUTED_VALUE"""),"")</f>
        <v/>
      </c>
      <c r="H867" s="6" t="str">
        <f ca="1">IFERROR(__xludf.DUMMYFUNCTION("""COMPUTED_VALUE"""),"")</f>
        <v/>
      </c>
      <c r="I867" s="6" t="str">
        <f ca="1">IFERROR(__xludf.DUMMYFUNCTION("""COMPUTED_VALUE"""),"")</f>
        <v/>
      </c>
      <c r="J867" s="6" t="str">
        <f ca="1">IFERROR(__xludf.DUMMYFUNCTION("""COMPUTED_VALUE"""),"")</f>
        <v/>
      </c>
    </row>
    <row r="868" spans="1:10" x14ac:dyDescent="0.2">
      <c r="A868" s="6" t="str">
        <f ca="1">IFERROR(__xludf.DUMMYFUNCTION("""COMPUTED_VALUE"""),"")</f>
        <v/>
      </c>
      <c r="B868" s="6" t="str">
        <f ca="1">IFERROR(__xludf.DUMMYFUNCTION("""COMPUTED_VALUE"""),"")</f>
        <v/>
      </c>
      <c r="C868" s="6" t="str">
        <f ca="1">IFERROR(__xludf.DUMMYFUNCTION("""COMPUTED_VALUE"""),"")</f>
        <v/>
      </c>
      <c r="D868" s="6" t="str">
        <f ca="1">IFERROR(__xludf.DUMMYFUNCTION("""COMPUTED_VALUE"""),"")</f>
        <v/>
      </c>
      <c r="E868" s="6" t="str">
        <f ca="1">IFERROR(__xludf.DUMMYFUNCTION("""COMPUTED_VALUE"""),"")</f>
        <v/>
      </c>
      <c r="F868" s="6" t="str">
        <f ca="1">IFERROR(__xludf.DUMMYFUNCTION("""COMPUTED_VALUE"""),"")</f>
        <v/>
      </c>
      <c r="G868" s="6" t="str">
        <f ca="1">IFERROR(__xludf.DUMMYFUNCTION("""COMPUTED_VALUE"""),"")</f>
        <v/>
      </c>
      <c r="H868" s="6" t="str">
        <f ca="1">IFERROR(__xludf.DUMMYFUNCTION("""COMPUTED_VALUE"""),"")</f>
        <v/>
      </c>
      <c r="I868" s="6" t="str">
        <f ca="1">IFERROR(__xludf.DUMMYFUNCTION("""COMPUTED_VALUE"""),"")</f>
        <v/>
      </c>
      <c r="J868" s="6" t="str">
        <f ca="1">IFERROR(__xludf.DUMMYFUNCTION("""COMPUTED_VALUE"""),"")</f>
        <v/>
      </c>
    </row>
    <row r="869" spans="1:10" x14ac:dyDescent="0.2">
      <c r="A869" s="6" t="str">
        <f ca="1">IFERROR(__xludf.DUMMYFUNCTION("""COMPUTED_VALUE"""),"")</f>
        <v/>
      </c>
      <c r="B869" s="6" t="str">
        <f ca="1">IFERROR(__xludf.DUMMYFUNCTION("""COMPUTED_VALUE"""),"")</f>
        <v/>
      </c>
      <c r="C869" s="6" t="str">
        <f ca="1">IFERROR(__xludf.DUMMYFUNCTION("""COMPUTED_VALUE"""),"")</f>
        <v/>
      </c>
      <c r="D869" s="6" t="str">
        <f ca="1">IFERROR(__xludf.DUMMYFUNCTION("""COMPUTED_VALUE"""),"")</f>
        <v/>
      </c>
      <c r="E869" s="6" t="str">
        <f ca="1">IFERROR(__xludf.DUMMYFUNCTION("""COMPUTED_VALUE"""),"")</f>
        <v/>
      </c>
      <c r="F869" s="6" t="str">
        <f ca="1">IFERROR(__xludf.DUMMYFUNCTION("""COMPUTED_VALUE"""),"")</f>
        <v/>
      </c>
      <c r="G869" s="6" t="str">
        <f ca="1">IFERROR(__xludf.DUMMYFUNCTION("""COMPUTED_VALUE"""),"")</f>
        <v/>
      </c>
      <c r="H869" s="6" t="str">
        <f ca="1">IFERROR(__xludf.DUMMYFUNCTION("""COMPUTED_VALUE"""),"")</f>
        <v/>
      </c>
      <c r="I869" s="6" t="str">
        <f ca="1">IFERROR(__xludf.DUMMYFUNCTION("""COMPUTED_VALUE"""),"")</f>
        <v/>
      </c>
      <c r="J869" s="6" t="str">
        <f ca="1">IFERROR(__xludf.DUMMYFUNCTION("""COMPUTED_VALUE"""),"")</f>
        <v/>
      </c>
    </row>
    <row r="870" spans="1:10" x14ac:dyDescent="0.2">
      <c r="A870" s="6" t="str">
        <f ca="1">IFERROR(__xludf.DUMMYFUNCTION("""COMPUTED_VALUE"""),"")</f>
        <v/>
      </c>
      <c r="B870" s="6" t="str">
        <f ca="1">IFERROR(__xludf.DUMMYFUNCTION("""COMPUTED_VALUE"""),"")</f>
        <v/>
      </c>
      <c r="C870" s="6" t="str">
        <f ca="1">IFERROR(__xludf.DUMMYFUNCTION("""COMPUTED_VALUE"""),"")</f>
        <v/>
      </c>
      <c r="D870" s="6" t="str">
        <f ca="1">IFERROR(__xludf.DUMMYFUNCTION("""COMPUTED_VALUE"""),"")</f>
        <v/>
      </c>
      <c r="E870" s="6" t="str">
        <f ca="1">IFERROR(__xludf.DUMMYFUNCTION("""COMPUTED_VALUE"""),"")</f>
        <v/>
      </c>
      <c r="F870" s="6" t="str">
        <f ca="1">IFERROR(__xludf.DUMMYFUNCTION("""COMPUTED_VALUE"""),"")</f>
        <v/>
      </c>
      <c r="G870" s="6" t="str">
        <f ca="1">IFERROR(__xludf.DUMMYFUNCTION("""COMPUTED_VALUE"""),"")</f>
        <v/>
      </c>
      <c r="H870" s="6" t="str">
        <f ca="1">IFERROR(__xludf.DUMMYFUNCTION("""COMPUTED_VALUE"""),"")</f>
        <v/>
      </c>
      <c r="I870" s="6" t="str">
        <f ca="1">IFERROR(__xludf.DUMMYFUNCTION("""COMPUTED_VALUE"""),"")</f>
        <v/>
      </c>
      <c r="J870" s="6" t="str">
        <f ca="1">IFERROR(__xludf.DUMMYFUNCTION("""COMPUTED_VALUE"""),"")</f>
        <v/>
      </c>
    </row>
    <row r="871" spans="1:10" x14ac:dyDescent="0.2">
      <c r="A871" s="6" t="str">
        <f ca="1">IFERROR(__xludf.DUMMYFUNCTION("""COMPUTED_VALUE"""),"")</f>
        <v/>
      </c>
      <c r="B871" s="6" t="str">
        <f ca="1">IFERROR(__xludf.DUMMYFUNCTION("""COMPUTED_VALUE"""),"")</f>
        <v/>
      </c>
      <c r="C871" s="6" t="str">
        <f ca="1">IFERROR(__xludf.DUMMYFUNCTION("""COMPUTED_VALUE"""),"")</f>
        <v/>
      </c>
      <c r="D871" s="6" t="str">
        <f ca="1">IFERROR(__xludf.DUMMYFUNCTION("""COMPUTED_VALUE"""),"")</f>
        <v/>
      </c>
      <c r="E871" s="6" t="str">
        <f ca="1">IFERROR(__xludf.DUMMYFUNCTION("""COMPUTED_VALUE"""),"")</f>
        <v/>
      </c>
      <c r="F871" s="6" t="str">
        <f ca="1">IFERROR(__xludf.DUMMYFUNCTION("""COMPUTED_VALUE"""),"")</f>
        <v/>
      </c>
      <c r="G871" s="6" t="str">
        <f ca="1">IFERROR(__xludf.DUMMYFUNCTION("""COMPUTED_VALUE"""),"")</f>
        <v/>
      </c>
      <c r="H871" s="6" t="str">
        <f ca="1">IFERROR(__xludf.DUMMYFUNCTION("""COMPUTED_VALUE"""),"")</f>
        <v/>
      </c>
      <c r="I871" s="6" t="str">
        <f ca="1">IFERROR(__xludf.DUMMYFUNCTION("""COMPUTED_VALUE"""),"")</f>
        <v/>
      </c>
      <c r="J871" s="6" t="str">
        <f ca="1">IFERROR(__xludf.DUMMYFUNCTION("""COMPUTED_VALUE"""),"")</f>
        <v/>
      </c>
    </row>
    <row r="872" spans="1:10" x14ac:dyDescent="0.2">
      <c r="A872" s="6" t="str">
        <f ca="1">IFERROR(__xludf.DUMMYFUNCTION("""COMPUTED_VALUE"""),"")</f>
        <v/>
      </c>
      <c r="B872" s="6" t="str">
        <f ca="1">IFERROR(__xludf.DUMMYFUNCTION("""COMPUTED_VALUE"""),"")</f>
        <v/>
      </c>
      <c r="C872" s="6" t="str">
        <f ca="1">IFERROR(__xludf.DUMMYFUNCTION("""COMPUTED_VALUE"""),"")</f>
        <v/>
      </c>
      <c r="D872" s="6" t="str">
        <f ca="1">IFERROR(__xludf.DUMMYFUNCTION("""COMPUTED_VALUE"""),"")</f>
        <v/>
      </c>
      <c r="E872" s="6" t="str">
        <f ca="1">IFERROR(__xludf.DUMMYFUNCTION("""COMPUTED_VALUE"""),"")</f>
        <v/>
      </c>
      <c r="F872" s="6" t="str">
        <f ca="1">IFERROR(__xludf.DUMMYFUNCTION("""COMPUTED_VALUE"""),"")</f>
        <v/>
      </c>
      <c r="G872" s="6" t="str">
        <f ca="1">IFERROR(__xludf.DUMMYFUNCTION("""COMPUTED_VALUE"""),"")</f>
        <v/>
      </c>
      <c r="H872" s="6" t="str">
        <f ca="1">IFERROR(__xludf.DUMMYFUNCTION("""COMPUTED_VALUE"""),"")</f>
        <v/>
      </c>
      <c r="I872" s="6" t="str">
        <f ca="1">IFERROR(__xludf.DUMMYFUNCTION("""COMPUTED_VALUE"""),"")</f>
        <v/>
      </c>
      <c r="J872" s="6" t="str">
        <f ca="1">IFERROR(__xludf.DUMMYFUNCTION("""COMPUTED_VALUE"""),"")</f>
        <v/>
      </c>
    </row>
    <row r="873" spans="1:10" x14ac:dyDescent="0.2">
      <c r="A873" s="6" t="str">
        <f ca="1">IFERROR(__xludf.DUMMYFUNCTION("""COMPUTED_VALUE"""),"")</f>
        <v/>
      </c>
      <c r="B873" s="6" t="str">
        <f ca="1">IFERROR(__xludf.DUMMYFUNCTION("""COMPUTED_VALUE"""),"")</f>
        <v/>
      </c>
      <c r="C873" s="6" t="str">
        <f ca="1">IFERROR(__xludf.DUMMYFUNCTION("""COMPUTED_VALUE"""),"")</f>
        <v/>
      </c>
      <c r="D873" s="6" t="str">
        <f ca="1">IFERROR(__xludf.DUMMYFUNCTION("""COMPUTED_VALUE"""),"")</f>
        <v/>
      </c>
      <c r="E873" s="6" t="str">
        <f ca="1">IFERROR(__xludf.DUMMYFUNCTION("""COMPUTED_VALUE"""),"")</f>
        <v/>
      </c>
      <c r="F873" s="6" t="str">
        <f ca="1">IFERROR(__xludf.DUMMYFUNCTION("""COMPUTED_VALUE"""),"")</f>
        <v/>
      </c>
      <c r="G873" s="6" t="str">
        <f ca="1">IFERROR(__xludf.DUMMYFUNCTION("""COMPUTED_VALUE"""),"")</f>
        <v/>
      </c>
      <c r="H873" s="6" t="str">
        <f ca="1">IFERROR(__xludf.DUMMYFUNCTION("""COMPUTED_VALUE"""),"")</f>
        <v/>
      </c>
      <c r="I873" s="6" t="str">
        <f ca="1">IFERROR(__xludf.DUMMYFUNCTION("""COMPUTED_VALUE"""),"")</f>
        <v/>
      </c>
      <c r="J873" s="6" t="str">
        <f ca="1">IFERROR(__xludf.DUMMYFUNCTION("""COMPUTED_VALUE"""),"")</f>
        <v/>
      </c>
    </row>
    <row r="874" spans="1:10" x14ac:dyDescent="0.2">
      <c r="A874" s="6" t="str">
        <f ca="1">IFERROR(__xludf.DUMMYFUNCTION("""COMPUTED_VALUE"""),"")</f>
        <v/>
      </c>
      <c r="B874" s="6" t="str">
        <f ca="1">IFERROR(__xludf.DUMMYFUNCTION("""COMPUTED_VALUE"""),"")</f>
        <v/>
      </c>
      <c r="C874" s="6" t="str">
        <f ca="1">IFERROR(__xludf.DUMMYFUNCTION("""COMPUTED_VALUE"""),"")</f>
        <v/>
      </c>
      <c r="D874" s="6" t="str">
        <f ca="1">IFERROR(__xludf.DUMMYFUNCTION("""COMPUTED_VALUE"""),"")</f>
        <v/>
      </c>
      <c r="E874" s="6" t="str">
        <f ca="1">IFERROR(__xludf.DUMMYFUNCTION("""COMPUTED_VALUE"""),"")</f>
        <v/>
      </c>
      <c r="F874" s="6" t="str">
        <f ca="1">IFERROR(__xludf.DUMMYFUNCTION("""COMPUTED_VALUE"""),"")</f>
        <v/>
      </c>
      <c r="G874" s="6" t="str">
        <f ca="1">IFERROR(__xludf.DUMMYFUNCTION("""COMPUTED_VALUE"""),"")</f>
        <v/>
      </c>
      <c r="H874" s="6" t="str">
        <f ca="1">IFERROR(__xludf.DUMMYFUNCTION("""COMPUTED_VALUE"""),"")</f>
        <v/>
      </c>
      <c r="I874" s="6" t="str">
        <f ca="1">IFERROR(__xludf.DUMMYFUNCTION("""COMPUTED_VALUE"""),"")</f>
        <v/>
      </c>
      <c r="J874" s="6" t="str">
        <f ca="1">IFERROR(__xludf.DUMMYFUNCTION("""COMPUTED_VALUE"""),"")</f>
        <v/>
      </c>
    </row>
    <row r="875" spans="1:10" x14ac:dyDescent="0.2">
      <c r="A875" s="6" t="str">
        <f ca="1">IFERROR(__xludf.DUMMYFUNCTION("""COMPUTED_VALUE"""),"")</f>
        <v/>
      </c>
      <c r="B875" s="6" t="str">
        <f ca="1">IFERROR(__xludf.DUMMYFUNCTION("""COMPUTED_VALUE"""),"")</f>
        <v/>
      </c>
      <c r="C875" s="6" t="str">
        <f ca="1">IFERROR(__xludf.DUMMYFUNCTION("""COMPUTED_VALUE"""),"")</f>
        <v/>
      </c>
      <c r="D875" s="6" t="str">
        <f ca="1">IFERROR(__xludf.DUMMYFUNCTION("""COMPUTED_VALUE"""),"")</f>
        <v/>
      </c>
      <c r="E875" s="6" t="str">
        <f ca="1">IFERROR(__xludf.DUMMYFUNCTION("""COMPUTED_VALUE"""),"")</f>
        <v/>
      </c>
      <c r="F875" s="6" t="str">
        <f ca="1">IFERROR(__xludf.DUMMYFUNCTION("""COMPUTED_VALUE"""),"")</f>
        <v/>
      </c>
      <c r="G875" s="6" t="str">
        <f ca="1">IFERROR(__xludf.DUMMYFUNCTION("""COMPUTED_VALUE"""),"")</f>
        <v/>
      </c>
      <c r="H875" s="6" t="str">
        <f ca="1">IFERROR(__xludf.DUMMYFUNCTION("""COMPUTED_VALUE"""),"")</f>
        <v/>
      </c>
      <c r="I875" s="6" t="str">
        <f ca="1">IFERROR(__xludf.DUMMYFUNCTION("""COMPUTED_VALUE"""),"")</f>
        <v/>
      </c>
      <c r="J875" s="6" t="str">
        <f ca="1">IFERROR(__xludf.DUMMYFUNCTION("""COMPUTED_VALUE"""),"")</f>
        <v/>
      </c>
    </row>
    <row r="876" spans="1:10" x14ac:dyDescent="0.2">
      <c r="A876" s="6" t="str">
        <f ca="1">IFERROR(__xludf.DUMMYFUNCTION("""COMPUTED_VALUE"""),"")</f>
        <v/>
      </c>
      <c r="B876" s="6" t="str">
        <f ca="1">IFERROR(__xludf.DUMMYFUNCTION("""COMPUTED_VALUE"""),"")</f>
        <v/>
      </c>
      <c r="C876" s="6" t="str">
        <f ca="1">IFERROR(__xludf.DUMMYFUNCTION("""COMPUTED_VALUE"""),"")</f>
        <v/>
      </c>
      <c r="D876" s="6" t="str">
        <f ca="1">IFERROR(__xludf.DUMMYFUNCTION("""COMPUTED_VALUE"""),"")</f>
        <v/>
      </c>
      <c r="E876" s="6" t="str">
        <f ca="1">IFERROR(__xludf.DUMMYFUNCTION("""COMPUTED_VALUE"""),"")</f>
        <v/>
      </c>
      <c r="F876" s="6" t="str">
        <f ca="1">IFERROR(__xludf.DUMMYFUNCTION("""COMPUTED_VALUE"""),"")</f>
        <v/>
      </c>
      <c r="G876" s="6" t="str">
        <f ca="1">IFERROR(__xludf.DUMMYFUNCTION("""COMPUTED_VALUE"""),"")</f>
        <v/>
      </c>
      <c r="H876" s="6" t="str">
        <f ca="1">IFERROR(__xludf.DUMMYFUNCTION("""COMPUTED_VALUE"""),"")</f>
        <v/>
      </c>
      <c r="I876" s="6" t="str">
        <f ca="1">IFERROR(__xludf.DUMMYFUNCTION("""COMPUTED_VALUE"""),"")</f>
        <v/>
      </c>
      <c r="J876" s="6" t="str">
        <f ca="1">IFERROR(__xludf.DUMMYFUNCTION("""COMPUTED_VALUE"""),"")</f>
        <v/>
      </c>
    </row>
    <row r="877" spans="1:10" x14ac:dyDescent="0.2">
      <c r="A877" s="6" t="str">
        <f ca="1">IFERROR(__xludf.DUMMYFUNCTION("""COMPUTED_VALUE"""),"")</f>
        <v/>
      </c>
      <c r="B877" s="6" t="str">
        <f ca="1">IFERROR(__xludf.DUMMYFUNCTION("""COMPUTED_VALUE"""),"")</f>
        <v/>
      </c>
      <c r="C877" s="6" t="str">
        <f ca="1">IFERROR(__xludf.DUMMYFUNCTION("""COMPUTED_VALUE"""),"")</f>
        <v/>
      </c>
      <c r="D877" s="6" t="str">
        <f ca="1">IFERROR(__xludf.DUMMYFUNCTION("""COMPUTED_VALUE"""),"")</f>
        <v/>
      </c>
      <c r="E877" s="6" t="str">
        <f ca="1">IFERROR(__xludf.DUMMYFUNCTION("""COMPUTED_VALUE"""),"")</f>
        <v/>
      </c>
      <c r="F877" s="6" t="str">
        <f ca="1">IFERROR(__xludf.DUMMYFUNCTION("""COMPUTED_VALUE"""),"")</f>
        <v/>
      </c>
      <c r="G877" s="6" t="str">
        <f ca="1">IFERROR(__xludf.DUMMYFUNCTION("""COMPUTED_VALUE"""),"")</f>
        <v/>
      </c>
      <c r="H877" s="6" t="str">
        <f ca="1">IFERROR(__xludf.DUMMYFUNCTION("""COMPUTED_VALUE"""),"")</f>
        <v/>
      </c>
      <c r="I877" s="6" t="str">
        <f ca="1">IFERROR(__xludf.DUMMYFUNCTION("""COMPUTED_VALUE"""),"")</f>
        <v/>
      </c>
      <c r="J877" s="6" t="str">
        <f ca="1">IFERROR(__xludf.DUMMYFUNCTION("""COMPUTED_VALUE"""),"")</f>
        <v/>
      </c>
    </row>
    <row r="878" spans="1:10" x14ac:dyDescent="0.2">
      <c r="A878" s="6" t="str">
        <f ca="1">IFERROR(__xludf.DUMMYFUNCTION("""COMPUTED_VALUE"""),"")</f>
        <v/>
      </c>
      <c r="B878" s="6" t="str">
        <f ca="1">IFERROR(__xludf.DUMMYFUNCTION("""COMPUTED_VALUE"""),"")</f>
        <v/>
      </c>
      <c r="C878" s="6" t="str">
        <f ca="1">IFERROR(__xludf.DUMMYFUNCTION("""COMPUTED_VALUE"""),"")</f>
        <v/>
      </c>
      <c r="D878" s="6" t="str">
        <f ca="1">IFERROR(__xludf.DUMMYFUNCTION("""COMPUTED_VALUE"""),"")</f>
        <v/>
      </c>
      <c r="E878" s="6" t="str">
        <f ca="1">IFERROR(__xludf.DUMMYFUNCTION("""COMPUTED_VALUE"""),"")</f>
        <v/>
      </c>
      <c r="F878" s="6" t="str">
        <f ca="1">IFERROR(__xludf.DUMMYFUNCTION("""COMPUTED_VALUE"""),"")</f>
        <v/>
      </c>
      <c r="G878" s="6" t="str">
        <f ca="1">IFERROR(__xludf.DUMMYFUNCTION("""COMPUTED_VALUE"""),"")</f>
        <v/>
      </c>
      <c r="H878" s="6" t="str">
        <f ca="1">IFERROR(__xludf.DUMMYFUNCTION("""COMPUTED_VALUE"""),"")</f>
        <v/>
      </c>
      <c r="I878" s="6" t="str">
        <f ca="1">IFERROR(__xludf.DUMMYFUNCTION("""COMPUTED_VALUE"""),"")</f>
        <v/>
      </c>
      <c r="J878" s="6" t="str">
        <f ca="1">IFERROR(__xludf.DUMMYFUNCTION("""COMPUTED_VALUE"""),"")</f>
        <v/>
      </c>
    </row>
    <row r="879" spans="1:10" x14ac:dyDescent="0.2">
      <c r="A879" s="6" t="str">
        <f ca="1">IFERROR(__xludf.DUMMYFUNCTION("""COMPUTED_VALUE"""),"")</f>
        <v/>
      </c>
      <c r="B879" s="6" t="str">
        <f ca="1">IFERROR(__xludf.DUMMYFUNCTION("""COMPUTED_VALUE"""),"")</f>
        <v/>
      </c>
      <c r="C879" s="6" t="str">
        <f ca="1">IFERROR(__xludf.DUMMYFUNCTION("""COMPUTED_VALUE"""),"")</f>
        <v/>
      </c>
      <c r="D879" s="6" t="str">
        <f ca="1">IFERROR(__xludf.DUMMYFUNCTION("""COMPUTED_VALUE"""),"")</f>
        <v/>
      </c>
      <c r="E879" s="6" t="str">
        <f ca="1">IFERROR(__xludf.DUMMYFUNCTION("""COMPUTED_VALUE"""),"")</f>
        <v/>
      </c>
      <c r="F879" s="6" t="str">
        <f ca="1">IFERROR(__xludf.DUMMYFUNCTION("""COMPUTED_VALUE"""),"")</f>
        <v/>
      </c>
      <c r="G879" s="6" t="str">
        <f ca="1">IFERROR(__xludf.DUMMYFUNCTION("""COMPUTED_VALUE"""),"")</f>
        <v/>
      </c>
      <c r="H879" s="6" t="str">
        <f ca="1">IFERROR(__xludf.DUMMYFUNCTION("""COMPUTED_VALUE"""),"")</f>
        <v/>
      </c>
      <c r="I879" s="6" t="str">
        <f ca="1">IFERROR(__xludf.DUMMYFUNCTION("""COMPUTED_VALUE"""),"")</f>
        <v/>
      </c>
      <c r="J879" s="6" t="str">
        <f ca="1">IFERROR(__xludf.DUMMYFUNCTION("""COMPUTED_VALUE"""),"")</f>
        <v/>
      </c>
    </row>
    <row r="880" spans="1:10" x14ac:dyDescent="0.2">
      <c r="A880" s="6" t="str">
        <f ca="1">IFERROR(__xludf.DUMMYFUNCTION("""COMPUTED_VALUE"""),"")</f>
        <v/>
      </c>
      <c r="B880" s="6" t="str">
        <f ca="1">IFERROR(__xludf.DUMMYFUNCTION("""COMPUTED_VALUE"""),"")</f>
        <v/>
      </c>
      <c r="C880" s="6" t="str">
        <f ca="1">IFERROR(__xludf.DUMMYFUNCTION("""COMPUTED_VALUE"""),"")</f>
        <v/>
      </c>
      <c r="D880" s="6" t="str">
        <f ca="1">IFERROR(__xludf.DUMMYFUNCTION("""COMPUTED_VALUE"""),"")</f>
        <v/>
      </c>
      <c r="E880" s="6" t="str">
        <f ca="1">IFERROR(__xludf.DUMMYFUNCTION("""COMPUTED_VALUE"""),"")</f>
        <v/>
      </c>
      <c r="F880" s="6" t="str">
        <f ca="1">IFERROR(__xludf.DUMMYFUNCTION("""COMPUTED_VALUE"""),"")</f>
        <v/>
      </c>
      <c r="G880" s="6" t="str">
        <f ca="1">IFERROR(__xludf.DUMMYFUNCTION("""COMPUTED_VALUE"""),"")</f>
        <v/>
      </c>
      <c r="H880" s="6" t="str">
        <f ca="1">IFERROR(__xludf.DUMMYFUNCTION("""COMPUTED_VALUE"""),"")</f>
        <v/>
      </c>
      <c r="I880" s="6" t="str">
        <f ca="1">IFERROR(__xludf.DUMMYFUNCTION("""COMPUTED_VALUE"""),"")</f>
        <v/>
      </c>
      <c r="J880" s="6" t="str">
        <f ca="1">IFERROR(__xludf.DUMMYFUNCTION("""COMPUTED_VALUE"""),"")</f>
        <v/>
      </c>
    </row>
    <row r="881" spans="1:10" x14ac:dyDescent="0.2">
      <c r="A881" s="6" t="str">
        <f ca="1">IFERROR(__xludf.DUMMYFUNCTION("""COMPUTED_VALUE"""),"")</f>
        <v/>
      </c>
      <c r="B881" s="6" t="str">
        <f ca="1">IFERROR(__xludf.DUMMYFUNCTION("""COMPUTED_VALUE"""),"")</f>
        <v/>
      </c>
      <c r="C881" s="6" t="str">
        <f ca="1">IFERROR(__xludf.DUMMYFUNCTION("""COMPUTED_VALUE"""),"")</f>
        <v/>
      </c>
      <c r="D881" s="6" t="str">
        <f ca="1">IFERROR(__xludf.DUMMYFUNCTION("""COMPUTED_VALUE"""),"")</f>
        <v/>
      </c>
      <c r="E881" s="6" t="str">
        <f ca="1">IFERROR(__xludf.DUMMYFUNCTION("""COMPUTED_VALUE"""),"")</f>
        <v/>
      </c>
      <c r="F881" s="6" t="str">
        <f ca="1">IFERROR(__xludf.DUMMYFUNCTION("""COMPUTED_VALUE"""),"")</f>
        <v/>
      </c>
      <c r="G881" s="6" t="str">
        <f ca="1">IFERROR(__xludf.DUMMYFUNCTION("""COMPUTED_VALUE"""),"")</f>
        <v/>
      </c>
      <c r="H881" s="6" t="str">
        <f ca="1">IFERROR(__xludf.DUMMYFUNCTION("""COMPUTED_VALUE"""),"")</f>
        <v/>
      </c>
      <c r="I881" s="6" t="str">
        <f ca="1">IFERROR(__xludf.DUMMYFUNCTION("""COMPUTED_VALUE"""),"")</f>
        <v/>
      </c>
      <c r="J881" s="6" t="str">
        <f ca="1">IFERROR(__xludf.DUMMYFUNCTION("""COMPUTED_VALUE"""),"")</f>
        <v/>
      </c>
    </row>
    <row r="882" spans="1:10" x14ac:dyDescent="0.2">
      <c r="A882" s="6" t="str">
        <f ca="1">IFERROR(__xludf.DUMMYFUNCTION("""COMPUTED_VALUE"""),"")</f>
        <v/>
      </c>
      <c r="B882" s="6" t="str">
        <f ca="1">IFERROR(__xludf.DUMMYFUNCTION("""COMPUTED_VALUE"""),"")</f>
        <v/>
      </c>
      <c r="C882" s="6" t="str">
        <f ca="1">IFERROR(__xludf.DUMMYFUNCTION("""COMPUTED_VALUE"""),"")</f>
        <v/>
      </c>
      <c r="D882" s="6" t="str">
        <f ca="1">IFERROR(__xludf.DUMMYFUNCTION("""COMPUTED_VALUE"""),"")</f>
        <v/>
      </c>
      <c r="E882" s="6" t="str">
        <f ca="1">IFERROR(__xludf.DUMMYFUNCTION("""COMPUTED_VALUE"""),"")</f>
        <v/>
      </c>
      <c r="F882" s="6" t="str">
        <f ca="1">IFERROR(__xludf.DUMMYFUNCTION("""COMPUTED_VALUE"""),"")</f>
        <v/>
      </c>
      <c r="G882" s="6" t="str">
        <f ca="1">IFERROR(__xludf.DUMMYFUNCTION("""COMPUTED_VALUE"""),"")</f>
        <v/>
      </c>
      <c r="H882" s="6" t="str">
        <f ca="1">IFERROR(__xludf.DUMMYFUNCTION("""COMPUTED_VALUE"""),"")</f>
        <v/>
      </c>
      <c r="I882" s="6" t="str">
        <f ca="1">IFERROR(__xludf.DUMMYFUNCTION("""COMPUTED_VALUE"""),"")</f>
        <v/>
      </c>
      <c r="J882" s="6" t="str">
        <f ca="1">IFERROR(__xludf.DUMMYFUNCTION("""COMPUTED_VALUE"""),"")</f>
        <v/>
      </c>
    </row>
    <row r="883" spans="1:10" x14ac:dyDescent="0.2">
      <c r="A883" s="6" t="str">
        <f ca="1">IFERROR(__xludf.DUMMYFUNCTION("""COMPUTED_VALUE"""),"")</f>
        <v/>
      </c>
      <c r="B883" s="6" t="str">
        <f ca="1">IFERROR(__xludf.DUMMYFUNCTION("""COMPUTED_VALUE"""),"")</f>
        <v/>
      </c>
      <c r="C883" s="6" t="str">
        <f ca="1">IFERROR(__xludf.DUMMYFUNCTION("""COMPUTED_VALUE"""),"")</f>
        <v/>
      </c>
      <c r="D883" s="6" t="str">
        <f ca="1">IFERROR(__xludf.DUMMYFUNCTION("""COMPUTED_VALUE"""),"")</f>
        <v/>
      </c>
      <c r="E883" s="6" t="str">
        <f ca="1">IFERROR(__xludf.DUMMYFUNCTION("""COMPUTED_VALUE"""),"")</f>
        <v/>
      </c>
      <c r="F883" s="6" t="str">
        <f ca="1">IFERROR(__xludf.DUMMYFUNCTION("""COMPUTED_VALUE"""),"")</f>
        <v/>
      </c>
      <c r="G883" s="6" t="str">
        <f ca="1">IFERROR(__xludf.DUMMYFUNCTION("""COMPUTED_VALUE"""),"")</f>
        <v/>
      </c>
      <c r="H883" s="6" t="str">
        <f ca="1">IFERROR(__xludf.DUMMYFUNCTION("""COMPUTED_VALUE"""),"")</f>
        <v/>
      </c>
      <c r="I883" s="6" t="str">
        <f ca="1">IFERROR(__xludf.DUMMYFUNCTION("""COMPUTED_VALUE"""),"")</f>
        <v/>
      </c>
      <c r="J883" s="6" t="str">
        <f ca="1">IFERROR(__xludf.DUMMYFUNCTION("""COMPUTED_VALUE"""),"")</f>
        <v/>
      </c>
    </row>
    <row r="884" spans="1:10" x14ac:dyDescent="0.2">
      <c r="A884" s="6" t="str">
        <f ca="1">IFERROR(__xludf.DUMMYFUNCTION("""COMPUTED_VALUE"""),"")</f>
        <v/>
      </c>
      <c r="B884" s="6" t="str">
        <f ca="1">IFERROR(__xludf.DUMMYFUNCTION("""COMPUTED_VALUE"""),"")</f>
        <v/>
      </c>
      <c r="C884" s="6" t="str">
        <f ca="1">IFERROR(__xludf.DUMMYFUNCTION("""COMPUTED_VALUE"""),"")</f>
        <v/>
      </c>
      <c r="D884" s="6" t="str">
        <f ca="1">IFERROR(__xludf.DUMMYFUNCTION("""COMPUTED_VALUE"""),"")</f>
        <v/>
      </c>
      <c r="E884" s="6" t="str">
        <f ca="1">IFERROR(__xludf.DUMMYFUNCTION("""COMPUTED_VALUE"""),"")</f>
        <v/>
      </c>
      <c r="F884" s="6" t="str">
        <f ca="1">IFERROR(__xludf.DUMMYFUNCTION("""COMPUTED_VALUE"""),"")</f>
        <v/>
      </c>
      <c r="G884" s="6" t="str">
        <f ca="1">IFERROR(__xludf.DUMMYFUNCTION("""COMPUTED_VALUE"""),"")</f>
        <v/>
      </c>
      <c r="H884" s="6" t="str">
        <f ca="1">IFERROR(__xludf.DUMMYFUNCTION("""COMPUTED_VALUE"""),"")</f>
        <v/>
      </c>
      <c r="I884" s="6" t="str">
        <f ca="1">IFERROR(__xludf.DUMMYFUNCTION("""COMPUTED_VALUE"""),"")</f>
        <v/>
      </c>
      <c r="J884" s="6" t="str">
        <f ca="1">IFERROR(__xludf.DUMMYFUNCTION("""COMPUTED_VALUE"""),"")</f>
        <v/>
      </c>
    </row>
    <row r="885" spans="1:10" x14ac:dyDescent="0.2">
      <c r="A885" s="6" t="str">
        <f ca="1">IFERROR(__xludf.DUMMYFUNCTION("""COMPUTED_VALUE"""),"")</f>
        <v/>
      </c>
      <c r="B885" s="6" t="str">
        <f ca="1">IFERROR(__xludf.DUMMYFUNCTION("""COMPUTED_VALUE"""),"")</f>
        <v/>
      </c>
      <c r="C885" s="6" t="str">
        <f ca="1">IFERROR(__xludf.DUMMYFUNCTION("""COMPUTED_VALUE"""),"")</f>
        <v/>
      </c>
      <c r="D885" s="6" t="str">
        <f ca="1">IFERROR(__xludf.DUMMYFUNCTION("""COMPUTED_VALUE"""),"")</f>
        <v/>
      </c>
      <c r="E885" s="6" t="str">
        <f ca="1">IFERROR(__xludf.DUMMYFUNCTION("""COMPUTED_VALUE"""),"")</f>
        <v/>
      </c>
      <c r="F885" s="6" t="str">
        <f ca="1">IFERROR(__xludf.DUMMYFUNCTION("""COMPUTED_VALUE"""),"")</f>
        <v/>
      </c>
      <c r="G885" s="6" t="str">
        <f ca="1">IFERROR(__xludf.DUMMYFUNCTION("""COMPUTED_VALUE"""),"")</f>
        <v/>
      </c>
      <c r="H885" s="6" t="str">
        <f ca="1">IFERROR(__xludf.DUMMYFUNCTION("""COMPUTED_VALUE"""),"")</f>
        <v/>
      </c>
      <c r="I885" s="6" t="str">
        <f ca="1">IFERROR(__xludf.DUMMYFUNCTION("""COMPUTED_VALUE"""),"")</f>
        <v/>
      </c>
      <c r="J885" s="6" t="str">
        <f ca="1">IFERROR(__xludf.DUMMYFUNCTION("""COMPUTED_VALUE"""),"")</f>
        <v/>
      </c>
    </row>
    <row r="886" spans="1:10" x14ac:dyDescent="0.2">
      <c r="A886" s="6" t="str">
        <f ca="1">IFERROR(__xludf.DUMMYFUNCTION("""COMPUTED_VALUE"""),"")</f>
        <v/>
      </c>
      <c r="B886" s="6" t="str">
        <f ca="1">IFERROR(__xludf.DUMMYFUNCTION("""COMPUTED_VALUE"""),"")</f>
        <v/>
      </c>
      <c r="C886" s="6" t="str">
        <f ca="1">IFERROR(__xludf.DUMMYFUNCTION("""COMPUTED_VALUE"""),"")</f>
        <v/>
      </c>
      <c r="D886" s="6" t="str">
        <f ca="1">IFERROR(__xludf.DUMMYFUNCTION("""COMPUTED_VALUE"""),"")</f>
        <v/>
      </c>
      <c r="E886" s="6" t="str">
        <f ca="1">IFERROR(__xludf.DUMMYFUNCTION("""COMPUTED_VALUE"""),"")</f>
        <v/>
      </c>
      <c r="F886" s="6" t="str">
        <f ca="1">IFERROR(__xludf.DUMMYFUNCTION("""COMPUTED_VALUE"""),"")</f>
        <v/>
      </c>
      <c r="G886" s="6" t="str">
        <f ca="1">IFERROR(__xludf.DUMMYFUNCTION("""COMPUTED_VALUE"""),"")</f>
        <v/>
      </c>
      <c r="H886" s="6" t="str">
        <f ca="1">IFERROR(__xludf.DUMMYFUNCTION("""COMPUTED_VALUE"""),"")</f>
        <v/>
      </c>
      <c r="I886" s="6" t="str">
        <f ca="1">IFERROR(__xludf.DUMMYFUNCTION("""COMPUTED_VALUE"""),"")</f>
        <v/>
      </c>
      <c r="J886" s="6" t="str">
        <f ca="1">IFERROR(__xludf.DUMMYFUNCTION("""COMPUTED_VALUE"""),"")</f>
        <v/>
      </c>
    </row>
    <row r="887" spans="1:10" x14ac:dyDescent="0.2">
      <c r="A887" s="6" t="str">
        <f ca="1">IFERROR(__xludf.DUMMYFUNCTION("""COMPUTED_VALUE"""),"")</f>
        <v/>
      </c>
      <c r="B887" s="6" t="str">
        <f ca="1">IFERROR(__xludf.DUMMYFUNCTION("""COMPUTED_VALUE"""),"")</f>
        <v/>
      </c>
      <c r="C887" s="6" t="str">
        <f ca="1">IFERROR(__xludf.DUMMYFUNCTION("""COMPUTED_VALUE"""),"")</f>
        <v/>
      </c>
      <c r="D887" s="6" t="str">
        <f ca="1">IFERROR(__xludf.DUMMYFUNCTION("""COMPUTED_VALUE"""),"")</f>
        <v/>
      </c>
      <c r="E887" s="6" t="str">
        <f ca="1">IFERROR(__xludf.DUMMYFUNCTION("""COMPUTED_VALUE"""),"")</f>
        <v/>
      </c>
      <c r="F887" s="6" t="str">
        <f ca="1">IFERROR(__xludf.DUMMYFUNCTION("""COMPUTED_VALUE"""),"")</f>
        <v/>
      </c>
      <c r="G887" s="6" t="str">
        <f ca="1">IFERROR(__xludf.DUMMYFUNCTION("""COMPUTED_VALUE"""),"")</f>
        <v/>
      </c>
      <c r="H887" s="6" t="str">
        <f ca="1">IFERROR(__xludf.DUMMYFUNCTION("""COMPUTED_VALUE"""),"")</f>
        <v/>
      </c>
      <c r="I887" s="6" t="str">
        <f ca="1">IFERROR(__xludf.DUMMYFUNCTION("""COMPUTED_VALUE"""),"")</f>
        <v/>
      </c>
      <c r="J887" s="6" t="str">
        <f ca="1">IFERROR(__xludf.DUMMYFUNCTION("""COMPUTED_VALUE"""),"")</f>
        <v/>
      </c>
    </row>
    <row r="888" spans="1:10" x14ac:dyDescent="0.2">
      <c r="A888" s="6" t="str">
        <f ca="1">IFERROR(__xludf.DUMMYFUNCTION("""COMPUTED_VALUE"""),"")</f>
        <v/>
      </c>
      <c r="B888" s="6" t="str">
        <f ca="1">IFERROR(__xludf.DUMMYFUNCTION("""COMPUTED_VALUE"""),"")</f>
        <v/>
      </c>
      <c r="C888" s="6" t="str">
        <f ca="1">IFERROR(__xludf.DUMMYFUNCTION("""COMPUTED_VALUE"""),"")</f>
        <v/>
      </c>
      <c r="D888" s="6" t="str">
        <f ca="1">IFERROR(__xludf.DUMMYFUNCTION("""COMPUTED_VALUE"""),"")</f>
        <v/>
      </c>
      <c r="E888" s="6" t="str">
        <f ca="1">IFERROR(__xludf.DUMMYFUNCTION("""COMPUTED_VALUE"""),"")</f>
        <v/>
      </c>
      <c r="F888" s="6" t="str">
        <f ca="1">IFERROR(__xludf.DUMMYFUNCTION("""COMPUTED_VALUE"""),"")</f>
        <v/>
      </c>
      <c r="G888" s="6" t="str">
        <f ca="1">IFERROR(__xludf.DUMMYFUNCTION("""COMPUTED_VALUE"""),"")</f>
        <v/>
      </c>
      <c r="H888" s="6" t="str">
        <f ca="1">IFERROR(__xludf.DUMMYFUNCTION("""COMPUTED_VALUE"""),"")</f>
        <v/>
      </c>
      <c r="I888" s="6" t="str">
        <f ca="1">IFERROR(__xludf.DUMMYFUNCTION("""COMPUTED_VALUE"""),"")</f>
        <v/>
      </c>
      <c r="J888" s="6" t="str">
        <f ca="1">IFERROR(__xludf.DUMMYFUNCTION("""COMPUTED_VALUE"""),"")</f>
        <v/>
      </c>
    </row>
    <row r="889" spans="1:10" x14ac:dyDescent="0.2">
      <c r="A889" s="6" t="str">
        <f ca="1">IFERROR(__xludf.DUMMYFUNCTION("""COMPUTED_VALUE"""),"")</f>
        <v/>
      </c>
      <c r="B889" s="6" t="str">
        <f ca="1">IFERROR(__xludf.DUMMYFUNCTION("""COMPUTED_VALUE"""),"")</f>
        <v/>
      </c>
      <c r="C889" s="6" t="str">
        <f ca="1">IFERROR(__xludf.DUMMYFUNCTION("""COMPUTED_VALUE"""),"")</f>
        <v/>
      </c>
      <c r="D889" s="6" t="str">
        <f ca="1">IFERROR(__xludf.DUMMYFUNCTION("""COMPUTED_VALUE"""),"")</f>
        <v/>
      </c>
      <c r="E889" s="6" t="str">
        <f ca="1">IFERROR(__xludf.DUMMYFUNCTION("""COMPUTED_VALUE"""),"")</f>
        <v/>
      </c>
      <c r="F889" s="6" t="str">
        <f ca="1">IFERROR(__xludf.DUMMYFUNCTION("""COMPUTED_VALUE"""),"")</f>
        <v/>
      </c>
      <c r="G889" s="6" t="str">
        <f ca="1">IFERROR(__xludf.DUMMYFUNCTION("""COMPUTED_VALUE"""),"")</f>
        <v/>
      </c>
      <c r="H889" s="6" t="str">
        <f ca="1">IFERROR(__xludf.DUMMYFUNCTION("""COMPUTED_VALUE"""),"")</f>
        <v/>
      </c>
      <c r="I889" s="6" t="str">
        <f ca="1">IFERROR(__xludf.DUMMYFUNCTION("""COMPUTED_VALUE"""),"")</f>
        <v/>
      </c>
      <c r="J889" s="6" t="str">
        <f ca="1">IFERROR(__xludf.DUMMYFUNCTION("""COMPUTED_VALUE"""),"")</f>
        <v/>
      </c>
    </row>
    <row r="890" spans="1:10" x14ac:dyDescent="0.2">
      <c r="A890" s="6" t="str">
        <f ca="1">IFERROR(__xludf.DUMMYFUNCTION("""COMPUTED_VALUE"""),"")</f>
        <v/>
      </c>
      <c r="B890" s="6" t="str">
        <f ca="1">IFERROR(__xludf.DUMMYFUNCTION("""COMPUTED_VALUE"""),"")</f>
        <v/>
      </c>
      <c r="C890" s="6" t="str">
        <f ca="1">IFERROR(__xludf.DUMMYFUNCTION("""COMPUTED_VALUE"""),"")</f>
        <v/>
      </c>
      <c r="D890" s="6" t="str">
        <f ca="1">IFERROR(__xludf.DUMMYFUNCTION("""COMPUTED_VALUE"""),"")</f>
        <v/>
      </c>
      <c r="E890" s="6" t="str">
        <f ca="1">IFERROR(__xludf.DUMMYFUNCTION("""COMPUTED_VALUE"""),"")</f>
        <v/>
      </c>
      <c r="F890" s="6" t="str">
        <f ca="1">IFERROR(__xludf.DUMMYFUNCTION("""COMPUTED_VALUE"""),"")</f>
        <v/>
      </c>
      <c r="G890" s="6" t="str">
        <f ca="1">IFERROR(__xludf.DUMMYFUNCTION("""COMPUTED_VALUE"""),"")</f>
        <v/>
      </c>
      <c r="H890" s="6" t="str">
        <f ca="1">IFERROR(__xludf.DUMMYFUNCTION("""COMPUTED_VALUE"""),"")</f>
        <v/>
      </c>
      <c r="I890" s="6" t="str">
        <f ca="1">IFERROR(__xludf.DUMMYFUNCTION("""COMPUTED_VALUE"""),"")</f>
        <v/>
      </c>
      <c r="J890" s="6" t="str">
        <f ca="1">IFERROR(__xludf.DUMMYFUNCTION("""COMPUTED_VALUE"""),"")</f>
        <v/>
      </c>
    </row>
    <row r="891" spans="1:10" x14ac:dyDescent="0.2">
      <c r="A891" s="6" t="str">
        <f ca="1">IFERROR(__xludf.DUMMYFUNCTION("""COMPUTED_VALUE"""),"")</f>
        <v/>
      </c>
      <c r="B891" s="6" t="str">
        <f ca="1">IFERROR(__xludf.DUMMYFUNCTION("""COMPUTED_VALUE"""),"")</f>
        <v/>
      </c>
      <c r="C891" s="6" t="str">
        <f ca="1">IFERROR(__xludf.DUMMYFUNCTION("""COMPUTED_VALUE"""),"")</f>
        <v/>
      </c>
      <c r="D891" s="6" t="str">
        <f ca="1">IFERROR(__xludf.DUMMYFUNCTION("""COMPUTED_VALUE"""),"")</f>
        <v/>
      </c>
      <c r="E891" s="6" t="str">
        <f ca="1">IFERROR(__xludf.DUMMYFUNCTION("""COMPUTED_VALUE"""),"")</f>
        <v/>
      </c>
      <c r="F891" s="6" t="str">
        <f ca="1">IFERROR(__xludf.DUMMYFUNCTION("""COMPUTED_VALUE"""),"")</f>
        <v/>
      </c>
      <c r="G891" s="6" t="str">
        <f ca="1">IFERROR(__xludf.DUMMYFUNCTION("""COMPUTED_VALUE"""),"")</f>
        <v/>
      </c>
      <c r="H891" s="6" t="str">
        <f ca="1">IFERROR(__xludf.DUMMYFUNCTION("""COMPUTED_VALUE"""),"")</f>
        <v/>
      </c>
      <c r="I891" s="6" t="str">
        <f ca="1">IFERROR(__xludf.DUMMYFUNCTION("""COMPUTED_VALUE"""),"")</f>
        <v/>
      </c>
      <c r="J891" s="6" t="str">
        <f ca="1">IFERROR(__xludf.DUMMYFUNCTION("""COMPUTED_VALUE"""),"")</f>
        <v/>
      </c>
    </row>
    <row r="892" spans="1:10" x14ac:dyDescent="0.2">
      <c r="A892" s="6" t="str">
        <f ca="1">IFERROR(__xludf.DUMMYFUNCTION("""COMPUTED_VALUE"""),"")</f>
        <v/>
      </c>
      <c r="B892" s="6" t="str">
        <f ca="1">IFERROR(__xludf.DUMMYFUNCTION("""COMPUTED_VALUE"""),"")</f>
        <v/>
      </c>
      <c r="C892" s="6" t="str">
        <f ca="1">IFERROR(__xludf.DUMMYFUNCTION("""COMPUTED_VALUE"""),"")</f>
        <v/>
      </c>
      <c r="D892" s="6" t="str">
        <f ca="1">IFERROR(__xludf.DUMMYFUNCTION("""COMPUTED_VALUE"""),"")</f>
        <v/>
      </c>
      <c r="E892" s="6" t="str">
        <f ca="1">IFERROR(__xludf.DUMMYFUNCTION("""COMPUTED_VALUE"""),"")</f>
        <v/>
      </c>
      <c r="F892" s="6" t="str">
        <f ca="1">IFERROR(__xludf.DUMMYFUNCTION("""COMPUTED_VALUE"""),"")</f>
        <v/>
      </c>
      <c r="G892" s="6" t="str">
        <f ca="1">IFERROR(__xludf.DUMMYFUNCTION("""COMPUTED_VALUE"""),"")</f>
        <v/>
      </c>
      <c r="H892" s="6" t="str">
        <f ca="1">IFERROR(__xludf.DUMMYFUNCTION("""COMPUTED_VALUE"""),"")</f>
        <v/>
      </c>
      <c r="I892" s="6" t="str">
        <f ca="1">IFERROR(__xludf.DUMMYFUNCTION("""COMPUTED_VALUE"""),"")</f>
        <v/>
      </c>
      <c r="J892" s="6" t="str">
        <f ca="1">IFERROR(__xludf.DUMMYFUNCTION("""COMPUTED_VALUE"""),"")</f>
        <v/>
      </c>
    </row>
    <row r="893" spans="1:10" x14ac:dyDescent="0.2">
      <c r="A893" s="6" t="str">
        <f ca="1">IFERROR(__xludf.DUMMYFUNCTION("""COMPUTED_VALUE"""),"")</f>
        <v/>
      </c>
      <c r="B893" s="6" t="str">
        <f ca="1">IFERROR(__xludf.DUMMYFUNCTION("""COMPUTED_VALUE"""),"")</f>
        <v/>
      </c>
      <c r="C893" s="6" t="str">
        <f ca="1">IFERROR(__xludf.DUMMYFUNCTION("""COMPUTED_VALUE"""),"")</f>
        <v/>
      </c>
      <c r="D893" s="6" t="str">
        <f ca="1">IFERROR(__xludf.DUMMYFUNCTION("""COMPUTED_VALUE"""),"")</f>
        <v/>
      </c>
      <c r="E893" s="6" t="str">
        <f ca="1">IFERROR(__xludf.DUMMYFUNCTION("""COMPUTED_VALUE"""),"")</f>
        <v/>
      </c>
      <c r="F893" s="6" t="str">
        <f ca="1">IFERROR(__xludf.DUMMYFUNCTION("""COMPUTED_VALUE"""),"")</f>
        <v/>
      </c>
      <c r="G893" s="6" t="str">
        <f ca="1">IFERROR(__xludf.DUMMYFUNCTION("""COMPUTED_VALUE"""),"")</f>
        <v/>
      </c>
      <c r="H893" s="6" t="str">
        <f ca="1">IFERROR(__xludf.DUMMYFUNCTION("""COMPUTED_VALUE"""),"")</f>
        <v/>
      </c>
      <c r="I893" s="6" t="str">
        <f ca="1">IFERROR(__xludf.DUMMYFUNCTION("""COMPUTED_VALUE"""),"")</f>
        <v/>
      </c>
      <c r="J893" s="6" t="str">
        <f ca="1">IFERROR(__xludf.DUMMYFUNCTION("""COMPUTED_VALUE"""),"")</f>
        <v/>
      </c>
    </row>
    <row r="894" spans="1:10" x14ac:dyDescent="0.2">
      <c r="A894" s="6" t="str">
        <f ca="1">IFERROR(__xludf.DUMMYFUNCTION("""COMPUTED_VALUE"""),"")</f>
        <v/>
      </c>
      <c r="B894" s="6" t="str">
        <f ca="1">IFERROR(__xludf.DUMMYFUNCTION("""COMPUTED_VALUE"""),"")</f>
        <v/>
      </c>
      <c r="C894" s="6" t="str">
        <f ca="1">IFERROR(__xludf.DUMMYFUNCTION("""COMPUTED_VALUE"""),"")</f>
        <v/>
      </c>
      <c r="D894" s="6" t="str">
        <f ca="1">IFERROR(__xludf.DUMMYFUNCTION("""COMPUTED_VALUE"""),"")</f>
        <v/>
      </c>
      <c r="E894" s="6" t="str">
        <f ca="1">IFERROR(__xludf.DUMMYFUNCTION("""COMPUTED_VALUE"""),"")</f>
        <v/>
      </c>
      <c r="F894" s="6" t="str">
        <f ca="1">IFERROR(__xludf.DUMMYFUNCTION("""COMPUTED_VALUE"""),"")</f>
        <v/>
      </c>
      <c r="G894" s="6" t="str">
        <f ca="1">IFERROR(__xludf.DUMMYFUNCTION("""COMPUTED_VALUE"""),"")</f>
        <v/>
      </c>
      <c r="H894" s="6" t="str">
        <f ca="1">IFERROR(__xludf.DUMMYFUNCTION("""COMPUTED_VALUE"""),"")</f>
        <v/>
      </c>
      <c r="I894" s="6" t="str">
        <f ca="1">IFERROR(__xludf.DUMMYFUNCTION("""COMPUTED_VALUE"""),"")</f>
        <v/>
      </c>
      <c r="J894" s="6" t="str">
        <f ca="1">IFERROR(__xludf.DUMMYFUNCTION("""COMPUTED_VALUE"""),"")</f>
        <v/>
      </c>
    </row>
    <row r="895" spans="1:10" x14ac:dyDescent="0.2">
      <c r="A895" s="6" t="str">
        <f ca="1">IFERROR(__xludf.DUMMYFUNCTION("""COMPUTED_VALUE"""),"")</f>
        <v/>
      </c>
      <c r="B895" s="6" t="str">
        <f ca="1">IFERROR(__xludf.DUMMYFUNCTION("""COMPUTED_VALUE"""),"")</f>
        <v/>
      </c>
      <c r="C895" s="6" t="str">
        <f ca="1">IFERROR(__xludf.DUMMYFUNCTION("""COMPUTED_VALUE"""),"")</f>
        <v/>
      </c>
      <c r="D895" s="6" t="str">
        <f ca="1">IFERROR(__xludf.DUMMYFUNCTION("""COMPUTED_VALUE"""),"")</f>
        <v/>
      </c>
      <c r="E895" s="6" t="str">
        <f ca="1">IFERROR(__xludf.DUMMYFUNCTION("""COMPUTED_VALUE"""),"")</f>
        <v/>
      </c>
      <c r="F895" s="6" t="str">
        <f ca="1">IFERROR(__xludf.DUMMYFUNCTION("""COMPUTED_VALUE"""),"")</f>
        <v/>
      </c>
      <c r="G895" s="6" t="str">
        <f ca="1">IFERROR(__xludf.DUMMYFUNCTION("""COMPUTED_VALUE"""),"")</f>
        <v/>
      </c>
      <c r="H895" s="6" t="str">
        <f ca="1">IFERROR(__xludf.DUMMYFUNCTION("""COMPUTED_VALUE"""),"")</f>
        <v/>
      </c>
      <c r="I895" s="6" t="str">
        <f ca="1">IFERROR(__xludf.DUMMYFUNCTION("""COMPUTED_VALUE"""),"")</f>
        <v/>
      </c>
      <c r="J895" s="6" t="str">
        <f ca="1">IFERROR(__xludf.DUMMYFUNCTION("""COMPUTED_VALUE"""),"")</f>
        <v/>
      </c>
    </row>
    <row r="896" spans="1:10" x14ac:dyDescent="0.2">
      <c r="A896" s="6" t="str">
        <f ca="1">IFERROR(__xludf.DUMMYFUNCTION("""COMPUTED_VALUE"""),"")</f>
        <v/>
      </c>
      <c r="B896" s="6" t="str">
        <f ca="1">IFERROR(__xludf.DUMMYFUNCTION("""COMPUTED_VALUE"""),"")</f>
        <v/>
      </c>
      <c r="C896" s="6" t="str">
        <f ca="1">IFERROR(__xludf.DUMMYFUNCTION("""COMPUTED_VALUE"""),"")</f>
        <v/>
      </c>
      <c r="D896" s="6" t="str">
        <f ca="1">IFERROR(__xludf.DUMMYFUNCTION("""COMPUTED_VALUE"""),"")</f>
        <v/>
      </c>
      <c r="E896" s="6" t="str">
        <f ca="1">IFERROR(__xludf.DUMMYFUNCTION("""COMPUTED_VALUE"""),"")</f>
        <v/>
      </c>
      <c r="F896" s="6" t="str">
        <f ca="1">IFERROR(__xludf.DUMMYFUNCTION("""COMPUTED_VALUE"""),"")</f>
        <v/>
      </c>
      <c r="G896" s="6" t="str">
        <f ca="1">IFERROR(__xludf.DUMMYFUNCTION("""COMPUTED_VALUE"""),"")</f>
        <v/>
      </c>
      <c r="H896" s="6" t="str">
        <f ca="1">IFERROR(__xludf.DUMMYFUNCTION("""COMPUTED_VALUE"""),"")</f>
        <v/>
      </c>
      <c r="I896" s="6" t="str">
        <f ca="1">IFERROR(__xludf.DUMMYFUNCTION("""COMPUTED_VALUE"""),"")</f>
        <v/>
      </c>
      <c r="J896" s="6" t="str">
        <f ca="1">IFERROR(__xludf.DUMMYFUNCTION("""COMPUTED_VALUE"""),"")</f>
        <v/>
      </c>
    </row>
    <row r="897" spans="1:10" x14ac:dyDescent="0.2">
      <c r="A897" s="6" t="str">
        <f ca="1">IFERROR(__xludf.DUMMYFUNCTION("""COMPUTED_VALUE"""),"")</f>
        <v/>
      </c>
      <c r="B897" s="6" t="str">
        <f ca="1">IFERROR(__xludf.DUMMYFUNCTION("""COMPUTED_VALUE"""),"")</f>
        <v/>
      </c>
      <c r="C897" s="6" t="str">
        <f ca="1">IFERROR(__xludf.DUMMYFUNCTION("""COMPUTED_VALUE"""),"")</f>
        <v/>
      </c>
      <c r="D897" s="6" t="str">
        <f ca="1">IFERROR(__xludf.DUMMYFUNCTION("""COMPUTED_VALUE"""),"")</f>
        <v/>
      </c>
      <c r="E897" s="6" t="str">
        <f ca="1">IFERROR(__xludf.DUMMYFUNCTION("""COMPUTED_VALUE"""),"")</f>
        <v/>
      </c>
      <c r="F897" s="6" t="str">
        <f ca="1">IFERROR(__xludf.DUMMYFUNCTION("""COMPUTED_VALUE"""),"")</f>
        <v/>
      </c>
      <c r="G897" s="6" t="str">
        <f ca="1">IFERROR(__xludf.DUMMYFUNCTION("""COMPUTED_VALUE"""),"")</f>
        <v/>
      </c>
      <c r="H897" s="6" t="str">
        <f ca="1">IFERROR(__xludf.DUMMYFUNCTION("""COMPUTED_VALUE"""),"")</f>
        <v/>
      </c>
      <c r="I897" s="6" t="str">
        <f ca="1">IFERROR(__xludf.DUMMYFUNCTION("""COMPUTED_VALUE"""),"")</f>
        <v/>
      </c>
      <c r="J897" s="6" t="str">
        <f ca="1">IFERROR(__xludf.DUMMYFUNCTION("""COMPUTED_VALUE"""),"")</f>
        <v/>
      </c>
    </row>
    <row r="898" spans="1:10" x14ac:dyDescent="0.2">
      <c r="A898" s="6" t="str">
        <f ca="1">IFERROR(__xludf.DUMMYFUNCTION("""COMPUTED_VALUE"""),"")</f>
        <v/>
      </c>
      <c r="B898" s="6" t="str">
        <f ca="1">IFERROR(__xludf.DUMMYFUNCTION("""COMPUTED_VALUE"""),"")</f>
        <v/>
      </c>
      <c r="C898" s="6" t="str">
        <f ca="1">IFERROR(__xludf.DUMMYFUNCTION("""COMPUTED_VALUE"""),"")</f>
        <v/>
      </c>
      <c r="D898" s="6" t="str">
        <f ca="1">IFERROR(__xludf.DUMMYFUNCTION("""COMPUTED_VALUE"""),"")</f>
        <v/>
      </c>
      <c r="E898" s="6" t="str">
        <f ca="1">IFERROR(__xludf.DUMMYFUNCTION("""COMPUTED_VALUE"""),"")</f>
        <v/>
      </c>
      <c r="F898" s="6" t="str">
        <f ca="1">IFERROR(__xludf.DUMMYFUNCTION("""COMPUTED_VALUE"""),"")</f>
        <v/>
      </c>
      <c r="G898" s="6" t="str">
        <f ca="1">IFERROR(__xludf.DUMMYFUNCTION("""COMPUTED_VALUE"""),"")</f>
        <v/>
      </c>
      <c r="H898" s="6" t="str">
        <f ca="1">IFERROR(__xludf.DUMMYFUNCTION("""COMPUTED_VALUE"""),"")</f>
        <v/>
      </c>
      <c r="I898" s="6" t="str">
        <f ca="1">IFERROR(__xludf.DUMMYFUNCTION("""COMPUTED_VALUE"""),"")</f>
        <v/>
      </c>
      <c r="J898" s="6" t="str">
        <f ca="1">IFERROR(__xludf.DUMMYFUNCTION("""COMPUTED_VALUE"""),"")</f>
        <v/>
      </c>
    </row>
    <row r="899" spans="1:10" x14ac:dyDescent="0.2">
      <c r="A899" s="6" t="str">
        <f ca="1">IFERROR(__xludf.DUMMYFUNCTION("""COMPUTED_VALUE"""),"")</f>
        <v/>
      </c>
      <c r="B899" s="6" t="str">
        <f ca="1">IFERROR(__xludf.DUMMYFUNCTION("""COMPUTED_VALUE"""),"")</f>
        <v/>
      </c>
      <c r="C899" s="6" t="str">
        <f ca="1">IFERROR(__xludf.DUMMYFUNCTION("""COMPUTED_VALUE"""),"")</f>
        <v/>
      </c>
      <c r="D899" s="6" t="str">
        <f ca="1">IFERROR(__xludf.DUMMYFUNCTION("""COMPUTED_VALUE"""),"")</f>
        <v/>
      </c>
      <c r="E899" s="6" t="str">
        <f ca="1">IFERROR(__xludf.DUMMYFUNCTION("""COMPUTED_VALUE"""),"")</f>
        <v/>
      </c>
      <c r="F899" s="6" t="str">
        <f ca="1">IFERROR(__xludf.DUMMYFUNCTION("""COMPUTED_VALUE"""),"")</f>
        <v/>
      </c>
      <c r="G899" s="6" t="str">
        <f ca="1">IFERROR(__xludf.DUMMYFUNCTION("""COMPUTED_VALUE"""),"")</f>
        <v/>
      </c>
      <c r="H899" s="6" t="str">
        <f ca="1">IFERROR(__xludf.DUMMYFUNCTION("""COMPUTED_VALUE"""),"")</f>
        <v/>
      </c>
      <c r="I899" s="6" t="str">
        <f ca="1">IFERROR(__xludf.DUMMYFUNCTION("""COMPUTED_VALUE"""),"")</f>
        <v/>
      </c>
      <c r="J899" s="6" t="str">
        <f ca="1">IFERROR(__xludf.DUMMYFUNCTION("""COMPUTED_VALUE"""),"")</f>
        <v/>
      </c>
    </row>
    <row r="900" spans="1:10" x14ac:dyDescent="0.2">
      <c r="A900" s="6" t="str">
        <f ca="1">IFERROR(__xludf.DUMMYFUNCTION("""COMPUTED_VALUE"""),"")</f>
        <v/>
      </c>
      <c r="B900" s="6" t="str">
        <f ca="1">IFERROR(__xludf.DUMMYFUNCTION("""COMPUTED_VALUE"""),"")</f>
        <v/>
      </c>
      <c r="C900" s="6" t="str">
        <f ca="1">IFERROR(__xludf.DUMMYFUNCTION("""COMPUTED_VALUE"""),"")</f>
        <v/>
      </c>
      <c r="D900" s="6" t="str">
        <f ca="1">IFERROR(__xludf.DUMMYFUNCTION("""COMPUTED_VALUE"""),"")</f>
        <v/>
      </c>
      <c r="E900" s="6" t="str">
        <f ca="1">IFERROR(__xludf.DUMMYFUNCTION("""COMPUTED_VALUE"""),"")</f>
        <v/>
      </c>
      <c r="F900" s="6" t="str">
        <f ca="1">IFERROR(__xludf.DUMMYFUNCTION("""COMPUTED_VALUE"""),"")</f>
        <v/>
      </c>
      <c r="G900" s="6" t="str">
        <f ca="1">IFERROR(__xludf.DUMMYFUNCTION("""COMPUTED_VALUE"""),"")</f>
        <v/>
      </c>
      <c r="H900" s="6" t="str">
        <f ca="1">IFERROR(__xludf.DUMMYFUNCTION("""COMPUTED_VALUE"""),"")</f>
        <v/>
      </c>
      <c r="I900" s="6" t="str">
        <f ca="1">IFERROR(__xludf.DUMMYFUNCTION("""COMPUTED_VALUE"""),"")</f>
        <v/>
      </c>
      <c r="J900" s="6" t="str">
        <f ca="1">IFERROR(__xludf.DUMMYFUNCTION("""COMPUTED_VALUE"""),"")</f>
        <v/>
      </c>
    </row>
    <row r="901" spans="1:10" x14ac:dyDescent="0.2">
      <c r="A901" s="6" t="str">
        <f ca="1">IFERROR(__xludf.DUMMYFUNCTION("""COMPUTED_VALUE"""),"")</f>
        <v/>
      </c>
      <c r="B901" s="6" t="str">
        <f ca="1">IFERROR(__xludf.DUMMYFUNCTION("""COMPUTED_VALUE"""),"")</f>
        <v/>
      </c>
      <c r="C901" s="6" t="str">
        <f ca="1">IFERROR(__xludf.DUMMYFUNCTION("""COMPUTED_VALUE"""),"")</f>
        <v/>
      </c>
      <c r="D901" s="6" t="str">
        <f ca="1">IFERROR(__xludf.DUMMYFUNCTION("""COMPUTED_VALUE"""),"")</f>
        <v/>
      </c>
      <c r="E901" s="6" t="str">
        <f ca="1">IFERROR(__xludf.DUMMYFUNCTION("""COMPUTED_VALUE"""),"")</f>
        <v/>
      </c>
      <c r="F901" s="6" t="str">
        <f ca="1">IFERROR(__xludf.DUMMYFUNCTION("""COMPUTED_VALUE"""),"")</f>
        <v/>
      </c>
      <c r="G901" s="6" t="str">
        <f ca="1">IFERROR(__xludf.DUMMYFUNCTION("""COMPUTED_VALUE"""),"")</f>
        <v/>
      </c>
      <c r="H901" s="6" t="str">
        <f ca="1">IFERROR(__xludf.DUMMYFUNCTION("""COMPUTED_VALUE"""),"")</f>
        <v/>
      </c>
      <c r="I901" s="6" t="str">
        <f ca="1">IFERROR(__xludf.DUMMYFUNCTION("""COMPUTED_VALUE"""),"")</f>
        <v/>
      </c>
      <c r="J901" s="6" t="str">
        <f ca="1">IFERROR(__xludf.DUMMYFUNCTION("""COMPUTED_VALUE"""),"")</f>
        <v/>
      </c>
    </row>
    <row r="902" spans="1:10" x14ac:dyDescent="0.2">
      <c r="A902" s="6" t="str">
        <f ca="1">IFERROR(__xludf.DUMMYFUNCTION("""COMPUTED_VALUE"""),"")</f>
        <v/>
      </c>
      <c r="B902" s="6" t="str">
        <f ca="1">IFERROR(__xludf.DUMMYFUNCTION("""COMPUTED_VALUE"""),"")</f>
        <v/>
      </c>
      <c r="C902" s="6" t="str">
        <f ca="1">IFERROR(__xludf.DUMMYFUNCTION("""COMPUTED_VALUE"""),"")</f>
        <v/>
      </c>
      <c r="D902" s="6" t="str">
        <f ca="1">IFERROR(__xludf.DUMMYFUNCTION("""COMPUTED_VALUE"""),"")</f>
        <v/>
      </c>
      <c r="E902" s="6" t="str">
        <f ca="1">IFERROR(__xludf.DUMMYFUNCTION("""COMPUTED_VALUE"""),"")</f>
        <v/>
      </c>
      <c r="F902" s="6" t="str">
        <f ca="1">IFERROR(__xludf.DUMMYFUNCTION("""COMPUTED_VALUE"""),"")</f>
        <v/>
      </c>
      <c r="G902" s="6" t="str">
        <f ca="1">IFERROR(__xludf.DUMMYFUNCTION("""COMPUTED_VALUE"""),"")</f>
        <v/>
      </c>
      <c r="H902" s="6" t="str">
        <f ca="1">IFERROR(__xludf.DUMMYFUNCTION("""COMPUTED_VALUE"""),"")</f>
        <v/>
      </c>
      <c r="I902" s="6" t="str">
        <f ca="1">IFERROR(__xludf.DUMMYFUNCTION("""COMPUTED_VALUE"""),"")</f>
        <v/>
      </c>
      <c r="J902" s="6" t="str">
        <f ca="1">IFERROR(__xludf.DUMMYFUNCTION("""COMPUTED_VALUE"""),"")</f>
        <v/>
      </c>
    </row>
    <row r="903" spans="1:10" x14ac:dyDescent="0.2">
      <c r="A903" s="6" t="str">
        <f ca="1">IFERROR(__xludf.DUMMYFUNCTION("""COMPUTED_VALUE"""),"")</f>
        <v/>
      </c>
      <c r="B903" s="6" t="str">
        <f ca="1">IFERROR(__xludf.DUMMYFUNCTION("""COMPUTED_VALUE"""),"")</f>
        <v/>
      </c>
      <c r="C903" s="6" t="str">
        <f ca="1">IFERROR(__xludf.DUMMYFUNCTION("""COMPUTED_VALUE"""),"")</f>
        <v/>
      </c>
      <c r="D903" s="6" t="str">
        <f ca="1">IFERROR(__xludf.DUMMYFUNCTION("""COMPUTED_VALUE"""),"")</f>
        <v/>
      </c>
      <c r="E903" s="6" t="str">
        <f ca="1">IFERROR(__xludf.DUMMYFUNCTION("""COMPUTED_VALUE"""),"")</f>
        <v/>
      </c>
      <c r="F903" s="6" t="str">
        <f ca="1">IFERROR(__xludf.DUMMYFUNCTION("""COMPUTED_VALUE"""),"")</f>
        <v/>
      </c>
      <c r="G903" s="6" t="str">
        <f ca="1">IFERROR(__xludf.DUMMYFUNCTION("""COMPUTED_VALUE"""),"")</f>
        <v/>
      </c>
      <c r="H903" s="6" t="str">
        <f ca="1">IFERROR(__xludf.DUMMYFUNCTION("""COMPUTED_VALUE"""),"")</f>
        <v/>
      </c>
      <c r="I903" s="6" t="str">
        <f ca="1">IFERROR(__xludf.DUMMYFUNCTION("""COMPUTED_VALUE"""),"")</f>
        <v/>
      </c>
      <c r="J903" s="6" t="str">
        <f ca="1">IFERROR(__xludf.DUMMYFUNCTION("""COMPUTED_VALUE"""),"")</f>
        <v/>
      </c>
    </row>
    <row r="904" spans="1:10" x14ac:dyDescent="0.2">
      <c r="A904" s="6" t="str">
        <f ca="1">IFERROR(__xludf.DUMMYFUNCTION("""COMPUTED_VALUE"""),"")</f>
        <v/>
      </c>
      <c r="B904" s="6" t="str">
        <f ca="1">IFERROR(__xludf.DUMMYFUNCTION("""COMPUTED_VALUE"""),"")</f>
        <v/>
      </c>
      <c r="C904" s="6" t="str">
        <f ca="1">IFERROR(__xludf.DUMMYFUNCTION("""COMPUTED_VALUE"""),"")</f>
        <v/>
      </c>
      <c r="D904" s="6" t="str">
        <f ca="1">IFERROR(__xludf.DUMMYFUNCTION("""COMPUTED_VALUE"""),"")</f>
        <v/>
      </c>
      <c r="E904" s="6" t="str">
        <f ca="1">IFERROR(__xludf.DUMMYFUNCTION("""COMPUTED_VALUE"""),"")</f>
        <v/>
      </c>
      <c r="F904" s="6" t="str">
        <f ca="1">IFERROR(__xludf.DUMMYFUNCTION("""COMPUTED_VALUE"""),"")</f>
        <v/>
      </c>
      <c r="G904" s="6" t="str">
        <f ca="1">IFERROR(__xludf.DUMMYFUNCTION("""COMPUTED_VALUE"""),"")</f>
        <v/>
      </c>
      <c r="H904" s="6" t="str">
        <f ca="1">IFERROR(__xludf.DUMMYFUNCTION("""COMPUTED_VALUE"""),"")</f>
        <v/>
      </c>
      <c r="I904" s="6" t="str">
        <f ca="1">IFERROR(__xludf.DUMMYFUNCTION("""COMPUTED_VALUE"""),"")</f>
        <v/>
      </c>
      <c r="J904" s="6" t="str">
        <f ca="1">IFERROR(__xludf.DUMMYFUNCTION("""COMPUTED_VALUE"""),"")</f>
        <v/>
      </c>
    </row>
    <row r="905" spans="1:10" x14ac:dyDescent="0.2">
      <c r="A905" s="6" t="str">
        <f ca="1">IFERROR(__xludf.DUMMYFUNCTION("""COMPUTED_VALUE"""),"")</f>
        <v/>
      </c>
      <c r="B905" s="6" t="str">
        <f ca="1">IFERROR(__xludf.DUMMYFUNCTION("""COMPUTED_VALUE"""),"")</f>
        <v/>
      </c>
      <c r="C905" s="6" t="str">
        <f ca="1">IFERROR(__xludf.DUMMYFUNCTION("""COMPUTED_VALUE"""),"")</f>
        <v/>
      </c>
      <c r="D905" s="6" t="str">
        <f ca="1">IFERROR(__xludf.DUMMYFUNCTION("""COMPUTED_VALUE"""),"")</f>
        <v/>
      </c>
      <c r="E905" s="6" t="str">
        <f ca="1">IFERROR(__xludf.DUMMYFUNCTION("""COMPUTED_VALUE"""),"")</f>
        <v/>
      </c>
      <c r="F905" s="6" t="str">
        <f ca="1">IFERROR(__xludf.DUMMYFUNCTION("""COMPUTED_VALUE"""),"")</f>
        <v/>
      </c>
      <c r="G905" s="6" t="str">
        <f ca="1">IFERROR(__xludf.DUMMYFUNCTION("""COMPUTED_VALUE"""),"")</f>
        <v/>
      </c>
      <c r="H905" s="6" t="str">
        <f ca="1">IFERROR(__xludf.DUMMYFUNCTION("""COMPUTED_VALUE"""),"")</f>
        <v/>
      </c>
      <c r="I905" s="6" t="str">
        <f ca="1">IFERROR(__xludf.DUMMYFUNCTION("""COMPUTED_VALUE"""),"")</f>
        <v/>
      </c>
      <c r="J905" s="6" t="str">
        <f ca="1">IFERROR(__xludf.DUMMYFUNCTION("""COMPUTED_VALUE"""),"")</f>
        <v/>
      </c>
    </row>
    <row r="906" spans="1:10" x14ac:dyDescent="0.2">
      <c r="A906" s="6" t="str">
        <f ca="1">IFERROR(__xludf.DUMMYFUNCTION("""COMPUTED_VALUE"""),"")</f>
        <v/>
      </c>
      <c r="B906" s="6" t="str">
        <f ca="1">IFERROR(__xludf.DUMMYFUNCTION("""COMPUTED_VALUE"""),"")</f>
        <v/>
      </c>
      <c r="C906" s="6" t="str">
        <f ca="1">IFERROR(__xludf.DUMMYFUNCTION("""COMPUTED_VALUE"""),"")</f>
        <v/>
      </c>
      <c r="D906" s="6" t="str">
        <f ca="1">IFERROR(__xludf.DUMMYFUNCTION("""COMPUTED_VALUE"""),"")</f>
        <v/>
      </c>
      <c r="E906" s="6" t="str">
        <f ca="1">IFERROR(__xludf.DUMMYFUNCTION("""COMPUTED_VALUE"""),"")</f>
        <v/>
      </c>
      <c r="F906" s="6" t="str">
        <f ca="1">IFERROR(__xludf.DUMMYFUNCTION("""COMPUTED_VALUE"""),"")</f>
        <v/>
      </c>
      <c r="G906" s="6" t="str">
        <f ca="1">IFERROR(__xludf.DUMMYFUNCTION("""COMPUTED_VALUE"""),"")</f>
        <v/>
      </c>
      <c r="H906" s="6" t="str">
        <f ca="1">IFERROR(__xludf.DUMMYFUNCTION("""COMPUTED_VALUE"""),"")</f>
        <v/>
      </c>
      <c r="I906" s="6" t="str">
        <f ca="1">IFERROR(__xludf.DUMMYFUNCTION("""COMPUTED_VALUE"""),"")</f>
        <v/>
      </c>
      <c r="J906" s="6" t="str">
        <f ca="1">IFERROR(__xludf.DUMMYFUNCTION("""COMPUTED_VALUE"""),"")</f>
        <v/>
      </c>
    </row>
    <row r="907" spans="1:10" x14ac:dyDescent="0.2">
      <c r="A907" s="6" t="str">
        <f ca="1">IFERROR(__xludf.DUMMYFUNCTION("""COMPUTED_VALUE"""),"")</f>
        <v/>
      </c>
      <c r="B907" s="6" t="str">
        <f ca="1">IFERROR(__xludf.DUMMYFUNCTION("""COMPUTED_VALUE"""),"")</f>
        <v/>
      </c>
      <c r="C907" s="6" t="str">
        <f ca="1">IFERROR(__xludf.DUMMYFUNCTION("""COMPUTED_VALUE"""),"")</f>
        <v/>
      </c>
      <c r="D907" s="6" t="str">
        <f ca="1">IFERROR(__xludf.DUMMYFUNCTION("""COMPUTED_VALUE"""),"")</f>
        <v/>
      </c>
      <c r="E907" s="6" t="str">
        <f ca="1">IFERROR(__xludf.DUMMYFUNCTION("""COMPUTED_VALUE"""),"")</f>
        <v/>
      </c>
      <c r="F907" s="6" t="str">
        <f ca="1">IFERROR(__xludf.DUMMYFUNCTION("""COMPUTED_VALUE"""),"")</f>
        <v/>
      </c>
      <c r="G907" s="6" t="str">
        <f ca="1">IFERROR(__xludf.DUMMYFUNCTION("""COMPUTED_VALUE"""),"")</f>
        <v/>
      </c>
      <c r="H907" s="6" t="str">
        <f ca="1">IFERROR(__xludf.DUMMYFUNCTION("""COMPUTED_VALUE"""),"")</f>
        <v/>
      </c>
      <c r="I907" s="6" t="str">
        <f ca="1">IFERROR(__xludf.DUMMYFUNCTION("""COMPUTED_VALUE"""),"")</f>
        <v/>
      </c>
      <c r="J907" s="6" t="str">
        <f ca="1">IFERROR(__xludf.DUMMYFUNCTION("""COMPUTED_VALUE"""),"")</f>
        <v/>
      </c>
    </row>
    <row r="908" spans="1:10" x14ac:dyDescent="0.2">
      <c r="A908" s="6" t="str">
        <f ca="1">IFERROR(__xludf.DUMMYFUNCTION("""COMPUTED_VALUE"""),"")</f>
        <v/>
      </c>
      <c r="B908" s="6" t="str">
        <f ca="1">IFERROR(__xludf.DUMMYFUNCTION("""COMPUTED_VALUE"""),"")</f>
        <v/>
      </c>
      <c r="C908" s="6" t="str">
        <f ca="1">IFERROR(__xludf.DUMMYFUNCTION("""COMPUTED_VALUE"""),"")</f>
        <v/>
      </c>
      <c r="D908" s="6" t="str">
        <f ca="1">IFERROR(__xludf.DUMMYFUNCTION("""COMPUTED_VALUE"""),"")</f>
        <v/>
      </c>
      <c r="E908" s="6" t="str">
        <f ca="1">IFERROR(__xludf.DUMMYFUNCTION("""COMPUTED_VALUE"""),"")</f>
        <v/>
      </c>
      <c r="F908" s="6" t="str">
        <f ca="1">IFERROR(__xludf.DUMMYFUNCTION("""COMPUTED_VALUE"""),"")</f>
        <v/>
      </c>
      <c r="G908" s="6" t="str">
        <f ca="1">IFERROR(__xludf.DUMMYFUNCTION("""COMPUTED_VALUE"""),"")</f>
        <v/>
      </c>
      <c r="H908" s="6" t="str">
        <f ca="1">IFERROR(__xludf.DUMMYFUNCTION("""COMPUTED_VALUE"""),"")</f>
        <v/>
      </c>
      <c r="I908" s="6" t="str">
        <f ca="1">IFERROR(__xludf.DUMMYFUNCTION("""COMPUTED_VALUE"""),"")</f>
        <v/>
      </c>
      <c r="J908" s="6" t="str">
        <f ca="1">IFERROR(__xludf.DUMMYFUNCTION("""COMPUTED_VALUE"""),"")</f>
        <v/>
      </c>
    </row>
    <row r="909" spans="1:10" x14ac:dyDescent="0.2">
      <c r="A909" s="6" t="str">
        <f ca="1">IFERROR(__xludf.DUMMYFUNCTION("""COMPUTED_VALUE"""),"")</f>
        <v/>
      </c>
      <c r="B909" s="6" t="str">
        <f ca="1">IFERROR(__xludf.DUMMYFUNCTION("""COMPUTED_VALUE"""),"")</f>
        <v/>
      </c>
      <c r="C909" s="6" t="str">
        <f ca="1">IFERROR(__xludf.DUMMYFUNCTION("""COMPUTED_VALUE"""),"")</f>
        <v/>
      </c>
      <c r="D909" s="6" t="str">
        <f ca="1">IFERROR(__xludf.DUMMYFUNCTION("""COMPUTED_VALUE"""),"")</f>
        <v/>
      </c>
      <c r="E909" s="6" t="str">
        <f ca="1">IFERROR(__xludf.DUMMYFUNCTION("""COMPUTED_VALUE"""),"")</f>
        <v/>
      </c>
      <c r="F909" s="6" t="str">
        <f ca="1">IFERROR(__xludf.DUMMYFUNCTION("""COMPUTED_VALUE"""),"")</f>
        <v/>
      </c>
      <c r="G909" s="6" t="str">
        <f ca="1">IFERROR(__xludf.DUMMYFUNCTION("""COMPUTED_VALUE"""),"")</f>
        <v/>
      </c>
      <c r="H909" s="6" t="str">
        <f ca="1">IFERROR(__xludf.DUMMYFUNCTION("""COMPUTED_VALUE"""),"")</f>
        <v/>
      </c>
      <c r="I909" s="6" t="str">
        <f ca="1">IFERROR(__xludf.DUMMYFUNCTION("""COMPUTED_VALUE"""),"")</f>
        <v/>
      </c>
      <c r="J909" s="6" t="str">
        <f ca="1">IFERROR(__xludf.DUMMYFUNCTION("""COMPUTED_VALUE"""),"")</f>
        <v/>
      </c>
    </row>
    <row r="910" spans="1:10" x14ac:dyDescent="0.2">
      <c r="A910" s="6" t="str">
        <f ca="1">IFERROR(__xludf.DUMMYFUNCTION("""COMPUTED_VALUE"""),"")</f>
        <v/>
      </c>
      <c r="B910" s="6" t="str">
        <f ca="1">IFERROR(__xludf.DUMMYFUNCTION("""COMPUTED_VALUE"""),"")</f>
        <v/>
      </c>
      <c r="C910" s="6" t="str">
        <f ca="1">IFERROR(__xludf.DUMMYFUNCTION("""COMPUTED_VALUE"""),"")</f>
        <v/>
      </c>
      <c r="D910" s="6" t="str">
        <f ca="1">IFERROR(__xludf.DUMMYFUNCTION("""COMPUTED_VALUE"""),"")</f>
        <v/>
      </c>
      <c r="E910" s="6" t="str">
        <f ca="1">IFERROR(__xludf.DUMMYFUNCTION("""COMPUTED_VALUE"""),"")</f>
        <v/>
      </c>
      <c r="F910" s="6" t="str">
        <f ca="1">IFERROR(__xludf.DUMMYFUNCTION("""COMPUTED_VALUE"""),"")</f>
        <v/>
      </c>
      <c r="G910" s="6" t="str">
        <f ca="1">IFERROR(__xludf.DUMMYFUNCTION("""COMPUTED_VALUE"""),"")</f>
        <v/>
      </c>
      <c r="H910" s="6" t="str">
        <f ca="1">IFERROR(__xludf.DUMMYFUNCTION("""COMPUTED_VALUE"""),"")</f>
        <v/>
      </c>
      <c r="I910" s="6" t="str">
        <f ca="1">IFERROR(__xludf.DUMMYFUNCTION("""COMPUTED_VALUE"""),"")</f>
        <v/>
      </c>
      <c r="J910" s="6" t="str">
        <f ca="1">IFERROR(__xludf.DUMMYFUNCTION("""COMPUTED_VALUE"""),"")</f>
        <v/>
      </c>
    </row>
    <row r="911" spans="1:10" x14ac:dyDescent="0.2">
      <c r="A911" s="6" t="str">
        <f ca="1">IFERROR(__xludf.DUMMYFUNCTION("""COMPUTED_VALUE"""),"")</f>
        <v/>
      </c>
      <c r="B911" s="6" t="str">
        <f ca="1">IFERROR(__xludf.DUMMYFUNCTION("""COMPUTED_VALUE"""),"")</f>
        <v/>
      </c>
      <c r="C911" s="6" t="str">
        <f ca="1">IFERROR(__xludf.DUMMYFUNCTION("""COMPUTED_VALUE"""),"")</f>
        <v/>
      </c>
      <c r="D911" s="6" t="str">
        <f ca="1">IFERROR(__xludf.DUMMYFUNCTION("""COMPUTED_VALUE"""),"")</f>
        <v/>
      </c>
      <c r="E911" s="6" t="str">
        <f ca="1">IFERROR(__xludf.DUMMYFUNCTION("""COMPUTED_VALUE"""),"")</f>
        <v/>
      </c>
      <c r="F911" s="6" t="str">
        <f ca="1">IFERROR(__xludf.DUMMYFUNCTION("""COMPUTED_VALUE"""),"")</f>
        <v/>
      </c>
      <c r="G911" s="6" t="str">
        <f ca="1">IFERROR(__xludf.DUMMYFUNCTION("""COMPUTED_VALUE"""),"")</f>
        <v/>
      </c>
      <c r="H911" s="6" t="str">
        <f ca="1">IFERROR(__xludf.DUMMYFUNCTION("""COMPUTED_VALUE"""),"")</f>
        <v/>
      </c>
      <c r="I911" s="6" t="str">
        <f ca="1">IFERROR(__xludf.DUMMYFUNCTION("""COMPUTED_VALUE"""),"")</f>
        <v/>
      </c>
      <c r="J911" s="6" t="str">
        <f ca="1">IFERROR(__xludf.DUMMYFUNCTION("""COMPUTED_VALUE"""),"")</f>
        <v/>
      </c>
    </row>
    <row r="912" spans="1:10" x14ac:dyDescent="0.2">
      <c r="A912" s="6" t="str">
        <f ca="1">IFERROR(__xludf.DUMMYFUNCTION("""COMPUTED_VALUE"""),"")</f>
        <v/>
      </c>
      <c r="B912" s="6" t="str">
        <f ca="1">IFERROR(__xludf.DUMMYFUNCTION("""COMPUTED_VALUE"""),"")</f>
        <v/>
      </c>
      <c r="C912" s="6" t="str">
        <f ca="1">IFERROR(__xludf.DUMMYFUNCTION("""COMPUTED_VALUE"""),"")</f>
        <v/>
      </c>
      <c r="D912" s="6" t="str">
        <f ca="1">IFERROR(__xludf.DUMMYFUNCTION("""COMPUTED_VALUE"""),"")</f>
        <v/>
      </c>
      <c r="E912" s="6" t="str">
        <f ca="1">IFERROR(__xludf.DUMMYFUNCTION("""COMPUTED_VALUE"""),"")</f>
        <v/>
      </c>
      <c r="F912" s="6" t="str">
        <f ca="1">IFERROR(__xludf.DUMMYFUNCTION("""COMPUTED_VALUE"""),"")</f>
        <v/>
      </c>
      <c r="G912" s="6" t="str">
        <f ca="1">IFERROR(__xludf.DUMMYFUNCTION("""COMPUTED_VALUE"""),"")</f>
        <v/>
      </c>
      <c r="H912" s="6" t="str">
        <f ca="1">IFERROR(__xludf.DUMMYFUNCTION("""COMPUTED_VALUE"""),"")</f>
        <v/>
      </c>
      <c r="I912" s="6" t="str">
        <f ca="1">IFERROR(__xludf.DUMMYFUNCTION("""COMPUTED_VALUE"""),"")</f>
        <v/>
      </c>
      <c r="J912" s="6" t="str">
        <f ca="1">IFERROR(__xludf.DUMMYFUNCTION("""COMPUTED_VALUE"""),"")</f>
        <v/>
      </c>
    </row>
    <row r="913" spans="1:10" x14ac:dyDescent="0.2">
      <c r="A913" s="6" t="str">
        <f ca="1">IFERROR(__xludf.DUMMYFUNCTION("""COMPUTED_VALUE"""),"")</f>
        <v/>
      </c>
      <c r="B913" s="6" t="str">
        <f ca="1">IFERROR(__xludf.DUMMYFUNCTION("""COMPUTED_VALUE"""),"")</f>
        <v/>
      </c>
      <c r="C913" s="6" t="str">
        <f ca="1">IFERROR(__xludf.DUMMYFUNCTION("""COMPUTED_VALUE"""),"")</f>
        <v/>
      </c>
      <c r="D913" s="6" t="str">
        <f ca="1">IFERROR(__xludf.DUMMYFUNCTION("""COMPUTED_VALUE"""),"")</f>
        <v/>
      </c>
      <c r="E913" s="6" t="str">
        <f ca="1">IFERROR(__xludf.DUMMYFUNCTION("""COMPUTED_VALUE"""),"")</f>
        <v/>
      </c>
      <c r="F913" s="6" t="str">
        <f ca="1">IFERROR(__xludf.DUMMYFUNCTION("""COMPUTED_VALUE"""),"")</f>
        <v/>
      </c>
      <c r="G913" s="6" t="str">
        <f ca="1">IFERROR(__xludf.DUMMYFUNCTION("""COMPUTED_VALUE"""),"")</f>
        <v/>
      </c>
      <c r="H913" s="6" t="str">
        <f ca="1">IFERROR(__xludf.DUMMYFUNCTION("""COMPUTED_VALUE"""),"")</f>
        <v/>
      </c>
      <c r="I913" s="6" t="str">
        <f ca="1">IFERROR(__xludf.DUMMYFUNCTION("""COMPUTED_VALUE"""),"")</f>
        <v/>
      </c>
      <c r="J913" s="6" t="str">
        <f ca="1">IFERROR(__xludf.DUMMYFUNCTION("""COMPUTED_VALUE"""),"")</f>
        <v/>
      </c>
    </row>
    <row r="914" spans="1:10" x14ac:dyDescent="0.2">
      <c r="A914" s="6" t="str">
        <f ca="1">IFERROR(__xludf.DUMMYFUNCTION("""COMPUTED_VALUE"""),"")</f>
        <v/>
      </c>
      <c r="B914" s="6" t="str">
        <f ca="1">IFERROR(__xludf.DUMMYFUNCTION("""COMPUTED_VALUE"""),"")</f>
        <v/>
      </c>
      <c r="C914" s="6" t="str">
        <f ca="1">IFERROR(__xludf.DUMMYFUNCTION("""COMPUTED_VALUE"""),"")</f>
        <v/>
      </c>
      <c r="D914" s="6" t="str">
        <f ca="1">IFERROR(__xludf.DUMMYFUNCTION("""COMPUTED_VALUE"""),"")</f>
        <v/>
      </c>
      <c r="E914" s="6" t="str">
        <f ca="1">IFERROR(__xludf.DUMMYFUNCTION("""COMPUTED_VALUE"""),"")</f>
        <v/>
      </c>
      <c r="F914" s="6" t="str">
        <f ca="1">IFERROR(__xludf.DUMMYFUNCTION("""COMPUTED_VALUE"""),"")</f>
        <v/>
      </c>
      <c r="G914" s="6" t="str">
        <f ca="1">IFERROR(__xludf.DUMMYFUNCTION("""COMPUTED_VALUE"""),"")</f>
        <v/>
      </c>
      <c r="H914" s="6" t="str">
        <f ca="1">IFERROR(__xludf.DUMMYFUNCTION("""COMPUTED_VALUE"""),"")</f>
        <v/>
      </c>
      <c r="I914" s="6" t="str">
        <f ca="1">IFERROR(__xludf.DUMMYFUNCTION("""COMPUTED_VALUE"""),"")</f>
        <v/>
      </c>
      <c r="J914" s="6" t="str">
        <f ca="1">IFERROR(__xludf.DUMMYFUNCTION("""COMPUTED_VALUE"""),"")</f>
        <v/>
      </c>
    </row>
    <row r="915" spans="1:10" x14ac:dyDescent="0.2">
      <c r="A915" s="6" t="str">
        <f ca="1">IFERROR(__xludf.DUMMYFUNCTION("""COMPUTED_VALUE"""),"")</f>
        <v/>
      </c>
      <c r="B915" s="6" t="str">
        <f ca="1">IFERROR(__xludf.DUMMYFUNCTION("""COMPUTED_VALUE"""),"")</f>
        <v/>
      </c>
      <c r="C915" s="6" t="str">
        <f ca="1">IFERROR(__xludf.DUMMYFUNCTION("""COMPUTED_VALUE"""),"")</f>
        <v/>
      </c>
      <c r="D915" s="6" t="str">
        <f ca="1">IFERROR(__xludf.DUMMYFUNCTION("""COMPUTED_VALUE"""),"")</f>
        <v/>
      </c>
      <c r="E915" s="6" t="str">
        <f ca="1">IFERROR(__xludf.DUMMYFUNCTION("""COMPUTED_VALUE"""),"")</f>
        <v/>
      </c>
      <c r="F915" s="6" t="str">
        <f ca="1">IFERROR(__xludf.DUMMYFUNCTION("""COMPUTED_VALUE"""),"")</f>
        <v/>
      </c>
      <c r="G915" s="6" t="str">
        <f ca="1">IFERROR(__xludf.DUMMYFUNCTION("""COMPUTED_VALUE"""),"")</f>
        <v/>
      </c>
      <c r="H915" s="6" t="str">
        <f ca="1">IFERROR(__xludf.DUMMYFUNCTION("""COMPUTED_VALUE"""),"")</f>
        <v/>
      </c>
      <c r="I915" s="6" t="str">
        <f ca="1">IFERROR(__xludf.DUMMYFUNCTION("""COMPUTED_VALUE"""),"")</f>
        <v/>
      </c>
      <c r="J915" s="6" t="str">
        <f ca="1">IFERROR(__xludf.DUMMYFUNCTION("""COMPUTED_VALUE"""),"")</f>
        <v/>
      </c>
    </row>
    <row r="916" spans="1:10" x14ac:dyDescent="0.2">
      <c r="A916" s="6" t="str">
        <f ca="1">IFERROR(__xludf.DUMMYFUNCTION("""COMPUTED_VALUE"""),"")</f>
        <v/>
      </c>
      <c r="B916" s="6" t="str">
        <f ca="1">IFERROR(__xludf.DUMMYFUNCTION("""COMPUTED_VALUE"""),"")</f>
        <v/>
      </c>
      <c r="C916" s="6" t="str">
        <f ca="1">IFERROR(__xludf.DUMMYFUNCTION("""COMPUTED_VALUE"""),"")</f>
        <v/>
      </c>
      <c r="D916" s="6" t="str">
        <f ca="1">IFERROR(__xludf.DUMMYFUNCTION("""COMPUTED_VALUE"""),"")</f>
        <v/>
      </c>
      <c r="E916" s="6" t="str">
        <f ca="1">IFERROR(__xludf.DUMMYFUNCTION("""COMPUTED_VALUE"""),"")</f>
        <v/>
      </c>
      <c r="F916" s="6" t="str">
        <f ca="1">IFERROR(__xludf.DUMMYFUNCTION("""COMPUTED_VALUE"""),"")</f>
        <v/>
      </c>
      <c r="G916" s="6" t="str">
        <f ca="1">IFERROR(__xludf.DUMMYFUNCTION("""COMPUTED_VALUE"""),"")</f>
        <v/>
      </c>
      <c r="H916" s="6" t="str">
        <f ca="1">IFERROR(__xludf.DUMMYFUNCTION("""COMPUTED_VALUE"""),"")</f>
        <v/>
      </c>
      <c r="I916" s="6" t="str">
        <f ca="1">IFERROR(__xludf.DUMMYFUNCTION("""COMPUTED_VALUE"""),"")</f>
        <v/>
      </c>
      <c r="J916" s="6" t="str">
        <f ca="1">IFERROR(__xludf.DUMMYFUNCTION("""COMPUTED_VALUE"""),"")</f>
        <v/>
      </c>
    </row>
    <row r="917" spans="1:10" x14ac:dyDescent="0.2">
      <c r="A917" s="6" t="str">
        <f ca="1">IFERROR(__xludf.DUMMYFUNCTION("""COMPUTED_VALUE"""),"")</f>
        <v/>
      </c>
      <c r="B917" s="6" t="str">
        <f ca="1">IFERROR(__xludf.DUMMYFUNCTION("""COMPUTED_VALUE"""),"")</f>
        <v/>
      </c>
      <c r="C917" s="6" t="str">
        <f ca="1">IFERROR(__xludf.DUMMYFUNCTION("""COMPUTED_VALUE"""),"")</f>
        <v/>
      </c>
      <c r="D917" s="6" t="str">
        <f ca="1">IFERROR(__xludf.DUMMYFUNCTION("""COMPUTED_VALUE"""),"")</f>
        <v/>
      </c>
      <c r="E917" s="6" t="str">
        <f ca="1">IFERROR(__xludf.DUMMYFUNCTION("""COMPUTED_VALUE"""),"")</f>
        <v/>
      </c>
      <c r="F917" s="6" t="str">
        <f ca="1">IFERROR(__xludf.DUMMYFUNCTION("""COMPUTED_VALUE"""),"")</f>
        <v/>
      </c>
      <c r="G917" s="6" t="str">
        <f ca="1">IFERROR(__xludf.DUMMYFUNCTION("""COMPUTED_VALUE"""),"")</f>
        <v/>
      </c>
      <c r="H917" s="6" t="str">
        <f ca="1">IFERROR(__xludf.DUMMYFUNCTION("""COMPUTED_VALUE"""),"")</f>
        <v/>
      </c>
      <c r="I917" s="6" t="str">
        <f ca="1">IFERROR(__xludf.DUMMYFUNCTION("""COMPUTED_VALUE"""),"")</f>
        <v/>
      </c>
      <c r="J917" s="6" t="str">
        <f ca="1">IFERROR(__xludf.DUMMYFUNCTION("""COMPUTED_VALUE"""),"")</f>
        <v/>
      </c>
    </row>
    <row r="918" spans="1:10" x14ac:dyDescent="0.2">
      <c r="A918" s="6" t="str">
        <f ca="1">IFERROR(__xludf.DUMMYFUNCTION("""COMPUTED_VALUE"""),"")</f>
        <v/>
      </c>
      <c r="B918" s="6" t="str">
        <f ca="1">IFERROR(__xludf.DUMMYFUNCTION("""COMPUTED_VALUE"""),"")</f>
        <v/>
      </c>
      <c r="C918" s="6" t="str">
        <f ca="1">IFERROR(__xludf.DUMMYFUNCTION("""COMPUTED_VALUE"""),"")</f>
        <v/>
      </c>
      <c r="D918" s="6" t="str">
        <f ca="1">IFERROR(__xludf.DUMMYFUNCTION("""COMPUTED_VALUE"""),"")</f>
        <v/>
      </c>
      <c r="E918" s="6" t="str">
        <f ca="1">IFERROR(__xludf.DUMMYFUNCTION("""COMPUTED_VALUE"""),"")</f>
        <v/>
      </c>
      <c r="F918" s="6" t="str">
        <f ca="1">IFERROR(__xludf.DUMMYFUNCTION("""COMPUTED_VALUE"""),"")</f>
        <v/>
      </c>
      <c r="G918" s="6" t="str">
        <f ca="1">IFERROR(__xludf.DUMMYFUNCTION("""COMPUTED_VALUE"""),"")</f>
        <v/>
      </c>
      <c r="H918" s="6" t="str">
        <f ca="1">IFERROR(__xludf.DUMMYFUNCTION("""COMPUTED_VALUE"""),"")</f>
        <v/>
      </c>
      <c r="I918" s="6" t="str">
        <f ca="1">IFERROR(__xludf.DUMMYFUNCTION("""COMPUTED_VALUE"""),"")</f>
        <v/>
      </c>
      <c r="J918" s="6" t="str">
        <f ca="1">IFERROR(__xludf.DUMMYFUNCTION("""COMPUTED_VALUE"""),"")</f>
        <v/>
      </c>
    </row>
    <row r="919" spans="1:10" x14ac:dyDescent="0.2">
      <c r="A919" s="6" t="str">
        <f ca="1">IFERROR(__xludf.DUMMYFUNCTION("""COMPUTED_VALUE"""),"")</f>
        <v/>
      </c>
      <c r="B919" s="6" t="str">
        <f ca="1">IFERROR(__xludf.DUMMYFUNCTION("""COMPUTED_VALUE"""),"")</f>
        <v/>
      </c>
      <c r="C919" s="6" t="str">
        <f ca="1">IFERROR(__xludf.DUMMYFUNCTION("""COMPUTED_VALUE"""),"")</f>
        <v/>
      </c>
      <c r="D919" s="6" t="str">
        <f ca="1">IFERROR(__xludf.DUMMYFUNCTION("""COMPUTED_VALUE"""),"")</f>
        <v/>
      </c>
      <c r="E919" s="6" t="str">
        <f ca="1">IFERROR(__xludf.DUMMYFUNCTION("""COMPUTED_VALUE"""),"")</f>
        <v/>
      </c>
      <c r="F919" s="6" t="str">
        <f ca="1">IFERROR(__xludf.DUMMYFUNCTION("""COMPUTED_VALUE"""),"")</f>
        <v/>
      </c>
      <c r="G919" s="6" t="str">
        <f ca="1">IFERROR(__xludf.DUMMYFUNCTION("""COMPUTED_VALUE"""),"")</f>
        <v/>
      </c>
      <c r="H919" s="6" t="str">
        <f ca="1">IFERROR(__xludf.DUMMYFUNCTION("""COMPUTED_VALUE"""),"")</f>
        <v/>
      </c>
      <c r="I919" s="6" t="str">
        <f ca="1">IFERROR(__xludf.DUMMYFUNCTION("""COMPUTED_VALUE"""),"")</f>
        <v/>
      </c>
      <c r="J919" s="6" t="str">
        <f ca="1">IFERROR(__xludf.DUMMYFUNCTION("""COMPUTED_VALUE"""),"")</f>
        <v/>
      </c>
    </row>
    <row r="920" spans="1:10" x14ac:dyDescent="0.2">
      <c r="A920" s="6" t="str">
        <f ca="1">IFERROR(__xludf.DUMMYFUNCTION("""COMPUTED_VALUE"""),"")</f>
        <v/>
      </c>
      <c r="B920" s="6" t="str">
        <f ca="1">IFERROR(__xludf.DUMMYFUNCTION("""COMPUTED_VALUE"""),"")</f>
        <v/>
      </c>
      <c r="C920" s="6" t="str">
        <f ca="1">IFERROR(__xludf.DUMMYFUNCTION("""COMPUTED_VALUE"""),"")</f>
        <v/>
      </c>
      <c r="D920" s="6" t="str">
        <f ca="1">IFERROR(__xludf.DUMMYFUNCTION("""COMPUTED_VALUE"""),"")</f>
        <v/>
      </c>
      <c r="E920" s="6" t="str">
        <f ca="1">IFERROR(__xludf.DUMMYFUNCTION("""COMPUTED_VALUE"""),"")</f>
        <v/>
      </c>
      <c r="F920" s="6" t="str">
        <f ca="1">IFERROR(__xludf.DUMMYFUNCTION("""COMPUTED_VALUE"""),"")</f>
        <v/>
      </c>
      <c r="G920" s="6" t="str">
        <f ca="1">IFERROR(__xludf.DUMMYFUNCTION("""COMPUTED_VALUE"""),"")</f>
        <v/>
      </c>
      <c r="H920" s="6" t="str">
        <f ca="1">IFERROR(__xludf.DUMMYFUNCTION("""COMPUTED_VALUE"""),"")</f>
        <v/>
      </c>
      <c r="I920" s="6" t="str">
        <f ca="1">IFERROR(__xludf.DUMMYFUNCTION("""COMPUTED_VALUE"""),"")</f>
        <v/>
      </c>
      <c r="J920" s="6" t="str">
        <f ca="1">IFERROR(__xludf.DUMMYFUNCTION("""COMPUTED_VALUE"""),"")</f>
        <v/>
      </c>
    </row>
    <row r="921" spans="1:10" x14ac:dyDescent="0.2">
      <c r="A921" s="6" t="str">
        <f ca="1">IFERROR(__xludf.DUMMYFUNCTION("""COMPUTED_VALUE"""),"")</f>
        <v/>
      </c>
      <c r="B921" s="6" t="str">
        <f ca="1">IFERROR(__xludf.DUMMYFUNCTION("""COMPUTED_VALUE"""),"")</f>
        <v/>
      </c>
      <c r="C921" s="6" t="str">
        <f ca="1">IFERROR(__xludf.DUMMYFUNCTION("""COMPUTED_VALUE"""),"")</f>
        <v/>
      </c>
      <c r="D921" s="6" t="str">
        <f ca="1">IFERROR(__xludf.DUMMYFUNCTION("""COMPUTED_VALUE"""),"")</f>
        <v/>
      </c>
      <c r="E921" s="6" t="str">
        <f ca="1">IFERROR(__xludf.DUMMYFUNCTION("""COMPUTED_VALUE"""),"")</f>
        <v/>
      </c>
      <c r="F921" s="6" t="str">
        <f ca="1">IFERROR(__xludf.DUMMYFUNCTION("""COMPUTED_VALUE"""),"")</f>
        <v/>
      </c>
      <c r="G921" s="6" t="str">
        <f ca="1">IFERROR(__xludf.DUMMYFUNCTION("""COMPUTED_VALUE"""),"")</f>
        <v/>
      </c>
      <c r="H921" s="6" t="str">
        <f ca="1">IFERROR(__xludf.DUMMYFUNCTION("""COMPUTED_VALUE"""),"")</f>
        <v/>
      </c>
      <c r="I921" s="6" t="str">
        <f ca="1">IFERROR(__xludf.DUMMYFUNCTION("""COMPUTED_VALUE"""),"")</f>
        <v/>
      </c>
      <c r="J921" s="6" t="str">
        <f ca="1">IFERROR(__xludf.DUMMYFUNCTION("""COMPUTED_VALUE"""),"")</f>
        <v/>
      </c>
    </row>
    <row r="922" spans="1:10" x14ac:dyDescent="0.2">
      <c r="A922" s="6" t="str">
        <f ca="1">IFERROR(__xludf.DUMMYFUNCTION("""COMPUTED_VALUE"""),"")</f>
        <v/>
      </c>
      <c r="B922" s="6" t="str">
        <f ca="1">IFERROR(__xludf.DUMMYFUNCTION("""COMPUTED_VALUE"""),"")</f>
        <v/>
      </c>
      <c r="C922" s="6" t="str">
        <f ca="1">IFERROR(__xludf.DUMMYFUNCTION("""COMPUTED_VALUE"""),"")</f>
        <v/>
      </c>
      <c r="D922" s="6" t="str">
        <f ca="1">IFERROR(__xludf.DUMMYFUNCTION("""COMPUTED_VALUE"""),"")</f>
        <v/>
      </c>
      <c r="E922" s="6" t="str">
        <f ca="1">IFERROR(__xludf.DUMMYFUNCTION("""COMPUTED_VALUE"""),"")</f>
        <v/>
      </c>
      <c r="F922" s="6" t="str">
        <f ca="1">IFERROR(__xludf.DUMMYFUNCTION("""COMPUTED_VALUE"""),"")</f>
        <v/>
      </c>
      <c r="G922" s="6" t="str">
        <f ca="1">IFERROR(__xludf.DUMMYFUNCTION("""COMPUTED_VALUE"""),"")</f>
        <v/>
      </c>
      <c r="H922" s="6" t="str">
        <f ca="1">IFERROR(__xludf.DUMMYFUNCTION("""COMPUTED_VALUE"""),"")</f>
        <v/>
      </c>
      <c r="I922" s="6" t="str">
        <f ca="1">IFERROR(__xludf.DUMMYFUNCTION("""COMPUTED_VALUE"""),"")</f>
        <v/>
      </c>
      <c r="J922" s="6" t="str">
        <f ca="1">IFERROR(__xludf.DUMMYFUNCTION("""COMPUTED_VALUE"""),"")</f>
        <v/>
      </c>
    </row>
    <row r="923" spans="1:10" x14ac:dyDescent="0.2">
      <c r="A923" s="6" t="str">
        <f ca="1">IFERROR(__xludf.DUMMYFUNCTION("""COMPUTED_VALUE"""),"")</f>
        <v/>
      </c>
      <c r="B923" s="6" t="str">
        <f ca="1">IFERROR(__xludf.DUMMYFUNCTION("""COMPUTED_VALUE"""),"")</f>
        <v/>
      </c>
      <c r="C923" s="6" t="str">
        <f ca="1">IFERROR(__xludf.DUMMYFUNCTION("""COMPUTED_VALUE"""),"")</f>
        <v/>
      </c>
      <c r="D923" s="6" t="str">
        <f ca="1">IFERROR(__xludf.DUMMYFUNCTION("""COMPUTED_VALUE"""),"")</f>
        <v/>
      </c>
      <c r="E923" s="6" t="str">
        <f ca="1">IFERROR(__xludf.DUMMYFUNCTION("""COMPUTED_VALUE"""),"")</f>
        <v/>
      </c>
      <c r="F923" s="6" t="str">
        <f ca="1">IFERROR(__xludf.DUMMYFUNCTION("""COMPUTED_VALUE"""),"")</f>
        <v/>
      </c>
      <c r="G923" s="6" t="str">
        <f ca="1">IFERROR(__xludf.DUMMYFUNCTION("""COMPUTED_VALUE"""),"")</f>
        <v/>
      </c>
      <c r="H923" s="6" t="str">
        <f ca="1">IFERROR(__xludf.DUMMYFUNCTION("""COMPUTED_VALUE"""),"")</f>
        <v/>
      </c>
      <c r="I923" s="6" t="str">
        <f ca="1">IFERROR(__xludf.DUMMYFUNCTION("""COMPUTED_VALUE"""),"")</f>
        <v/>
      </c>
      <c r="J923" s="6" t="str">
        <f ca="1">IFERROR(__xludf.DUMMYFUNCTION("""COMPUTED_VALUE"""),"")</f>
        <v/>
      </c>
    </row>
    <row r="924" spans="1:10" x14ac:dyDescent="0.2">
      <c r="A924" s="6" t="str">
        <f ca="1">IFERROR(__xludf.DUMMYFUNCTION("""COMPUTED_VALUE"""),"")</f>
        <v/>
      </c>
      <c r="B924" s="6" t="str">
        <f ca="1">IFERROR(__xludf.DUMMYFUNCTION("""COMPUTED_VALUE"""),"")</f>
        <v/>
      </c>
      <c r="C924" s="6" t="str">
        <f ca="1">IFERROR(__xludf.DUMMYFUNCTION("""COMPUTED_VALUE"""),"")</f>
        <v/>
      </c>
      <c r="D924" s="6" t="str">
        <f ca="1">IFERROR(__xludf.DUMMYFUNCTION("""COMPUTED_VALUE"""),"")</f>
        <v/>
      </c>
      <c r="E924" s="6" t="str">
        <f ca="1">IFERROR(__xludf.DUMMYFUNCTION("""COMPUTED_VALUE"""),"")</f>
        <v/>
      </c>
      <c r="F924" s="6" t="str">
        <f ca="1">IFERROR(__xludf.DUMMYFUNCTION("""COMPUTED_VALUE"""),"")</f>
        <v/>
      </c>
      <c r="G924" s="6" t="str">
        <f ca="1">IFERROR(__xludf.DUMMYFUNCTION("""COMPUTED_VALUE"""),"")</f>
        <v/>
      </c>
      <c r="H924" s="6" t="str">
        <f ca="1">IFERROR(__xludf.DUMMYFUNCTION("""COMPUTED_VALUE"""),"")</f>
        <v/>
      </c>
      <c r="I924" s="6" t="str">
        <f ca="1">IFERROR(__xludf.DUMMYFUNCTION("""COMPUTED_VALUE"""),"")</f>
        <v/>
      </c>
      <c r="J924" s="6" t="str">
        <f ca="1">IFERROR(__xludf.DUMMYFUNCTION("""COMPUTED_VALUE"""),"")</f>
        <v/>
      </c>
    </row>
    <row r="925" spans="1:10" x14ac:dyDescent="0.2">
      <c r="A925" s="6" t="str">
        <f ca="1">IFERROR(__xludf.DUMMYFUNCTION("""COMPUTED_VALUE"""),"")</f>
        <v/>
      </c>
      <c r="B925" s="6" t="str">
        <f ca="1">IFERROR(__xludf.DUMMYFUNCTION("""COMPUTED_VALUE"""),"")</f>
        <v/>
      </c>
      <c r="C925" s="6" t="str">
        <f ca="1">IFERROR(__xludf.DUMMYFUNCTION("""COMPUTED_VALUE"""),"")</f>
        <v/>
      </c>
      <c r="D925" s="6" t="str">
        <f ca="1">IFERROR(__xludf.DUMMYFUNCTION("""COMPUTED_VALUE"""),"")</f>
        <v/>
      </c>
      <c r="E925" s="6" t="str">
        <f ca="1">IFERROR(__xludf.DUMMYFUNCTION("""COMPUTED_VALUE"""),"")</f>
        <v/>
      </c>
      <c r="F925" s="6" t="str">
        <f ca="1">IFERROR(__xludf.DUMMYFUNCTION("""COMPUTED_VALUE"""),"")</f>
        <v/>
      </c>
      <c r="G925" s="6" t="str">
        <f ca="1">IFERROR(__xludf.DUMMYFUNCTION("""COMPUTED_VALUE"""),"")</f>
        <v/>
      </c>
      <c r="H925" s="6" t="str">
        <f ca="1">IFERROR(__xludf.DUMMYFUNCTION("""COMPUTED_VALUE"""),"")</f>
        <v/>
      </c>
      <c r="I925" s="6" t="str">
        <f ca="1">IFERROR(__xludf.DUMMYFUNCTION("""COMPUTED_VALUE"""),"")</f>
        <v/>
      </c>
      <c r="J925" s="6" t="str">
        <f ca="1">IFERROR(__xludf.DUMMYFUNCTION("""COMPUTED_VALUE"""),"")</f>
        <v/>
      </c>
    </row>
    <row r="926" spans="1:10" x14ac:dyDescent="0.2">
      <c r="A926" s="6" t="str">
        <f ca="1">IFERROR(__xludf.DUMMYFUNCTION("""COMPUTED_VALUE"""),"")</f>
        <v/>
      </c>
      <c r="B926" s="6" t="str">
        <f ca="1">IFERROR(__xludf.DUMMYFUNCTION("""COMPUTED_VALUE"""),"")</f>
        <v/>
      </c>
      <c r="C926" s="6" t="str">
        <f ca="1">IFERROR(__xludf.DUMMYFUNCTION("""COMPUTED_VALUE"""),"")</f>
        <v/>
      </c>
      <c r="D926" s="6" t="str">
        <f ca="1">IFERROR(__xludf.DUMMYFUNCTION("""COMPUTED_VALUE"""),"")</f>
        <v/>
      </c>
      <c r="E926" s="6" t="str">
        <f ca="1">IFERROR(__xludf.DUMMYFUNCTION("""COMPUTED_VALUE"""),"")</f>
        <v/>
      </c>
      <c r="F926" s="6" t="str">
        <f ca="1">IFERROR(__xludf.DUMMYFUNCTION("""COMPUTED_VALUE"""),"")</f>
        <v/>
      </c>
      <c r="G926" s="6" t="str">
        <f ca="1">IFERROR(__xludf.DUMMYFUNCTION("""COMPUTED_VALUE"""),"")</f>
        <v/>
      </c>
      <c r="H926" s="6" t="str">
        <f ca="1">IFERROR(__xludf.DUMMYFUNCTION("""COMPUTED_VALUE"""),"")</f>
        <v/>
      </c>
      <c r="I926" s="6" t="str">
        <f ca="1">IFERROR(__xludf.DUMMYFUNCTION("""COMPUTED_VALUE"""),"")</f>
        <v/>
      </c>
      <c r="J926" s="6" t="str">
        <f ca="1">IFERROR(__xludf.DUMMYFUNCTION("""COMPUTED_VALUE"""),"")</f>
        <v/>
      </c>
    </row>
    <row r="927" spans="1:10" x14ac:dyDescent="0.2">
      <c r="A927" s="6" t="str">
        <f ca="1">IFERROR(__xludf.DUMMYFUNCTION("""COMPUTED_VALUE"""),"")</f>
        <v/>
      </c>
      <c r="B927" s="6" t="str">
        <f ca="1">IFERROR(__xludf.DUMMYFUNCTION("""COMPUTED_VALUE"""),"")</f>
        <v/>
      </c>
      <c r="C927" s="6" t="str">
        <f ca="1">IFERROR(__xludf.DUMMYFUNCTION("""COMPUTED_VALUE"""),"")</f>
        <v/>
      </c>
      <c r="D927" s="6" t="str">
        <f ca="1">IFERROR(__xludf.DUMMYFUNCTION("""COMPUTED_VALUE"""),"")</f>
        <v/>
      </c>
      <c r="E927" s="6" t="str">
        <f ca="1">IFERROR(__xludf.DUMMYFUNCTION("""COMPUTED_VALUE"""),"")</f>
        <v/>
      </c>
      <c r="F927" s="6" t="str">
        <f ca="1">IFERROR(__xludf.DUMMYFUNCTION("""COMPUTED_VALUE"""),"")</f>
        <v/>
      </c>
      <c r="G927" s="6" t="str">
        <f ca="1">IFERROR(__xludf.DUMMYFUNCTION("""COMPUTED_VALUE"""),"")</f>
        <v/>
      </c>
      <c r="H927" s="6" t="str">
        <f ca="1">IFERROR(__xludf.DUMMYFUNCTION("""COMPUTED_VALUE"""),"")</f>
        <v/>
      </c>
      <c r="I927" s="6" t="str">
        <f ca="1">IFERROR(__xludf.DUMMYFUNCTION("""COMPUTED_VALUE"""),"")</f>
        <v/>
      </c>
      <c r="J927" s="6" t="str">
        <f ca="1">IFERROR(__xludf.DUMMYFUNCTION("""COMPUTED_VALUE"""),"")</f>
        <v/>
      </c>
    </row>
    <row r="928" spans="1:10" x14ac:dyDescent="0.2">
      <c r="A928" s="6" t="str">
        <f ca="1">IFERROR(__xludf.DUMMYFUNCTION("""COMPUTED_VALUE"""),"")</f>
        <v/>
      </c>
      <c r="B928" s="6" t="str">
        <f ca="1">IFERROR(__xludf.DUMMYFUNCTION("""COMPUTED_VALUE"""),"")</f>
        <v/>
      </c>
      <c r="C928" s="6" t="str">
        <f ca="1">IFERROR(__xludf.DUMMYFUNCTION("""COMPUTED_VALUE"""),"")</f>
        <v/>
      </c>
      <c r="D928" s="6" t="str">
        <f ca="1">IFERROR(__xludf.DUMMYFUNCTION("""COMPUTED_VALUE"""),"")</f>
        <v/>
      </c>
      <c r="E928" s="6" t="str">
        <f ca="1">IFERROR(__xludf.DUMMYFUNCTION("""COMPUTED_VALUE"""),"")</f>
        <v/>
      </c>
      <c r="F928" s="6" t="str">
        <f ca="1">IFERROR(__xludf.DUMMYFUNCTION("""COMPUTED_VALUE"""),"")</f>
        <v/>
      </c>
      <c r="G928" s="6" t="str">
        <f ca="1">IFERROR(__xludf.DUMMYFUNCTION("""COMPUTED_VALUE"""),"")</f>
        <v/>
      </c>
      <c r="H928" s="6" t="str">
        <f ca="1">IFERROR(__xludf.DUMMYFUNCTION("""COMPUTED_VALUE"""),"")</f>
        <v/>
      </c>
      <c r="I928" s="6" t="str">
        <f ca="1">IFERROR(__xludf.DUMMYFUNCTION("""COMPUTED_VALUE"""),"")</f>
        <v/>
      </c>
      <c r="J928" s="6" t="str">
        <f ca="1">IFERROR(__xludf.DUMMYFUNCTION("""COMPUTED_VALUE"""),"")</f>
        <v/>
      </c>
    </row>
    <row r="929" spans="1:10" x14ac:dyDescent="0.2">
      <c r="A929" s="6" t="str">
        <f ca="1">IFERROR(__xludf.DUMMYFUNCTION("""COMPUTED_VALUE"""),"")</f>
        <v/>
      </c>
      <c r="B929" s="6" t="str">
        <f ca="1">IFERROR(__xludf.DUMMYFUNCTION("""COMPUTED_VALUE"""),"")</f>
        <v/>
      </c>
      <c r="C929" s="6" t="str">
        <f ca="1">IFERROR(__xludf.DUMMYFUNCTION("""COMPUTED_VALUE"""),"")</f>
        <v/>
      </c>
      <c r="D929" s="6" t="str">
        <f ca="1">IFERROR(__xludf.DUMMYFUNCTION("""COMPUTED_VALUE"""),"")</f>
        <v/>
      </c>
      <c r="E929" s="6" t="str">
        <f ca="1">IFERROR(__xludf.DUMMYFUNCTION("""COMPUTED_VALUE"""),"")</f>
        <v/>
      </c>
      <c r="F929" s="6" t="str">
        <f ca="1">IFERROR(__xludf.DUMMYFUNCTION("""COMPUTED_VALUE"""),"")</f>
        <v/>
      </c>
      <c r="G929" s="6" t="str">
        <f ca="1">IFERROR(__xludf.DUMMYFUNCTION("""COMPUTED_VALUE"""),"")</f>
        <v/>
      </c>
      <c r="H929" s="6" t="str">
        <f ca="1">IFERROR(__xludf.DUMMYFUNCTION("""COMPUTED_VALUE"""),"")</f>
        <v/>
      </c>
      <c r="I929" s="6" t="str">
        <f ca="1">IFERROR(__xludf.DUMMYFUNCTION("""COMPUTED_VALUE"""),"")</f>
        <v/>
      </c>
      <c r="J929" s="6" t="str">
        <f ca="1">IFERROR(__xludf.DUMMYFUNCTION("""COMPUTED_VALUE"""),"")</f>
        <v/>
      </c>
    </row>
    <row r="930" spans="1:10" x14ac:dyDescent="0.2">
      <c r="A930" s="6" t="str">
        <f ca="1">IFERROR(__xludf.DUMMYFUNCTION("""COMPUTED_VALUE"""),"")</f>
        <v/>
      </c>
      <c r="B930" s="6" t="str">
        <f ca="1">IFERROR(__xludf.DUMMYFUNCTION("""COMPUTED_VALUE"""),"")</f>
        <v/>
      </c>
      <c r="C930" s="6" t="str">
        <f ca="1">IFERROR(__xludf.DUMMYFUNCTION("""COMPUTED_VALUE"""),"")</f>
        <v/>
      </c>
      <c r="D930" s="6" t="str">
        <f ca="1">IFERROR(__xludf.DUMMYFUNCTION("""COMPUTED_VALUE"""),"")</f>
        <v/>
      </c>
      <c r="E930" s="6" t="str">
        <f ca="1">IFERROR(__xludf.DUMMYFUNCTION("""COMPUTED_VALUE"""),"")</f>
        <v/>
      </c>
      <c r="F930" s="6" t="str">
        <f ca="1">IFERROR(__xludf.DUMMYFUNCTION("""COMPUTED_VALUE"""),"")</f>
        <v/>
      </c>
      <c r="G930" s="6" t="str">
        <f ca="1">IFERROR(__xludf.DUMMYFUNCTION("""COMPUTED_VALUE"""),"")</f>
        <v/>
      </c>
      <c r="H930" s="6" t="str">
        <f ca="1">IFERROR(__xludf.DUMMYFUNCTION("""COMPUTED_VALUE"""),"")</f>
        <v/>
      </c>
      <c r="I930" s="6" t="str">
        <f ca="1">IFERROR(__xludf.DUMMYFUNCTION("""COMPUTED_VALUE"""),"")</f>
        <v/>
      </c>
      <c r="J930" s="6" t="str">
        <f ca="1">IFERROR(__xludf.DUMMYFUNCTION("""COMPUTED_VALUE"""),"")</f>
        <v/>
      </c>
    </row>
    <row r="931" spans="1:10" x14ac:dyDescent="0.2">
      <c r="A931" s="6" t="str">
        <f ca="1">IFERROR(__xludf.DUMMYFUNCTION("""COMPUTED_VALUE"""),"")</f>
        <v/>
      </c>
      <c r="B931" s="6" t="str">
        <f ca="1">IFERROR(__xludf.DUMMYFUNCTION("""COMPUTED_VALUE"""),"")</f>
        <v/>
      </c>
      <c r="C931" s="6" t="str">
        <f ca="1">IFERROR(__xludf.DUMMYFUNCTION("""COMPUTED_VALUE"""),"")</f>
        <v/>
      </c>
      <c r="D931" s="6" t="str">
        <f ca="1">IFERROR(__xludf.DUMMYFUNCTION("""COMPUTED_VALUE"""),"")</f>
        <v/>
      </c>
      <c r="E931" s="6" t="str">
        <f ca="1">IFERROR(__xludf.DUMMYFUNCTION("""COMPUTED_VALUE"""),"")</f>
        <v/>
      </c>
      <c r="F931" s="6" t="str">
        <f ca="1">IFERROR(__xludf.DUMMYFUNCTION("""COMPUTED_VALUE"""),"")</f>
        <v/>
      </c>
      <c r="G931" s="6" t="str">
        <f ca="1">IFERROR(__xludf.DUMMYFUNCTION("""COMPUTED_VALUE"""),"")</f>
        <v/>
      </c>
      <c r="H931" s="6" t="str">
        <f ca="1">IFERROR(__xludf.DUMMYFUNCTION("""COMPUTED_VALUE"""),"")</f>
        <v/>
      </c>
      <c r="I931" s="6" t="str">
        <f ca="1">IFERROR(__xludf.DUMMYFUNCTION("""COMPUTED_VALUE"""),"")</f>
        <v/>
      </c>
      <c r="J931" s="6" t="str">
        <f ca="1">IFERROR(__xludf.DUMMYFUNCTION("""COMPUTED_VALUE"""),"")</f>
        <v/>
      </c>
    </row>
    <row r="932" spans="1:10" x14ac:dyDescent="0.2">
      <c r="A932" s="6" t="str">
        <f ca="1">IFERROR(__xludf.DUMMYFUNCTION("""COMPUTED_VALUE"""),"")</f>
        <v/>
      </c>
      <c r="B932" s="6" t="str">
        <f ca="1">IFERROR(__xludf.DUMMYFUNCTION("""COMPUTED_VALUE"""),"")</f>
        <v/>
      </c>
      <c r="C932" s="6" t="str">
        <f ca="1">IFERROR(__xludf.DUMMYFUNCTION("""COMPUTED_VALUE"""),"")</f>
        <v/>
      </c>
      <c r="D932" s="6" t="str">
        <f ca="1">IFERROR(__xludf.DUMMYFUNCTION("""COMPUTED_VALUE"""),"")</f>
        <v/>
      </c>
      <c r="E932" s="6" t="str">
        <f ca="1">IFERROR(__xludf.DUMMYFUNCTION("""COMPUTED_VALUE"""),"")</f>
        <v/>
      </c>
      <c r="F932" s="6" t="str">
        <f ca="1">IFERROR(__xludf.DUMMYFUNCTION("""COMPUTED_VALUE"""),"")</f>
        <v/>
      </c>
      <c r="G932" s="6" t="str">
        <f ca="1">IFERROR(__xludf.DUMMYFUNCTION("""COMPUTED_VALUE"""),"")</f>
        <v/>
      </c>
      <c r="H932" s="6" t="str">
        <f ca="1">IFERROR(__xludf.DUMMYFUNCTION("""COMPUTED_VALUE"""),"")</f>
        <v/>
      </c>
      <c r="I932" s="6" t="str">
        <f ca="1">IFERROR(__xludf.DUMMYFUNCTION("""COMPUTED_VALUE"""),"")</f>
        <v/>
      </c>
      <c r="J932" s="6" t="str">
        <f ca="1">IFERROR(__xludf.DUMMYFUNCTION("""COMPUTED_VALUE"""),"")</f>
        <v/>
      </c>
    </row>
    <row r="933" spans="1:10" x14ac:dyDescent="0.2">
      <c r="A933" s="6" t="str">
        <f ca="1">IFERROR(__xludf.DUMMYFUNCTION("""COMPUTED_VALUE"""),"")</f>
        <v/>
      </c>
      <c r="B933" s="6" t="str">
        <f ca="1">IFERROR(__xludf.DUMMYFUNCTION("""COMPUTED_VALUE"""),"")</f>
        <v/>
      </c>
      <c r="C933" s="6" t="str">
        <f ca="1">IFERROR(__xludf.DUMMYFUNCTION("""COMPUTED_VALUE"""),"")</f>
        <v/>
      </c>
      <c r="D933" s="6" t="str">
        <f ca="1">IFERROR(__xludf.DUMMYFUNCTION("""COMPUTED_VALUE"""),"")</f>
        <v/>
      </c>
      <c r="E933" s="6" t="str">
        <f ca="1">IFERROR(__xludf.DUMMYFUNCTION("""COMPUTED_VALUE"""),"")</f>
        <v/>
      </c>
      <c r="F933" s="6" t="str">
        <f ca="1">IFERROR(__xludf.DUMMYFUNCTION("""COMPUTED_VALUE"""),"")</f>
        <v/>
      </c>
      <c r="G933" s="6" t="str">
        <f ca="1">IFERROR(__xludf.DUMMYFUNCTION("""COMPUTED_VALUE"""),"")</f>
        <v/>
      </c>
      <c r="H933" s="6" t="str">
        <f ca="1">IFERROR(__xludf.DUMMYFUNCTION("""COMPUTED_VALUE"""),"")</f>
        <v/>
      </c>
      <c r="I933" s="6" t="str">
        <f ca="1">IFERROR(__xludf.DUMMYFUNCTION("""COMPUTED_VALUE"""),"")</f>
        <v/>
      </c>
      <c r="J933" s="6" t="str">
        <f ca="1">IFERROR(__xludf.DUMMYFUNCTION("""COMPUTED_VALUE"""),"")</f>
        <v/>
      </c>
    </row>
    <row r="934" spans="1:10" x14ac:dyDescent="0.2">
      <c r="A934" s="6" t="str">
        <f ca="1">IFERROR(__xludf.DUMMYFUNCTION("""COMPUTED_VALUE"""),"")</f>
        <v/>
      </c>
      <c r="B934" s="6" t="str">
        <f ca="1">IFERROR(__xludf.DUMMYFUNCTION("""COMPUTED_VALUE"""),"")</f>
        <v/>
      </c>
      <c r="C934" s="6" t="str">
        <f ca="1">IFERROR(__xludf.DUMMYFUNCTION("""COMPUTED_VALUE"""),"")</f>
        <v/>
      </c>
      <c r="D934" s="6" t="str">
        <f ca="1">IFERROR(__xludf.DUMMYFUNCTION("""COMPUTED_VALUE"""),"")</f>
        <v/>
      </c>
      <c r="E934" s="6" t="str">
        <f ca="1">IFERROR(__xludf.DUMMYFUNCTION("""COMPUTED_VALUE"""),"")</f>
        <v/>
      </c>
      <c r="F934" s="6" t="str">
        <f ca="1">IFERROR(__xludf.DUMMYFUNCTION("""COMPUTED_VALUE"""),"")</f>
        <v/>
      </c>
      <c r="G934" s="6" t="str">
        <f ca="1">IFERROR(__xludf.DUMMYFUNCTION("""COMPUTED_VALUE"""),"")</f>
        <v/>
      </c>
      <c r="H934" s="6" t="str">
        <f ca="1">IFERROR(__xludf.DUMMYFUNCTION("""COMPUTED_VALUE"""),"")</f>
        <v/>
      </c>
      <c r="I934" s="6" t="str">
        <f ca="1">IFERROR(__xludf.DUMMYFUNCTION("""COMPUTED_VALUE"""),"")</f>
        <v/>
      </c>
      <c r="J934" s="6" t="str">
        <f ca="1">IFERROR(__xludf.DUMMYFUNCTION("""COMPUTED_VALUE"""),"")</f>
        <v/>
      </c>
    </row>
    <row r="935" spans="1:10" x14ac:dyDescent="0.2">
      <c r="A935" s="6" t="str">
        <f ca="1">IFERROR(__xludf.DUMMYFUNCTION("""COMPUTED_VALUE"""),"")</f>
        <v/>
      </c>
      <c r="B935" s="6" t="str">
        <f ca="1">IFERROR(__xludf.DUMMYFUNCTION("""COMPUTED_VALUE"""),"")</f>
        <v/>
      </c>
      <c r="C935" s="6" t="str">
        <f ca="1">IFERROR(__xludf.DUMMYFUNCTION("""COMPUTED_VALUE"""),"")</f>
        <v/>
      </c>
      <c r="D935" s="6" t="str">
        <f ca="1">IFERROR(__xludf.DUMMYFUNCTION("""COMPUTED_VALUE"""),"")</f>
        <v/>
      </c>
      <c r="E935" s="6" t="str">
        <f ca="1">IFERROR(__xludf.DUMMYFUNCTION("""COMPUTED_VALUE"""),"")</f>
        <v/>
      </c>
      <c r="F935" s="6" t="str">
        <f ca="1">IFERROR(__xludf.DUMMYFUNCTION("""COMPUTED_VALUE"""),"")</f>
        <v/>
      </c>
      <c r="G935" s="6" t="str">
        <f ca="1">IFERROR(__xludf.DUMMYFUNCTION("""COMPUTED_VALUE"""),"")</f>
        <v/>
      </c>
      <c r="H935" s="6" t="str">
        <f ca="1">IFERROR(__xludf.DUMMYFUNCTION("""COMPUTED_VALUE"""),"")</f>
        <v/>
      </c>
      <c r="I935" s="6" t="str">
        <f ca="1">IFERROR(__xludf.DUMMYFUNCTION("""COMPUTED_VALUE"""),"")</f>
        <v/>
      </c>
      <c r="J935" s="6" t="str">
        <f ca="1">IFERROR(__xludf.DUMMYFUNCTION("""COMPUTED_VALUE"""),"")</f>
        <v/>
      </c>
    </row>
    <row r="936" spans="1:10" x14ac:dyDescent="0.2">
      <c r="A936" s="6" t="str">
        <f ca="1">IFERROR(__xludf.DUMMYFUNCTION("""COMPUTED_VALUE"""),"")</f>
        <v/>
      </c>
      <c r="B936" s="6" t="str">
        <f ca="1">IFERROR(__xludf.DUMMYFUNCTION("""COMPUTED_VALUE"""),"")</f>
        <v/>
      </c>
      <c r="C936" s="6" t="str">
        <f ca="1">IFERROR(__xludf.DUMMYFUNCTION("""COMPUTED_VALUE"""),"")</f>
        <v/>
      </c>
      <c r="D936" s="6" t="str">
        <f ca="1">IFERROR(__xludf.DUMMYFUNCTION("""COMPUTED_VALUE"""),"")</f>
        <v/>
      </c>
      <c r="E936" s="6" t="str">
        <f ca="1">IFERROR(__xludf.DUMMYFUNCTION("""COMPUTED_VALUE"""),"")</f>
        <v/>
      </c>
      <c r="F936" s="6" t="str">
        <f ca="1">IFERROR(__xludf.DUMMYFUNCTION("""COMPUTED_VALUE"""),"")</f>
        <v/>
      </c>
      <c r="G936" s="6" t="str">
        <f ca="1">IFERROR(__xludf.DUMMYFUNCTION("""COMPUTED_VALUE"""),"")</f>
        <v/>
      </c>
      <c r="H936" s="6" t="str">
        <f ca="1">IFERROR(__xludf.DUMMYFUNCTION("""COMPUTED_VALUE"""),"")</f>
        <v/>
      </c>
      <c r="I936" s="6" t="str">
        <f ca="1">IFERROR(__xludf.DUMMYFUNCTION("""COMPUTED_VALUE"""),"")</f>
        <v/>
      </c>
      <c r="J936" s="6" t="str">
        <f ca="1">IFERROR(__xludf.DUMMYFUNCTION("""COMPUTED_VALUE"""),"")</f>
        <v/>
      </c>
    </row>
    <row r="937" spans="1:10" x14ac:dyDescent="0.2">
      <c r="A937" s="6" t="str">
        <f ca="1">IFERROR(__xludf.DUMMYFUNCTION("""COMPUTED_VALUE"""),"")</f>
        <v/>
      </c>
      <c r="B937" s="6" t="str">
        <f ca="1">IFERROR(__xludf.DUMMYFUNCTION("""COMPUTED_VALUE"""),"")</f>
        <v/>
      </c>
      <c r="C937" s="6" t="str">
        <f ca="1">IFERROR(__xludf.DUMMYFUNCTION("""COMPUTED_VALUE"""),"")</f>
        <v/>
      </c>
      <c r="D937" s="6" t="str">
        <f ca="1">IFERROR(__xludf.DUMMYFUNCTION("""COMPUTED_VALUE"""),"")</f>
        <v/>
      </c>
      <c r="E937" s="6" t="str">
        <f ca="1">IFERROR(__xludf.DUMMYFUNCTION("""COMPUTED_VALUE"""),"")</f>
        <v/>
      </c>
      <c r="F937" s="6" t="str">
        <f ca="1">IFERROR(__xludf.DUMMYFUNCTION("""COMPUTED_VALUE"""),"")</f>
        <v/>
      </c>
      <c r="G937" s="6" t="str">
        <f ca="1">IFERROR(__xludf.DUMMYFUNCTION("""COMPUTED_VALUE"""),"")</f>
        <v/>
      </c>
      <c r="H937" s="6" t="str">
        <f ca="1">IFERROR(__xludf.DUMMYFUNCTION("""COMPUTED_VALUE"""),"")</f>
        <v/>
      </c>
      <c r="I937" s="6" t="str">
        <f ca="1">IFERROR(__xludf.DUMMYFUNCTION("""COMPUTED_VALUE"""),"")</f>
        <v/>
      </c>
      <c r="J937" s="6" t="str">
        <f ca="1">IFERROR(__xludf.DUMMYFUNCTION("""COMPUTED_VALUE"""),"")</f>
        <v/>
      </c>
    </row>
    <row r="938" spans="1:10" x14ac:dyDescent="0.2">
      <c r="A938" s="6" t="str">
        <f ca="1">IFERROR(__xludf.DUMMYFUNCTION("""COMPUTED_VALUE"""),"")</f>
        <v/>
      </c>
      <c r="B938" s="6" t="str">
        <f ca="1">IFERROR(__xludf.DUMMYFUNCTION("""COMPUTED_VALUE"""),"")</f>
        <v/>
      </c>
      <c r="C938" s="6" t="str">
        <f ca="1">IFERROR(__xludf.DUMMYFUNCTION("""COMPUTED_VALUE"""),"")</f>
        <v/>
      </c>
      <c r="D938" s="6" t="str">
        <f ca="1">IFERROR(__xludf.DUMMYFUNCTION("""COMPUTED_VALUE"""),"")</f>
        <v/>
      </c>
      <c r="E938" s="6" t="str">
        <f ca="1">IFERROR(__xludf.DUMMYFUNCTION("""COMPUTED_VALUE"""),"")</f>
        <v/>
      </c>
      <c r="F938" s="6" t="str">
        <f ca="1">IFERROR(__xludf.DUMMYFUNCTION("""COMPUTED_VALUE"""),"")</f>
        <v/>
      </c>
      <c r="G938" s="6" t="str">
        <f ca="1">IFERROR(__xludf.DUMMYFUNCTION("""COMPUTED_VALUE"""),"")</f>
        <v/>
      </c>
      <c r="H938" s="6" t="str">
        <f ca="1">IFERROR(__xludf.DUMMYFUNCTION("""COMPUTED_VALUE"""),"")</f>
        <v/>
      </c>
      <c r="I938" s="6" t="str">
        <f ca="1">IFERROR(__xludf.DUMMYFUNCTION("""COMPUTED_VALUE"""),"")</f>
        <v/>
      </c>
      <c r="J938" s="6" t="str">
        <f ca="1">IFERROR(__xludf.DUMMYFUNCTION("""COMPUTED_VALUE"""),"")</f>
        <v/>
      </c>
    </row>
    <row r="939" spans="1:10" x14ac:dyDescent="0.2">
      <c r="A939" s="6" t="str">
        <f ca="1">IFERROR(__xludf.DUMMYFUNCTION("""COMPUTED_VALUE"""),"")</f>
        <v/>
      </c>
      <c r="B939" s="6" t="str">
        <f ca="1">IFERROR(__xludf.DUMMYFUNCTION("""COMPUTED_VALUE"""),"")</f>
        <v/>
      </c>
      <c r="C939" s="6" t="str">
        <f ca="1">IFERROR(__xludf.DUMMYFUNCTION("""COMPUTED_VALUE"""),"")</f>
        <v/>
      </c>
      <c r="D939" s="6" t="str">
        <f ca="1">IFERROR(__xludf.DUMMYFUNCTION("""COMPUTED_VALUE"""),"")</f>
        <v/>
      </c>
      <c r="E939" s="6" t="str">
        <f ca="1">IFERROR(__xludf.DUMMYFUNCTION("""COMPUTED_VALUE"""),"")</f>
        <v/>
      </c>
      <c r="F939" s="6" t="str">
        <f ca="1">IFERROR(__xludf.DUMMYFUNCTION("""COMPUTED_VALUE"""),"")</f>
        <v/>
      </c>
      <c r="G939" s="6" t="str">
        <f ca="1">IFERROR(__xludf.DUMMYFUNCTION("""COMPUTED_VALUE"""),"")</f>
        <v/>
      </c>
      <c r="H939" s="6" t="str">
        <f ca="1">IFERROR(__xludf.DUMMYFUNCTION("""COMPUTED_VALUE"""),"")</f>
        <v/>
      </c>
      <c r="I939" s="6" t="str">
        <f ca="1">IFERROR(__xludf.DUMMYFUNCTION("""COMPUTED_VALUE"""),"")</f>
        <v/>
      </c>
      <c r="J939" s="6" t="str">
        <f ca="1">IFERROR(__xludf.DUMMYFUNCTION("""COMPUTED_VALUE"""),"")</f>
        <v/>
      </c>
    </row>
    <row r="940" spans="1:10" x14ac:dyDescent="0.2">
      <c r="A940" s="6" t="str">
        <f ca="1">IFERROR(__xludf.DUMMYFUNCTION("""COMPUTED_VALUE"""),"")</f>
        <v/>
      </c>
      <c r="B940" s="6" t="str">
        <f ca="1">IFERROR(__xludf.DUMMYFUNCTION("""COMPUTED_VALUE"""),"")</f>
        <v/>
      </c>
      <c r="C940" s="6" t="str">
        <f ca="1">IFERROR(__xludf.DUMMYFUNCTION("""COMPUTED_VALUE"""),"")</f>
        <v/>
      </c>
      <c r="D940" s="6" t="str">
        <f ca="1">IFERROR(__xludf.DUMMYFUNCTION("""COMPUTED_VALUE"""),"")</f>
        <v/>
      </c>
      <c r="E940" s="6" t="str">
        <f ca="1">IFERROR(__xludf.DUMMYFUNCTION("""COMPUTED_VALUE"""),"")</f>
        <v/>
      </c>
      <c r="F940" s="6" t="str">
        <f ca="1">IFERROR(__xludf.DUMMYFUNCTION("""COMPUTED_VALUE"""),"")</f>
        <v/>
      </c>
      <c r="G940" s="6" t="str">
        <f ca="1">IFERROR(__xludf.DUMMYFUNCTION("""COMPUTED_VALUE"""),"")</f>
        <v/>
      </c>
      <c r="H940" s="6" t="str">
        <f ca="1">IFERROR(__xludf.DUMMYFUNCTION("""COMPUTED_VALUE"""),"")</f>
        <v/>
      </c>
      <c r="I940" s="6" t="str">
        <f ca="1">IFERROR(__xludf.DUMMYFUNCTION("""COMPUTED_VALUE"""),"")</f>
        <v/>
      </c>
      <c r="J940" s="6" t="str">
        <f ca="1">IFERROR(__xludf.DUMMYFUNCTION("""COMPUTED_VALUE"""),"")</f>
        <v/>
      </c>
    </row>
    <row r="941" spans="1:10" x14ac:dyDescent="0.2">
      <c r="A941" s="6" t="str">
        <f ca="1">IFERROR(__xludf.DUMMYFUNCTION("""COMPUTED_VALUE"""),"")</f>
        <v/>
      </c>
      <c r="B941" s="6" t="str">
        <f ca="1">IFERROR(__xludf.DUMMYFUNCTION("""COMPUTED_VALUE"""),"")</f>
        <v/>
      </c>
      <c r="C941" s="6" t="str">
        <f ca="1">IFERROR(__xludf.DUMMYFUNCTION("""COMPUTED_VALUE"""),"")</f>
        <v/>
      </c>
      <c r="D941" s="6" t="str">
        <f ca="1">IFERROR(__xludf.DUMMYFUNCTION("""COMPUTED_VALUE"""),"")</f>
        <v/>
      </c>
      <c r="E941" s="6" t="str">
        <f ca="1">IFERROR(__xludf.DUMMYFUNCTION("""COMPUTED_VALUE"""),"")</f>
        <v/>
      </c>
      <c r="F941" s="6" t="str">
        <f ca="1">IFERROR(__xludf.DUMMYFUNCTION("""COMPUTED_VALUE"""),"")</f>
        <v/>
      </c>
      <c r="G941" s="6" t="str">
        <f ca="1">IFERROR(__xludf.DUMMYFUNCTION("""COMPUTED_VALUE"""),"")</f>
        <v/>
      </c>
      <c r="H941" s="6" t="str">
        <f ca="1">IFERROR(__xludf.DUMMYFUNCTION("""COMPUTED_VALUE"""),"")</f>
        <v/>
      </c>
      <c r="I941" s="6" t="str">
        <f ca="1">IFERROR(__xludf.DUMMYFUNCTION("""COMPUTED_VALUE"""),"")</f>
        <v/>
      </c>
      <c r="J941" s="6" t="str">
        <f ca="1">IFERROR(__xludf.DUMMYFUNCTION("""COMPUTED_VALUE"""),"")</f>
        <v/>
      </c>
    </row>
    <row r="942" spans="1:10" x14ac:dyDescent="0.2">
      <c r="A942" s="6" t="str">
        <f ca="1">IFERROR(__xludf.DUMMYFUNCTION("""COMPUTED_VALUE"""),"")</f>
        <v/>
      </c>
      <c r="B942" s="6" t="str">
        <f ca="1">IFERROR(__xludf.DUMMYFUNCTION("""COMPUTED_VALUE"""),"")</f>
        <v/>
      </c>
      <c r="C942" s="6" t="str">
        <f ca="1">IFERROR(__xludf.DUMMYFUNCTION("""COMPUTED_VALUE"""),"")</f>
        <v/>
      </c>
      <c r="D942" s="6" t="str">
        <f ca="1">IFERROR(__xludf.DUMMYFUNCTION("""COMPUTED_VALUE"""),"")</f>
        <v/>
      </c>
      <c r="E942" s="6" t="str">
        <f ca="1">IFERROR(__xludf.DUMMYFUNCTION("""COMPUTED_VALUE"""),"")</f>
        <v/>
      </c>
      <c r="F942" s="6" t="str">
        <f ca="1">IFERROR(__xludf.DUMMYFUNCTION("""COMPUTED_VALUE"""),"")</f>
        <v/>
      </c>
      <c r="G942" s="6" t="str">
        <f ca="1">IFERROR(__xludf.DUMMYFUNCTION("""COMPUTED_VALUE"""),"")</f>
        <v/>
      </c>
      <c r="H942" s="6" t="str">
        <f ca="1">IFERROR(__xludf.DUMMYFUNCTION("""COMPUTED_VALUE"""),"")</f>
        <v/>
      </c>
      <c r="I942" s="6" t="str">
        <f ca="1">IFERROR(__xludf.DUMMYFUNCTION("""COMPUTED_VALUE"""),"")</f>
        <v/>
      </c>
      <c r="J942" s="6" t="str">
        <f ca="1">IFERROR(__xludf.DUMMYFUNCTION("""COMPUTED_VALUE"""),"")</f>
        <v/>
      </c>
    </row>
    <row r="943" spans="1:10" x14ac:dyDescent="0.2">
      <c r="A943" s="6" t="str">
        <f ca="1">IFERROR(__xludf.DUMMYFUNCTION("""COMPUTED_VALUE"""),"")</f>
        <v/>
      </c>
      <c r="B943" s="6" t="str">
        <f ca="1">IFERROR(__xludf.DUMMYFUNCTION("""COMPUTED_VALUE"""),"")</f>
        <v/>
      </c>
      <c r="C943" s="6" t="str">
        <f ca="1">IFERROR(__xludf.DUMMYFUNCTION("""COMPUTED_VALUE"""),"")</f>
        <v/>
      </c>
      <c r="D943" s="6" t="str">
        <f ca="1">IFERROR(__xludf.DUMMYFUNCTION("""COMPUTED_VALUE"""),"")</f>
        <v/>
      </c>
      <c r="E943" s="6" t="str">
        <f ca="1">IFERROR(__xludf.DUMMYFUNCTION("""COMPUTED_VALUE"""),"")</f>
        <v/>
      </c>
      <c r="F943" s="6" t="str">
        <f ca="1">IFERROR(__xludf.DUMMYFUNCTION("""COMPUTED_VALUE"""),"")</f>
        <v/>
      </c>
      <c r="G943" s="6" t="str">
        <f ca="1">IFERROR(__xludf.DUMMYFUNCTION("""COMPUTED_VALUE"""),"")</f>
        <v/>
      </c>
      <c r="H943" s="6" t="str">
        <f ca="1">IFERROR(__xludf.DUMMYFUNCTION("""COMPUTED_VALUE"""),"")</f>
        <v/>
      </c>
      <c r="I943" s="6" t="str">
        <f ca="1">IFERROR(__xludf.DUMMYFUNCTION("""COMPUTED_VALUE"""),"")</f>
        <v/>
      </c>
      <c r="J943" s="6" t="str">
        <f ca="1">IFERROR(__xludf.DUMMYFUNCTION("""COMPUTED_VALUE"""),"")</f>
        <v/>
      </c>
    </row>
    <row r="944" spans="1:10" x14ac:dyDescent="0.2">
      <c r="A944" s="6" t="str">
        <f ca="1">IFERROR(__xludf.DUMMYFUNCTION("""COMPUTED_VALUE"""),"")</f>
        <v/>
      </c>
      <c r="B944" s="6" t="str">
        <f ca="1">IFERROR(__xludf.DUMMYFUNCTION("""COMPUTED_VALUE"""),"")</f>
        <v/>
      </c>
      <c r="C944" s="6" t="str">
        <f ca="1">IFERROR(__xludf.DUMMYFUNCTION("""COMPUTED_VALUE"""),"")</f>
        <v/>
      </c>
      <c r="D944" s="6" t="str">
        <f ca="1">IFERROR(__xludf.DUMMYFUNCTION("""COMPUTED_VALUE"""),"")</f>
        <v/>
      </c>
      <c r="E944" s="6" t="str">
        <f ca="1">IFERROR(__xludf.DUMMYFUNCTION("""COMPUTED_VALUE"""),"")</f>
        <v/>
      </c>
      <c r="F944" s="6" t="str">
        <f ca="1">IFERROR(__xludf.DUMMYFUNCTION("""COMPUTED_VALUE"""),"")</f>
        <v/>
      </c>
      <c r="G944" s="6" t="str">
        <f ca="1">IFERROR(__xludf.DUMMYFUNCTION("""COMPUTED_VALUE"""),"")</f>
        <v/>
      </c>
      <c r="H944" s="6" t="str">
        <f ca="1">IFERROR(__xludf.DUMMYFUNCTION("""COMPUTED_VALUE"""),"")</f>
        <v/>
      </c>
      <c r="I944" s="6" t="str">
        <f ca="1">IFERROR(__xludf.DUMMYFUNCTION("""COMPUTED_VALUE"""),"")</f>
        <v/>
      </c>
      <c r="J944" s="6" t="str">
        <f ca="1">IFERROR(__xludf.DUMMYFUNCTION("""COMPUTED_VALUE"""),"")</f>
        <v/>
      </c>
    </row>
    <row r="945" spans="1:10" x14ac:dyDescent="0.2">
      <c r="A945" s="6" t="str">
        <f ca="1">IFERROR(__xludf.DUMMYFUNCTION("""COMPUTED_VALUE"""),"")</f>
        <v/>
      </c>
      <c r="B945" s="6" t="str">
        <f ca="1">IFERROR(__xludf.DUMMYFUNCTION("""COMPUTED_VALUE"""),"")</f>
        <v/>
      </c>
      <c r="C945" s="6" t="str">
        <f ca="1">IFERROR(__xludf.DUMMYFUNCTION("""COMPUTED_VALUE"""),"")</f>
        <v/>
      </c>
      <c r="D945" s="6" t="str">
        <f ca="1">IFERROR(__xludf.DUMMYFUNCTION("""COMPUTED_VALUE"""),"")</f>
        <v/>
      </c>
      <c r="E945" s="6" t="str">
        <f ca="1">IFERROR(__xludf.DUMMYFUNCTION("""COMPUTED_VALUE"""),"")</f>
        <v/>
      </c>
      <c r="F945" s="6" t="str">
        <f ca="1">IFERROR(__xludf.DUMMYFUNCTION("""COMPUTED_VALUE"""),"")</f>
        <v/>
      </c>
      <c r="G945" s="6" t="str">
        <f ca="1">IFERROR(__xludf.DUMMYFUNCTION("""COMPUTED_VALUE"""),"")</f>
        <v/>
      </c>
      <c r="H945" s="6" t="str">
        <f ca="1">IFERROR(__xludf.DUMMYFUNCTION("""COMPUTED_VALUE"""),"")</f>
        <v/>
      </c>
      <c r="I945" s="6" t="str">
        <f ca="1">IFERROR(__xludf.DUMMYFUNCTION("""COMPUTED_VALUE"""),"")</f>
        <v/>
      </c>
      <c r="J945" s="6" t="str">
        <f ca="1">IFERROR(__xludf.DUMMYFUNCTION("""COMPUTED_VALUE"""),"")</f>
        <v/>
      </c>
    </row>
    <row r="946" spans="1:10" x14ac:dyDescent="0.2">
      <c r="A946" s="6" t="str">
        <f ca="1">IFERROR(__xludf.DUMMYFUNCTION("""COMPUTED_VALUE"""),"")</f>
        <v/>
      </c>
      <c r="B946" s="6" t="str">
        <f ca="1">IFERROR(__xludf.DUMMYFUNCTION("""COMPUTED_VALUE"""),"")</f>
        <v/>
      </c>
      <c r="C946" s="6" t="str">
        <f ca="1">IFERROR(__xludf.DUMMYFUNCTION("""COMPUTED_VALUE"""),"")</f>
        <v/>
      </c>
      <c r="D946" s="6" t="str">
        <f ca="1">IFERROR(__xludf.DUMMYFUNCTION("""COMPUTED_VALUE"""),"")</f>
        <v/>
      </c>
      <c r="E946" s="6" t="str">
        <f ca="1">IFERROR(__xludf.DUMMYFUNCTION("""COMPUTED_VALUE"""),"")</f>
        <v/>
      </c>
      <c r="F946" s="6" t="str">
        <f ca="1">IFERROR(__xludf.DUMMYFUNCTION("""COMPUTED_VALUE"""),"")</f>
        <v/>
      </c>
      <c r="G946" s="6" t="str">
        <f ca="1">IFERROR(__xludf.DUMMYFUNCTION("""COMPUTED_VALUE"""),"")</f>
        <v/>
      </c>
      <c r="H946" s="6" t="str">
        <f ca="1">IFERROR(__xludf.DUMMYFUNCTION("""COMPUTED_VALUE"""),"")</f>
        <v/>
      </c>
      <c r="I946" s="6" t="str">
        <f ca="1">IFERROR(__xludf.DUMMYFUNCTION("""COMPUTED_VALUE"""),"")</f>
        <v/>
      </c>
      <c r="J946" s="6" t="str">
        <f ca="1">IFERROR(__xludf.DUMMYFUNCTION("""COMPUTED_VALUE"""),"")</f>
        <v/>
      </c>
    </row>
    <row r="947" spans="1:10" x14ac:dyDescent="0.2">
      <c r="A947" s="6" t="str">
        <f ca="1">IFERROR(__xludf.DUMMYFUNCTION("""COMPUTED_VALUE"""),"")</f>
        <v/>
      </c>
      <c r="B947" s="6" t="str">
        <f ca="1">IFERROR(__xludf.DUMMYFUNCTION("""COMPUTED_VALUE"""),"")</f>
        <v/>
      </c>
      <c r="C947" s="6" t="str">
        <f ca="1">IFERROR(__xludf.DUMMYFUNCTION("""COMPUTED_VALUE"""),"")</f>
        <v/>
      </c>
      <c r="D947" s="6" t="str">
        <f ca="1">IFERROR(__xludf.DUMMYFUNCTION("""COMPUTED_VALUE"""),"")</f>
        <v/>
      </c>
      <c r="E947" s="6" t="str">
        <f ca="1">IFERROR(__xludf.DUMMYFUNCTION("""COMPUTED_VALUE"""),"")</f>
        <v/>
      </c>
      <c r="F947" s="6" t="str">
        <f ca="1">IFERROR(__xludf.DUMMYFUNCTION("""COMPUTED_VALUE"""),"")</f>
        <v/>
      </c>
      <c r="G947" s="6" t="str">
        <f ca="1">IFERROR(__xludf.DUMMYFUNCTION("""COMPUTED_VALUE"""),"")</f>
        <v/>
      </c>
      <c r="H947" s="6" t="str">
        <f ca="1">IFERROR(__xludf.DUMMYFUNCTION("""COMPUTED_VALUE"""),"")</f>
        <v/>
      </c>
      <c r="I947" s="6" t="str">
        <f ca="1">IFERROR(__xludf.DUMMYFUNCTION("""COMPUTED_VALUE"""),"")</f>
        <v/>
      </c>
      <c r="J947" s="6" t="str">
        <f ca="1">IFERROR(__xludf.DUMMYFUNCTION("""COMPUTED_VALUE"""),"")</f>
        <v/>
      </c>
    </row>
    <row r="948" spans="1:10" x14ac:dyDescent="0.2">
      <c r="A948" s="6" t="str">
        <f ca="1">IFERROR(__xludf.DUMMYFUNCTION("""COMPUTED_VALUE"""),"")</f>
        <v/>
      </c>
      <c r="B948" s="6" t="str">
        <f ca="1">IFERROR(__xludf.DUMMYFUNCTION("""COMPUTED_VALUE"""),"")</f>
        <v/>
      </c>
      <c r="C948" s="6" t="str">
        <f ca="1">IFERROR(__xludf.DUMMYFUNCTION("""COMPUTED_VALUE"""),"")</f>
        <v/>
      </c>
      <c r="D948" s="6" t="str">
        <f ca="1">IFERROR(__xludf.DUMMYFUNCTION("""COMPUTED_VALUE"""),"")</f>
        <v/>
      </c>
      <c r="E948" s="6" t="str">
        <f ca="1">IFERROR(__xludf.DUMMYFUNCTION("""COMPUTED_VALUE"""),"")</f>
        <v/>
      </c>
      <c r="F948" s="6" t="str">
        <f ca="1">IFERROR(__xludf.DUMMYFUNCTION("""COMPUTED_VALUE"""),"")</f>
        <v/>
      </c>
      <c r="G948" s="6" t="str">
        <f ca="1">IFERROR(__xludf.DUMMYFUNCTION("""COMPUTED_VALUE"""),"")</f>
        <v/>
      </c>
      <c r="H948" s="6" t="str">
        <f ca="1">IFERROR(__xludf.DUMMYFUNCTION("""COMPUTED_VALUE"""),"")</f>
        <v/>
      </c>
      <c r="I948" s="6" t="str">
        <f ca="1">IFERROR(__xludf.DUMMYFUNCTION("""COMPUTED_VALUE"""),"")</f>
        <v/>
      </c>
      <c r="J948" s="6" t="str">
        <f ca="1">IFERROR(__xludf.DUMMYFUNCTION("""COMPUTED_VALUE"""),"")</f>
        <v/>
      </c>
    </row>
    <row r="949" spans="1:10" x14ac:dyDescent="0.2">
      <c r="A949" s="6" t="str">
        <f ca="1">IFERROR(__xludf.DUMMYFUNCTION("""COMPUTED_VALUE"""),"")</f>
        <v/>
      </c>
      <c r="B949" s="6" t="str">
        <f ca="1">IFERROR(__xludf.DUMMYFUNCTION("""COMPUTED_VALUE"""),"")</f>
        <v/>
      </c>
      <c r="C949" s="6" t="str">
        <f ca="1">IFERROR(__xludf.DUMMYFUNCTION("""COMPUTED_VALUE"""),"")</f>
        <v/>
      </c>
      <c r="D949" s="6" t="str">
        <f ca="1">IFERROR(__xludf.DUMMYFUNCTION("""COMPUTED_VALUE"""),"")</f>
        <v/>
      </c>
      <c r="E949" s="6" t="str">
        <f ca="1">IFERROR(__xludf.DUMMYFUNCTION("""COMPUTED_VALUE"""),"")</f>
        <v/>
      </c>
      <c r="F949" s="6" t="str">
        <f ca="1">IFERROR(__xludf.DUMMYFUNCTION("""COMPUTED_VALUE"""),"")</f>
        <v/>
      </c>
      <c r="G949" s="6" t="str">
        <f ca="1">IFERROR(__xludf.DUMMYFUNCTION("""COMPUTED_VALUE"""),"")</f>
        <v/>
      </c>
      <c r="H949" s="6" t="str">
        <f ca="1">IFERROR(__xludf.DUMMYFUNCTION("""COMPUTED_VALUE"""),"")</f>
        <v/>
      </c>
      <c r="I949" s="6" t="str">
        <f ca="1">IFERROR(__xludf.DUMMYFUNCTION("""COMPUTED_VALUE"""),"")</f>
        <v/>
      </c>
      <c r="J949" s="6" t="str">
        <f ca="1">IFERROR(__xludf.DUMMYFUNCTION("""COMPUTED_VALUE"""),"")</f>
        <v/>
      </c>
    </row>
    <row r="950" spans="1:10" x14ac:dyDescent="0.2">
      <c r="A950" s="6" t="str">
        <f ca="1">IFERROR(__xludf.DUMMYFUNCTION("""COMPUTED_VALUE"""),"")</f>
        <v/>
      </c>
      <c r="B950" s="6" t="str">
        <f ca="1">IFERROR(__xludf.DUMMYFUNCTION("""COMPUTED_VALUE"""),"")</f>
        <v/>
      </c>
      <c r="C950" s="6" t="str">
        <f ca="1">IFERROR(__xludf.DUMMYFUNCTION("""COMPUTED_VALUE"""),"")</f>
        <v/>
      </c>
      <c r="D950" s="6" t="str">
        <f ca="1">IFERROR(__xludf.DUMMYFUNCTION("""COMPUTED_VALUE"""),"")</f>
        <v/>
      </c>
      <c r="E950" s="6" t="str">
        <f ca="1">IFERROR(__xludf.DUMMYFUNCTION("""COMPUTED_VALUE"""),"")</f>
        <v/>
      </c>
      <c r="F950" s="6" t="str">
        <f ca="1">IFERROR(__xludf.DUMMYFUNCTION("""COMPUTED_VALUE"""),"")</f>
        <v/>
      </c>
      <c r="G950" s="6" t="str">
        <f ca="1">IFERROR(__xludf.DUMMYFUNCTION("""COMPUTED_VALUE"""),"")</f>
        <v/>
      </c>
      <c r="H950" s="6" t="str">
        <f ca="1">IFERROR(__xludf.DUMMYFUNCTION("""COMPUTED_VALUE"""),"")</f>
        <v/>
      </c>
      <c r="I950" s="6" t="str">
        <f ca="1">IFERROR(__xludf.DUMMYFUNCTION("""COMPUTED_VALUE"""),"")</f>
        <v/>
      </c>
      <c r="J950" s="6" t="str">
        <f ca="1">IFERROR(__xludf.DUMMYFUNCTION("""COMPUTED_VALUE"""),"")</f>
        <v/>
      </c>
    </row>
    <row r="951" spans="1:10" x14ac:dyDescent="0.2">
      <c r="A951" s="6" t="str">
        <f ca="1">IFERROR(__xludf.DUMMYFUNCTION("""COMPUTED_VALUE"""),"")</f>
        <v/>
      </c>
      <c r="B951" s="6" t="str">
        <f ca="1">IFERROR(__xludf.DUMMYFUNCTION("""COMPUTED_VALUE"""),"")</f>
        <v/>
      </c>
      <c r="C951" s="6" t="str">
        <f ca="1">IFERROR(__xludf.DUMMYFUNCTION("""COMPUTED_VALUE"""),"")</f>
        <v/>
      </c>
      <c r="D951" s="6" t="str">
        <f ca="1">IFERROR(__xludf.DUMMYFUNCTION("""COMPUTED_VALUE"""),"")</f>
        <v/>
      </c>
      <c r="E951" s="6" t="str">
        <f ca="1">IFERROR(__xludf.DUMMYFUNCTION("""COMPUTED_VALUE"""),"")</f>
        <v/>
      </c>
      <c r="F951" s="6" t="str">
        <f ca="1">IFERROR(__xludf.DUMMYFUNCTION("""COMPUTED_VALUE"""),"")</f>
        <v/>
      </c>
      <c r="G951" s="6" t="str">
        <f ca="1">IFERROR(__xludf.DUMMYFUNCTION("""COMPUTED_VALUE"""),"")</f>
        <v/>
      </c>
      <c r="H951" s="6" t="str">
        <f ca="1">IFERROR(__xludf.DUMMYFUNCTION("""COMPUTED_VALUE"""),"")</f>
        <v/>
      </c>
      <c r="I951" s="6" t="str">
        <f ca="1">IFERROR(__xludf.DUMMYFUNCTION("""COMPUTED_VALUE"""),"")</f>
        <v/>
      </c>
      <c r="J951" s="6" t="str">
        <f ca="1">IFERROR(__xludf.DUMMYFUNCTION("""COMPUTED_VALUE"""),"")</f>
        <v/>
      </c>
    </row>
    <row r="952" spans="1:10" x14ac:dyDescent="0.2">
      <c r="A952" s="6" t="str">
        <f ca="1">IFERROR(__xludf.DUMMYFUNCTION("""COMPUTED_VALUE"""),"")</f>
        <v/>
      </c>
      <c r="B952" s="6" t="str">
        <f ca="1">IFERROR(__xludf.DUMMYFUNCTION("""COMPUTED_VALUE"""),"")</f>
        <v/>
      </c>
      <c r="C952" s="6" t="str">
        <f ca="1">IFERROR(__xludf.DUMMYFUNCTION("""COMPUTED_VALUE"""),"")</f>
        <v/>
      </c>
      <c r="D952" s="6" t="str">
        <f ca="1">IFERROR(__xludf.DUMMYFUNCTION("""COMPUTED_VALUE"""),"")</f>
        <v/>
      </c>
      <c r="E952" s="6" t="str">
        <f ca="1">IFERROR(__xludf.DUMMYFUNCTION("""COMPUTED_VALUE"""),"")</f>
        <v/>
      </c>
      <c r="F952" s="6" t="str">
        <f ca="1">IFERROR(__xludf.DUMMYFUNCTION("""COMPUTED_VALUE"""),"")</f>
        <v/>
      </c>
      <c r="G952" s="6" t="str">
        <f ca="1">IFERROR(__xludf.DUMMYFUNCTION("""COMPUTED_VALUE"""),"")</f>
        <v/>
      </c>
      <c r="H952" s="6" t="str">
        <f ca="1">IFERROR(__xludf.DUMMYFUNCTION("""COMPUTED_VALUE"""),"")</f>
        <v/>
      </c>
      <c r="I952" s="6" t="str">
        <f ca="1">IFERROR(__xludf.DUMMYFUNCTION("""COMPUTED_VALUE"""),"")</f>
        <v/>
      </c>
      <c r="J952" s="6" t="str">
        <f ca="1">IFERROR(__xludf.DUMMYFUNCTION("""COMPUTED_VALUE"""),"")</f>
        <v/>
      </c>
    </row>
    <row r="953" spans="1:10" x14ac:dyDescent="0.2">
      <c r="A953" s="6" t="str">
        <f ca="1">IFERROR(__xludf.DUMMYFUNCTION("""COMPUTED_VALUE"""),"")</f>
        <v/>
      </c>
      <c r="B953" s="6" t="str">
        <f ca="1">IFERROR(__xludf.DUMMYFUNCTION("""COMPUTED_VALUE"""),"")</f>
        <v/>
      </c>
      <c r="C953" s="6" t="str">
        <f ca="1">IFERROR(__xludf.DUMMYFUNCTION("""COMPUTED_VALUE"""),"")</f>
        <v/>
      </c>
      <c r="D953" s="6" t="str">
        <f ca="1">IFERROR(__xludf.DUMMYFUNCTION("""COMPUTED_VALUE"""),"")</f>
        <v/>
      </c>
      <c r="E953" s="6" t="str">
        <f ca="1">IFERROR(__xludf.DUMMYFUNCTION("""COMPUTED_VALUE"""),"")</f>
        <v/>
      </c>
      <c r="F953" s="6" t="str">
        <f ca="1">IFERROR(__xludf.DUMMYFUNCTION("""COMPUTED_VALUE"""),"")</f>
        <v/>
      </c>
      <c r="G953" s="6" t="str">
        <f ca="1">IFERROR(__xludf.DUMMYFUNCTION("""COMPUTED_VALUE"""),"")</f>
        <v/>
      </c>
      <c r="H953" s="6" t="str">
        <f ca="1">IFERROR(__xludf.DUMMYFUNCTION("""COMPUTED_VALUE"""),"")</f>
        <v/>
      </c>
      <c r="I953" s="6" t="str">
        <f ca="1">IFERROR(__xludf.DUMMYFUNCTION("""COMPUTED_VALUE"""),"")</f>
        <v/>
      </c>
      <c r="J953" s="6" t="str">
        <f ca="1">IFERROR(__xludf.DUMMYFUNCTION("""COMPUTED_VALUE"""),"")</f>
        <v/>
      </c>
    </row>
    <row r="954" spans="1:10" x14ac:dyDescent="0.2">
      <c r="A954" s="6" t="str">
        <f ca="1">IFERROR(__xludf.DUMMYFUNCTION("""COMPUTED_VALUE"""),"")</f>
        <v/>
      </c>
      <c r="B954" s="6" t="str">
        <f ca="1">IFERROR(__xludf.DUMMYFUNCTION("""COMPUTED_VALUE"""),"")</f>
        <v/>
      </c>
      <c r="C954" s="6" t="str">
        <f ca="1">IFERROR(__xludf.DUMMYFUNCTION("""COMPUTED_VALUE"""),"")</f>
        <v/>
      </c>
      <c r="D954" s="6" t="str">
        <f ca="1">IFERROR(__xludf.DUMMYFUNCTION("""COMPUTED_VALUE"""),"")</f>
        <v/>
      </c>
      <c r="E954" s="6" t="str">
        <f ca="1">IFERROR(__xludf.DUMMYFUNCTION("""COMPUTED_VALUE"""),"")</f>
        <v/>
      </c>
      <c r="F954" s="6" t="str">
        <f ca="1">IFERROR(__xludf.DUMMYFUNCTION("""COMPUTED_VALUE"""),"")</f>
        <v/>
      </c>
      <c r="G954" s="6" t="str">
        <f ca="1">IFERROR(__xludf.DUMMYFUNCTION("""COMPUTED_VALUE"""),"")</f>
        <v/>
      </c>
      <c r="H954" s="6" t="str">
        <f ca="1">IFERROR(__xludf.DUMMYFUNCTION("""COMPUTED_VALUE"""),"")</f>
        <v/>
      </c>
      <c r="I954" s="6" t="str">
        <f ca="1">IFERROR(__xludf.DUMMYFUNCTION("""COMPUTED_VALUE"""),"")</f>
        <v/>
      </c>
      <c r="J954" s="6" t="str">
        <f ca="1">IFERROR(__xludf.DUMMYFUNCTION("""COMPUTED_VALUE"""),"")</f>
        <v/>
      </c>
    </row>
    <row r="955" spans="1:10" x14ac:dyDescent="0.2">
      <c r="A955" s="6" t="str">
        <f ca="1">IFERROR(__xludf.DUMMYFUNCTION("""COMPUTED_VALUE"""),"")</f>
        <v/>
      </c>
      <c r="B955" s="6" t="str">
        <f ca="1">IFERROR(__xludf.DUMMYFUNCTION("""COMPUTED_VALUE"""),"")</f>
        <v/>
      </c>
      <c r="C955" s="6" t="str">
        <f ca="1">IFERROR(__xludf.DUMMYFUNCTION("""COMPUTED_VALUE"""),"")</f>
        <v/>
      </c>
      <c r="D955" s="6" t="str">
        <f ca="1">IFERROR(__xludf.DUMMYFUNCTION("""COMPUTED_VALUE"""),"")</f>
        <v/>
      </c>
      <c r="E955" s="6" t="str">
        <f ca="1">IFERROR(__xludf.DUMMYFUNCTION("""COMPUTED_VALUE"""),"")</f>
        <v/>
      </c>
      <c r="F955" s="6" t="str">
        <f ca="1">IFERROR(__xludf.DUMMYFUNCTION("""COMPUTED_VALUE"""),"")</f>
        <v/>
      </c>
      <c r="G955" s="6" t="str">
        <f ca="1">IFERROR(__xludf.DUMMYFUNCTION("""COMPUTED_VALUE"""),"")</f>
        <v/>
      </c>
      <c r="H955" s="6" t="str">
        <f ca="1">IFERROR(__xludf.DUMMYFUNCTION("""COMPUTED_VALUE"""),"")</f>
        <v/>
      </c>
      <c r="I955" s="6" t="str">
        <f ca="1">IFERROR(__xludf.DUMMYFUNCTION("""COMPUTED_VALUE"""),"")</f>
        <v/>
      </c>
      <c r="J955" s="6" t="str">
        <f ca="1">IFERROR(__xludf.DUMMYFUNCTION("""COMPUTED_VALUE"""),"")</f>
        <v/>
      </c>
    </row>
    <row r="956" spans="1:10" x14ac:dyDescent="0.2">
      <c r="A956" s="6" t="str">
        <f ca="1">IFERROR(__xludf.DUMMYFUNCTION("""COMPUTED_VALUE"""),"")</f>
        <v/>
      </c>
      <c r="B956" s="6" t="str">
        <f ca="1">IFERROR(__xludf.DUMMYFUNCTION("""COMPUTED_VALUE"""),"")</f>
        <v/>
      </c>
      <c r="C956" s="6" t="str">
        <f ca="1">IFERROR(__xludf.DUMMYFUNCTION("""COMPUTED_VALUE"""),"")</f>
        <v/>
      </c>
      <c r="D956" s="6" t="str">
        <f ca="1">IFERROR(__xludf.DUMMYFUNCTION("""COMPUTED_VALUE"""),"")</f>
        <v/>
      </c>
      <c r="E956" s="6" t="str">
        <f ca="1">IFERROR(__xludf.DUMMYFUNCTION("""COMPUTED_VALUE"""),"")</f>
        <v/>
      </c>
      <c r="F956" s="6" t="str">
        <f ca="1">IFERROR(__xludf.DUMMYFUNCTION("""COMPUTED_VALUE"""),"")</f>
        <v/>
      </c>
      <c r="G956" s="6" t="str">
        <f ca="1">IFERROR(__xludf.DUMMYFUNCTION("""COMPUTED_VALUE"""),"")</f>
        <v/>
      </c>
      <c r="H956" s="6" t="str">
        <f ca="1">IFERROR(__xludf.DUMMYFUNCTION("""COMPUTED_VALUE"""),"")</f>
        <v/>
      </c>
      <c r="I956" s="6" t="str">
        <f ca="1">IFERROR(__xludf.DUMMYFUNCTION("""COMPUTED_VALUE"""),"")</f>
        <v/>
      </c>
      <c r="J956" s="6" t="str">
        <f ca="1">IFERROR(__xludf.DUMMYFUNCTION("""COMPUTED_VALUE"""),"")</f>
        <v/>
      </c>
    </row>
    <row r="957" spans="1:10" x14ac:dyDescent="0.2">
      <c r="A957" s="6" t="str">
        <f ca="1">IFERROR(__xludf.DUMMYFUNCTION("""COMPUTED_VALUE"""),"")</f>
        <v/>
      </c>
      <c r="B957" s="6" t="str">
        <f ca="1">IFERROR(__xludf.DUMMYFUNCTION("""COMPUTED_VALUE"""),"")</f>
        <v/>
      </c>
      <c r="C957" s="6" t="str">
        <f ca="1">IFERROR(__xludf.DUMMYFUNCTION("""COMPUTED_VALUE"""),"")</f>
        <v/>
      </c>
      <c r="D957" s="6" t="str">
        <f ca="1">IFERROR(__xludf.DUMMYFUNCTION("""COMPUTED_VALUE"""),"")</f>
        <v/>
      </c>
      <c r="E957" s="6" t="str">
        <f ca="1">IFERROR(__xludf.DUMMYFUNCTION("""COMPUTED_VALUE"""),"")</f>
        <v/>
      </c>
      <c r="F957" s="6" t="str">
        <f ca="1">IFERROR(__xludf.DUMMYFUNCTION("""COMPUTED_VALUE"""),"")</f>
        <v/>
      </c>
      <c r="G957" s="6" t="str">
        <f ca="1">IFERROR(__xludf.DUMMYFUNCTION("""COMPUTED_VALUE"""),"")</f>
        <v/>
      </c>
      <c r="H957" s="6" t="str">
        <f ca="1">IFERROR(__xludf.DUMMYFUNCTION("""COMPUTED_VALUE"""),"")</f>
        <v/>
      </c>
      <c r="I957" s="6" t="str">
        <f ca="1">IFERROR(__xludf.DUMMYFUNCTION("""COMPUTED_VALUE"""),"")</f>
        <v/>
      </c>
      <c r="J957" s="6" t="str">
        <f ca="1">IFERROR(__xludf.DUMMYFUNCTION("""COMPUTED_VALUE"""),"")</f>
        <v/>
      </c>
    </row>
    <row r="958" spans="1:10" x14ac:dyDescent="0.2">
      <c r="A958" s="6" t="str">
        <f ca="1">IFERROR(__xludf.DUMMYFUNCTION("""COMPUTED_VALUE"""),"")</f>
        <v/>
      </c>
      <c r="B958" s="6" t="str">
        <f ca="1">IFERROR(__xludf.DUMMYFUNCTION("""COMPUTED_VALUE"""),"")</f>
        <v/>
      </c>
      <c r="C958" s="6" t="str">
        <f ca="1">IFERROR(__xludf.DUMMYFUNCTION("""COMPUTED_VALUE"""),"")</f>
        <v/>
      </c>
      <c r="D958" s="6" t="str">
        <f ca="1">IFERROR(__xludf.DUMMYFUNCTION("""COMPUTED_VALUE"""),"")</f>
        <v/>
      </c>
      <c r="E958" s="6" t="str">
        <f ca="1">IFERROR(__xludf.DUMMYFUNCTION("""COMPUTED_VALUE"""),"")</f>
        <v/>
      </c>
      <c r="F958" s="6" t="str">
        <f ca="1">IFERROR(__xludf.DUMMYFUNCTION("""COMPUTED_VALUE"""),"")</f>
        <v/>
      </c>
      <c r="G958" s="6" t="str">
        <f ca="1">IFERROR(__xludf.DUMMYFUNCTION("""COMPUTED_VALUE"""),"")</f>
        <v/>
      </c>
      <c r="H958" s="6" t="str">
        <f ca="1">IFERROR(__xludf.DUMMYFUNCTION("""COMPUTED_VALUE"""),"")</f>
        <v/>
      </c>
      <c r="I958" s="6" t="str">
        <f ca="1">IFERROR(__xludf.DUMMYFUNCTION("""COMPUTED_VALUE"""),"")</f>
        <v/>
      </c>
      <c r="J958" s="6" t="str">
        <f ca="1">IFERROR(__xludf.DUMMYFUNCTION("""COMPUTED_VALUE"""),"")</f>
        <v/>
      </c>
    </row>
    <row r="959" spans="1:10" x14ac:dyDescent="0.2">
      <c r="A959" s="6" t="str">
        <f ca="1">IFERROR(__xludf.DUMMYFUNCTION("""COMPUTED_VALUE"""),"")</f>
        <v/>
      </c>
      <c r="B959" s="6" t="str">
        <f ca="1">IFERROR(__xludf.DUMMYFUNCTION("""COMPUTED_VALUE"""),"")</f>
        <v/>
      </c>
      <c r="C959" s="6" t="str">
        <f ca="1">IFERROR(__xludf.DUMMYFUNCTION("""COMPUTED_VALUE"""),"")</f>
        <v/>
      </c>
      <c r="D959" s="6" t="str">
        <f ca="1">IFERROR(__xludf.DUMMYFUNCTION("""COMPUTED_VALUE"""),"")</f>
        <v/>
      </c>
      <c r="E959" s="6" t="str">
        <f ca="1">IFERROR(__xludf.DUMMYFUNCTION("""COMPUTED_VALUE"""),"")</f>
        <v/>
      </c>
      <c r="F959" s="6" t="str">
        <f ca="1">IFERROR(__xludf.DUMMYFUNCTION("""COMPUTED_VALUE"""),"")</f>
        <v/>
      </c>
      <c r="G959" s="6" t="str">
        <f ca="1">IFERROR(__xludf.DUMMYFUNCTION("""COMPUTED_VALUE"""),"")</f>
        <v/>
      </c>
      <c r="H959" s="6" t="str">
        <f ca="1">IFERROR(__xludf.DUMMYFUNCTION("""COMPUTED_VALUE"""),"")</f>
        <v/>
      </c>
      <c r="I959" s="6" t="str">
        <f ca="1">IFERROR(__xludf.DUMMYFUNCTION("""COMPUTED_VALUE"""),"")</f>
        <v/>
      </c>
      <c r="J959" s="6" t="str">
        <f ca="1">IFERROR(__xludf.DUMMYFUNCTION("""COMPUTED_VALUE"""),"")</f>
        <v/>
      </c>
    </row>
    <row r="960" spans="1:10" x14ac:dyDescent="0.2">
      <c r="A960" s="6" t="str">
        <f ca="1">IFERROR(__xludf.DUMMYFUNCTION("""COMPUTED_VALUE"""),"")</f>
        <v/>
      </c>
      <c r="B960" s="6" t="str">
        <f ca="1">IFERROR(__xludf.DUMMYFUNCTION("""COMPUTED_VALUE"""),"")</f>
        <v/>
      </c>
      <c r="C960" s="6" t="str">
        <f ca="1">IFERROR(__xludf.DUMMYFUNCTION("""COMPUTED_VALUE"""),"")</f>
        <v/>
      </c>
      <c r="D960" s="6" t="str">
        <f ca="1">IFERROR(__xludf.DUMMYFUNCTION("""COMPUTED_VALUE"""),"")</f>
        <v/>
      </c>
      <c r="E960" s="6" t="str">
        <f ca="1">IFERROR(__xludf.DUMMYFUNCTION("""COMPUTED_VALUE"""),"")</f>
        <v/>
      </c>
      <c r="F960" s="6" t="str">
        <f ca="1">IFERROR(__xludf.DUMMYFUNCTION("""COMPUTED_VALUE"""),"")</f>
        <v/>
      </c>
      <c r="G960" s="6" t="str">
        <f ca="1">IFERROR(__xludf.DUMMYFUNCTION("""COMPUTED_VALUE"""),"")</f>
        <v/>
      </c>
      <c r="H960" s="6" t="str">
        <f ca="1">IFERROR(__xludf.DUMMYFUNCTION("""COMPUTED_VALUE"""),"")</f>
        <v/>
      </c>
      <c r="I960" s="6" t="str">
        <f ca="1">IFERROR(__xludf.DUMMYFUNCTION("""COMPUTED_VALUE"""),"")</f>
        <v/>
      </c>
      <c r="J960" s="6" t="str">
        <f ca="1">IFERROR(__xludf.DUMMYFUNCTION("""COMPUTED_VALUE"""),"")</f>
        <v/>
      </c>
    </row>
    <row r="961" spans="1:10" x14ac:dyDescent="0.2">
      <c r="A961" s="6" t="str">
        <f ca="1">IFERROR(__xludf.DUMMYFUNCTION("""COMPUTED_VALUE"""),"")</f>
        <v/>
      </c>
      <c r="B961" s="6" t="str">
        <f ca="1">IFERROR(__xludf.DUMMYFUNCTION("""COMPUTED_VALUE"""),"")</f>
        <v/>
      </c>
      <c r="C961" s="6" t="str">
        <f ca="1">IFERROR(__xludf.DUMMYFUNCTION("""COMPUTED_VALUE"""),"")</f>
        <v/>
      </c>
      <c r="D961" s="6" t="str">
        <f ca="1">IFERROR(__xludf.DUMMYFUNCTION("""COMPUTED_VALUE"""),"")</f>
        <v/>
      </c>
      <c r="E961" s="6" t="str">
        <f ca="1">IFERROR(__xludf.DUMMYFUNCTION("""COMPUTED_VALUE"""),"")</f>
        <v/>
      </c>
      <c r="F961" s="6" t="str">
        <f ca="1">IFERROR(__xludf.DUMMYFUNCTION("""COMPUTED_VALUE"""),"")</f>
        <v/>
      </c>
      <c r="G961" s="6" t="str">
        <f ca="1">IFERROR(__xludf.DUMMYFUNCTION("""COMPUTED_VALUE"""),"")</f>
        <v/>
      </c>
      <c r="H961" s="6" t="str">
        <f ca="1">IFERROR(__xludf.DUMMYFUNCTION("""COMPUTED_VALUE"""),"")</f>
        <v/>
      </c>
      <c r="I961" s="6" t="str">
        <f ca="1">IFERROR(__xludf.DUMMYFUNCTION("""COMPUTED_VALUE"""),"")</f>
        <v/>
      </c>
      <c r="J961" s="6" t="str">
        <f ca="1">IFERROR(__xludf.DUMMYFUNCTION("""COMPUTED_VALUE"""),"")</f>
        <v/>
      </c>
    </row>
    <row r="962" spans="1:10" x14ac:dyDescent="0.2">
      <c r="A962" s="6" t="str">
        <f ca="1">IFERROR(__xludf.DUMMYFUNCTION("""COMPUTED_VALUE"""),"")</f>
        <v/>
      </c>
      <c r="B962" s="6" t="str">
        <f ca="1">IFERROR(__xludf.DUMMYFUNCTION("""COMPUTED_VALUE"""),"")</f>
        <v/>
      </c>
      <c r="C962" s="6" t="str">
        <f ca="1">IFERROR(__xludf.DUMMYFUNCTION("""COMPUTED_VALUE"""),"")</f>
        <v/>
      </c>
      <c r="D962" s="6" t="str">
        <f ca="1">IFERROR(__xludf.DUMMYFUNCTION("""COMPUTED_VALUE"""),"")</f>
        <v/>
      </c>
      <c r="E962" s="6" t="str">
        <f ca="1">IFERROR(__xludf.DUMMYFUNCTION("""COMPUTED_VALUE"""),"")</f>
        <v/>
      </c>
      <c r="F962" s="6" t="str">
        <f ca="1">IFERROR(__xludf.DUMMYFUNCTION("""COMPUTED_VALUE"""),"")</f>
        <v/>
      </c>
      <c r="G962" s="6" t="str">
        <f ca="1">IFERROR(__xludf.DUMMYFUNCTION("""COMPUTED_VALUE"""),"")</f>
        <v/>
      </c>
      <c r="H962" s="6" t="str">
        <f ca="1">IFERROR(__xludf.DUMMYFUNCTION("""COMPUTED_VALUE"""),"")</f>
        <v/>
      </c>
      <c r="I962" s="6" t="str">
        <f ca="1">IFERROR(__xludf.DUMMYFUNCTION("""COMPUTED_VALUE"""),"")</f>
        <v/>
      </c>
      <c r="J962" s="6" t="str">
        <f ca="1">IFERROR(__xludf.DUMMYFUNCTION("""COMPUTED_VALUE"""),"")</f>
        <v/>
      </c>
    </row>
    <row r="963" spans="1:10" x14ac:dyDescent="0.2">
      <c r="A963" s="6" t="str">
        <f ca="1">IFERROR(__xludf.DUMMYFUNCTION("""COMPUTED_VALUE"""),"")</f>
        <v/>
      </c>
      <c r="B963" s="6" t="str">
        <f ca="1">IFERROR(__xludf.DUMMYFUNCTION("""COMPUTED_VALUE"""),"")</f>
        <v/>
      </c>
      <c r="C963" s="6" t="str">
        <f ca="1">IFERROR(__xludf.DUMMYFUNCTION("""COMPUTED_VALUE"""),"")</f>
        <v/>
      </c>
      <c r="D963" s="6" t="str">
        <f ca="1">IFERROR(__xludf.DUMMYFUNCTION("""COMPUTED_VALUE"""),"")</f>
        <v/>
      </c>
      <c r="E963" s="6" t="str">
        <f ca="1">IFERROR(__xludf.DUMMYFUNCTION("""COMPUTED_VALUE"""),"")</f>
        <v/>
      </c>
      <c r="F963" s="6" t="str">
        <f ca="1">IFERROR(__xludf.DUMMYFUNCTION("""COMPUTED_VALUE"""),"")</f>
        <v/>
      </c>
      <c r="G963" s="6" t="str">
        <f ca="1">IFERROR(__xludf.DUMMYFUNCTION("""COMPUTED_VALUE"""),"")</f>
        <v/>
      </c>
      <c r="H963" s="6" t="str">
        <f ca="1">IFERROR(__xludf.DUMMYFUNCTION("""COMPUTED_VALUE"""),"")</f>
        <v/>
      </c>
      <c r="I963" s="6" t="str">
        <f ca="1">IFERROR(__xludf.DUMMYFUNCTION("""COMPUTED_VALUE"""),"")</f>
        <v/>
      </c>
      <c r="J963" s="6" t="str">
        <f ca="1">IFERROR(__xludf.DUMMYFUNCTION("""COMPUTED_VALUE"""),"")</f>
        <v/>
      </c>
    </row>
    <row r="964" spans="1:10" x14ac:dyDescent="0.2">
      <c r="A964" s="6" t="str">
        <f ca="1">IFERROR(__xludf.DUMMYFUNCTION("""COMPUTED_VALUE"""),"")</f>
        <v/>
      </c>
      <c r="B964" s="6" t="str">
        <f ca="1">IFERROR(__xludf.DUMMYFUNCTION("""COMPUTED_VALUE"""),"")</f>
        <v/>
      </c>
      <c r="C964" s="6" t="str">
        <f ca="1">IFERROR(__xludf.DUMMYFUNCTION("""COMPUTED_VALUE"""),"")</f>
        <v/>
      </c>
      <c r="D964" s="6" t="str">
        <f ca="1">IFERROR(__xludf.DUMMYFUNCTION("""COMPUTED_VALUE"""),"")</f>
        <v/>
      </c>
      <c r="E964" s="6" t="str">
        <f ca="1">IFERROR(__xludf.DUMMYFUNCTION("""COMPUTED_VALUE"""),"")</f>
        <v/>
      </c>
      <c r="F964" s="6" t="str">
        <f ca="1">IFERROR(__xludf.DUMMYFUNCTION("""COMPUTED_VALUE"""),"")</f>
        <v/>
      </c>
      <c r="G964" s="6" t="str">
        <f ca="1">IFERROR(__xludf.DUMMYFUNCTION("""COMPUTED_VALUE"""),"")</f>
        <v/>
      </c>
      <c r="H964" s="6" t="str">
        <f ca="1">IFERROR(__xludf.DUMMYFUNCTION("""COMPUTED_VALUE"""),"")</f>
        <v/>
      </c>
      <c r="I964" s="6" t="str">
        <f ca="1">IFERROR(__xludf.DUMMYFUNCTION("""COMPUTED_VALUE"""),"")</f>
        <v/>
      </c>
      <c r="J964" s="6" t="str">
        <f ca="1">IFERROR(__xludf.DUMMYFUNCTION("""COMPUTED_VALUE"""),"")</f>
        <v/>
      </c>
    </row>
    <row r="965" spans="1:10" x14ac:dyDescent="0.2">
      <c r="A965" s="6" t="str">
        <f ca="1">IFERROR(__xludf.DUMMYFUNCTION("""COMPUTED_VALUE"""),"")</f>
        <v/>
      </c>
      <c r="B965" s="6" t="str">
        <f ca="1">IFERROR(__xludf.DUMMYFUNCTION("""COMPUTED_VALUE"""),"")</f>
        <v/>
      </c>
      <c r="C965" s="6" t="str">
        <f ca="1">IFERROR(__xludf.DUMMYFUNCTION("""COMPUTED_VALUE"""),"")</f>
        <v/>
      </c>
      <c r="D965" s="6" t="str">
        <f ca="1">IFERROR(__xludf.DUMMYFUNCTION("""COMPUTED_VALUE"""),"")</f>
        <v/>
      </c>
      <c r="E965" s="6" t="str">
        <f ca="1">IFERROR(__xludf.DUMMYFUNCTION("""COMPUTED_VALUE"""),"")</f>
        <v/>
      </c>
      <c r="F965" s="6" t="str">
        <f ca="1">IFERROR(__xludf.DUMMYFUNCTION("""COMPUTED_VALUE"""),"")</f>
        <v/>
      </c>
      <c r="G965" s="6" t="str">
        <f ca="1">IFERROR(__xludf.DUMMYFUNCTION("""COMPUTED_VALUE"""),"")</f>
        <v/>
      </c>
      <c r="H965" s="6" t="str">
        <f ca="1">IFERROR(__xludf.DUMMYFUNCTION("""COMPUTED_VALUE"""),"")</f>
        <v/>
      </c>
      <c r="I965" s="6" t="str">
        <f ca="1">IFERROR(__xludf.DUMMYFUNCTION("""COMPUTED_VALUE"""),"")</f>
        <v/>
      </c>
      <c r="J965" s="6" t="str">
        <f ca="1">IFERROR(__xludf.DUMMYFUNCTION("""COMPUTED_VALUE"""),"")</f>
        <v/>
      </c>
    </row>
    <row r="966" spans="1:10" x14ac:dyDescent="0.2">
      <c r="A966" s="6" t="str">
        <f ca="1">IFERROR(__xludf.DUMMYFUNCTION("""COMPUTED_VALUE"""),"")</f>
        <v/>
      </c>
      <c r="B966" s="6" t="str">
        <f ca="1">IFERROR(__xludf.DUMMYFUNCTION("""COMPUTED_VALUE"""),"")</f>
        <v/>
      </c>
      <c r="C966" s="6" t="str">
        <f ca="1">IFERROR(__xludf.DUMMYFUNCTION("""COMPUTED_VALUE"""),"")</f>
        <v/>
      </c>
      <c r="D966" s="6" t="str">
        <f ca="1">IFERROR(__xludf.DUMMYFUNCTION("""COMPUTED_VALUE"""),"")</f>
        <v/>
      </c>
      <c r="E966" s="6" t="str">
        <f ca="1">IFERROR(__xludf.DUMMYFUNCTION("""COMPUTED_VALUE"""),"")</f>
        <v/>
      </c>
      <c r="F966" s="6" t="str">
        <f ca="1">IFERROR(__xludf.DUMMYFUNCTION("""COMPUTED_VALUE"""),"")</f>
        <v/>
      </c>
      <c r="G966" s="6" t="str">
        <f ca="1">IFERROR(__xludf.DUMMYFUNCTION("""COMPUTED_VALUE"""),"")</f>
        <v/>
      </c>
      <c r="H966" s="6" t="str">
        <f ca="1">IFERROR(__xludf.DUMMYFUNCTION("""COMPUTED_VALUE"""),"")</f>
        <v/>
      </c>
      <c r="I966" s="6" t="str">
        <f ca="1">IFERROR(__xludf.DUMMYFUNCTION("""COMPUTED_VALUE"""),"")</f>
        <v/>
      </c>
      <c r="J966" s="6" t="str">
        <f ca="1">IFERROR(__xludf.DUMMYFUNCTION("""COMPUTED_VALUE"""),"")</f>
        <v/>
      </c>
    </row>
    <row r="967" spans="1:10" x14ac:dyDescent="0.2">
      <c r="A967" s="6" t="str">
        <f ca="1">IFERROR(__xludf.DUMMYFUNCTION("""COMPUTED_VALUE"""),"")</f>
        <v/>
      </c>
      <c r="B967" s="6" t="str">
        <f ca="1">IFERROR(__xludf.DUMMYFUNCTION("""COMPUTED_VALUE"""),"")</f>
        <v/>
      </c>
      <c r="C967" s="6" t="str">
        <f ca="1">IFERROR(__xludf.DUMMYFUNCTION("""COMPUTED_VALUE"""),"")</f>
        <v/>
      </c>
      <c r="D967" s="6" t="str">
        <f ca="1">IFERROR(__xludf.DUMMYFUNCTION("""COMPUTED_VALUE"""),"")</f>
        <v/>
      </c>
      <c r="E967" s="6" t="str">
        <f ca="1">IFERROR(__xludf.DUMMYFUNCTION("""COMPUTED_VALUE"""),"")</f>
        <v/>
      </c>
      <c r="F967" s="6" t="str">
        <f ca="1">IFERROR(__xludf.DUMMYFUNCTION("""COMPUTED_VALUE"""),"")</f>
        <v/>
      </c>
      <c r="G967" s="6" t="str">
        <f ca="1">IFERROR(__xludf.DUMMYFUNCTION("""COMPUTED_VALUE"""),"")</f>
        <v/>
      </c>
      <c r="H967" s="6" t="str">
        <f ca="1">IFERROR(__xludf.DUMMYFUNCTION("""COMPUTED_VALUE"""),"")</f>
        <v/>
      </c>
      <c r="I967" s="6" t="str">
        <f ca="1">IFERROR(__xludf.DUMMYFUNCTION("""COMPUTED_VALUE"""),"")</f>
        <v/>
      </c>
      <c r="J967" s="6" t="str">
        <f ca="1">IFERROR(__xludf.DUMMYFUNCTION("""COMPUTED_VALUE"""),"")</f>
        <v/>
      </c>
    </row>
    <row r="968" spans="1:10" x14ac:dyDescent="0.2">
      <c r="A968" s="6" t="str">
        <f ca="1">IFERROR(__xludf.DUMMYFUNCTION("""COMPUTED_VALUE"""),"")</f>
        <v/>
      </c>
      <c r="B968" s="6" t="str">
        <f ca="1">IFERROR(__xludf.DUMMYFUNCTION("""COMPUTED_VALUE"""),"")</f>
        <v/>
      </c>
      <c r="C968" s="6" t="str">
        <f ca="1">IFERROR(__xludf.DUMMYFUNCTION("""COMPUTED_VALUE"""),"")</f>
        <v/>
      </c>
      <c r="D968" s="6" t="str">
        <f ca="1">IFERROR(__xludf.DUMMYFUNCTION("""COMPUTED_VALUE"""),"")</f>
        <v/>
      </c>
      <c r="E968" s="6" t="str">
        <f ca="1">IFERROR(__xludf.DUMMYFUNCTION("""COMPUTED_VALUE"""),"")</f>
        <v/>
      </c>
      <c r="F968" s="6" t="str">
        <f ca="1">IFERROR(__xludf.DUMMYFUNCTION("""COMPUTED_VALUE"""),"")</f>
        <v/>
      </c>
      <c r="G968" s="6" t="str">
        <f ca="1">IFERROR(__xludf.DUMMYFUNCTION("""COMPUTED_VALUE"""),"")</f>
        <v/>
      </c>
      <c r="H968" s="6" t="str">
        <f ca="1">IFERROR(__xludf.DUMMYFUNCTION("""COMPUTED_VALUE"""),"")</f>
        <v/>
      </c>
      <c r="I968" s="6" t="str">
        <f ca="1">IFERROR(__xludf.DUMMYFUNCTION("""COMPUTED_VALUE"""),"")</f>
        <v/>
      </c>
      <c r="J968" s="6" t="str">
        <f ca="1">IFERROR(__xludf.DUMMYFUNCTION("""COMPUTED_VALUE"""),"")</f>
        <v/>
      </c>
    </row>
    <row r="969" spans="1:10" x14ac:dyDescent="0.2">
      <c r="A969" s="6" t="str">
        <f ca="1">IFERROR(__xludf.DUMMYFUNCTION("""COMPUTED_VALUE"""),"")</f>
        <v/>
      </c>
      <c r="B969" s="6" t="str">
        <f ca="1">IFERROR(__xludf.DUMMYFUNCTION("""COMPUTED_VALUE"""),"")</f>
        <v/>
      </c>
      <c r="C969" s="6" t="str">
        <f ca="1">IFERROR(__xludf.DUMMYFUNCTION("""COMPUTED_VALUE"""),"")</f>
        <v/>
      </c>
      <c r="D969" s="6" t="str">
        <f ca="1">IFERROR(__xludf.DUMMYFUNCTION("""COMPUTED_VALUE"""),"")</f>
        <v/>
      </c>
      <c r="E969" s="6" t="str">
        <f ca="1">IFERROR(__xludf.DUMMYFUNCTION("""COMPUTED_VALUE"""),"")</f>
        <v/>
      </c>
      <c r="F969" s="6" t="str">
        <f ca="1">IFERROR(__xludf.DUMMYFUNCTION("""COMPUTED_VALUE"""),"")</f>
        <v/>
      </c>
      <c r="G969" s="6" t="str">
        <f ca="1">IFERROR(__xludf.DUMMYFUNCTION("""COMPUTED_VALUE"""),"")</f>
        <v/>
      </c>
      <c r="H969" s="6" t="str">
        <f ca="1">IFERROR(__xludf.DUMMYFUNCTION("""COMPUTED_VALUE"""),"")</f>
        <v/>
      </c>
      <c r="I969" s="6" t="str">
        <f ca="1">IFERROR(__xludf.DUMMYFUNCTION("""COMPUTED_VALUE"""),"")</f>
        <v/>
      </c>
      <c r="J969" s="6" t="str">
        <f ca="1">IFERROR(__xludf.DUMMYFUNCTION("""COMPUTED_VALUE"""),"")</f>
        <v/>
      </c>
    </row>
    <row r="970" spans="1:10" x14ac:dyDescent="0.2">
      <c r="A970" s="6" t="str">
        <f ca="1">IFERROR(__xludf.DUMMYFUNCTION("""COMPUTED_VALUE"""),"")</f>
        <v/>
      </c>
      <c r="B970" s="6" t="str">
        <f ca="1">IFERROR(__xludf.DUMMYFUNCTION("""COMPUTED_VALUE"""),"")</f>
        <v/>
      </c>
      <c r="C970" s="6" t="str">
        <f ca="1">IFERROR(__xludf.DUMMYFUNCTION("""COMPUTED_VALUE"""),"")</f>
        <v/>
      </c>
      <c r="D970" s="6" t="str">
        <f ca="1">IFERROR(__xludf.DUMMYFUNCTION("""COMPUTED_VALUE"""),"")</f>
        <v/>
      </c>
      <c r="E970" s="6" t="str">
        <f ca="1">IFERROR(__xludf.DUMMYFUNCTION("""COMPUTED_VALUE"""),"")</f>
        <v/>
      </c>
      <c r="F970" s="6" t="str">
        <f ca="1">IFERROR(__xludf.DUMMYFUNCTION("""COMPUTED_VALUE"""),"")</f>
        <v/>
      </c>
      <c r="G970" s="6" t="str">
        <f ca="1">IFERROR(__xludf.DUMMYFUNCTION("""COMPUTED_VALUE"""),"")</f>
        <v/>
      </c>
      <c r="H970" s="6" t="str">
        <f ca="1">IFERROR(__xludf.DUMMYFUNCTION("""COMPUTED_VALUE"""),"")</f>
        <v/>
      </c>
      <c r="I970" s="6" t="str">
        <f ca="1">IFERROR(__xludf.DUMMYFUNCTION("""COMPUTED_VALUE"""),"")</f>
        <v/>
      </c>
      <c r="J970" s="6" t="str">
        <f ca="1">IFERROR(__xludf.DUMMYFUNCTION("""COMPUTED_VALUE"""),"")</f>
        <v/>
      </c>
    </row>
    <row r="971" spans="1:10" x14ac:dyDescent="0.2">
      <c r="A971" s="6" t="str">
        <f ca="1">IFERROR(__xludf.DUMMYFUNCTION("""COMPUTED_VALUE"""),"")</f>
        <v/>
      </c>
      <c r="B971" s="6" t="str">
        <f ca="1">IFERROR(__xludf.DUMMYFUNCTION("""COMPUTED_VALUE"""),"")</f>
        <v/>
      </c>
      <c r="C971" s="6" t="str">
        <f ca="1">IFERROR(__xludf.DUMMYFUNCTION("""COMPUTED_VALUE"""),"")</f>
        <v/>
      </c>
      <c r="D971" s="6" t="str">
        <f ca="1">IFERROR(__xludf.DUMMYFUNCTION("""COMPUTED_VALUE"""),"")</f>
        <v/>
      </c>
      <c r="E971" s="6" t="str">
        <f ca="1">IFERROR(__xludf.DUMMYFUNCTION("""COMPUTED_VALUE"""),"")</f>
        <v/>
      </c>
      <c r="F971" s="6" t="str">
        <f ca="1">IFERROR(__xludf.DUMMYFUNCTION("""COMPUTED_VALUE"""),"")</f>
        <v/>
      </c>
      <c r="G971" s="6" t="str">
        <f ca="1">IFERROR(__xludf.DUMMYFUNCTION("""COMPUTED_VALUE"""),"")</f>
        <v/>
      </c>
      <c r="H971" s="6" t="str">
        <f ca="1">IFERROR(__xludf.DUMMYFUNCTION("""COMPUTED_VALUE"""),"")</f>
        <v/>
      </c>
      <c r="I971" s="6" t="str">
        <f ca="1">IFERROR(__xludf.DUMMYFUNCTION("""COMPUTED_VALUE"""),"")</f>
        <v/>
      </c>
      <c r="J971" s="6" t="str">
        <f ca="1">IFERROR(__xludf.DUMMYFUNCTION("""COMPUTED_VALUE"""),"")</f>
        <v/>
      </c>
    </row>
    <row r="972" spans="1:10" x14ac:dyDescent="0.2">
      <c r="A972" s="6" t="str">
        <f ca="1">IFERROR(__xludf.DUMMYFUNCTION("""COMPUTED_VALUE"""),"")</f>
        <v/>
      </c>
      <c r="B972" s="6" t="str">
        <f ca="1">IFERROR(__xludf.DUMMYFUNCTION("""COMPUTED_VALUE"""),"")</f>
        <v/>
      </c>
      <c r="C972" s="6" t="str">
        <f ca="1">IFERROR(__xludf.DUMMYFUNCTION("""COMPUTED_VALUE"""),"")</f>
        <v/>
      </c>
      <c r="D972" s="6" t="str">
        <f ca="1">IFERROR(__xludf.DUMMYFUNCTION("""COMPUTED_VALUE"""),"")</f>
        <v/>
      </c>
      <c r="E972" s="6" t="str">
        <f ca="1">IFERROR(__xludf.DUMMYFUNCTION("""COMPUTED_VALUE"""),"")</f>
        <v/>
      </c>
      <c r="F972" s="6" t="str">
        <f ca="1">IFERROR(__xludf.DUMMYFUNCTION("""COMPUTED_VALUE"""),"")</f>
        <v/>
      </c>
      <c r="G972" s="6" t="str">
        <f ca="1">IFERROR(__xludf.DUMMYFUNCTION("""COMPUTED_VALUE"""),"")</f>
        <v/>
      </c>
      <c r="H972" s="6" t="str">
        <f ca="1">IFERROR(__xludf.DUMMYFUNCTION("""COMPUTED_VALUE"""),"")</f>
        <v/>
      </c>
      <c r="I972" s="6" t="str">
        <f ca="1">IFERROR(__xludf.DUMMYFUNCTION("""COMPUTED_VALUE"""),"")</f>
        <v/>
      </c>
      <c r="J972" s="6" t="str">
        <f ca="1">IFERROR(__xludf.DUMMYFUNCTION("""COMPUTED_VALUE"""),"")</f>
        <v/>
      </c>
    </row>
    <row r="973" spans="1:10" x14ac:dyDescent="0.2">
      <c r="A973" s="6" t="str">
        <f ca="1">IFERROR(__xludf.DUMMYFUNCTION("""COMPUTED_VALUE"""),"")</f>
        <v/>
      </c>
      <c r="B973" s="6" t="str">
        <f ca="1">IFERROR(__xludf.DUMMYFUNCTION("""COMPUTED_VALUE"""),"")</f>
        <v/>
      </c>
      <c r="C973" s="6" t="str">
        <f ca="1">IFERROR(__xludf.DUMMYFUNCTION("""COMPUTED_VALUE"""),"")</f>
        <v/>
      </c>
      <c r="D973" s="6" t="str">
        <f ca="1">IFERROR(__xludf.DUMMYFUNCTION("""COMPUTED_VALUE"""),"")</f>
        <v/>
      </c>
      <c r="E973" s="6" t="str">
        <f ca="1">IFERROR(__xludf.DUMMYFUNCTION("""COMPUTED_VALUE"""),"")</f>
        <v/>
      </c>
      <c r="F973" s="6" t="str">
        <f ca="1">IFERROR(__xludf.DUMMYFUNCTION("""COMPUTED_VALUE"""),"")</f>
        <v/>
      </c>
      <c r="G973" s="6" t="str">
        <f ca="1">IFERROR(__xludf.DUMMYFUNCTION("""COMPUTED_VALUE"""),"")</f>
        <v/>
      </c>
      <c r="H973" s="6" t="str">
        <f ca="1">IFERROR(__xludf.DUMMYFUNCTION("""COMPUTED_VALUE"""),"")</f>
        <v/>
      </c>
      <c r="I973" s="6" t="str">
        <f ca="1">IFERROR(__xludf.DUMMYFUNCTION("""COMPUTED_VALUE"""),"")</f>
        <v/>
      </c>
      <c r="J973" s="6" t="str">
        <f ca="1">IFERROR(__xludf.DUMMYFUNCTION("""COMPUTED_VALUE"""),"")</f>
        <v/>
      </c>
    </row>
    <row r="974" spans="1:10" x14ac:dyDescent="0.2">
      <c r="A974" s="6" t="str">
        <f ca="1">IFERROR(__xludf.DUMMYFUNCTION("""COMPUTED_VALUE"""),"")</f>
        <v/>
      </c>
      <c r="B974" s="6" t="str">
        <f ca="1">IFERROR(__xludf.DUMMYFUNCTION("""COMPUTED_VALUE"""),"")</f>
        <v/>
      </c>
      <c r="C974" s="6" t="str">
        <f ca="1">IFERROR(__xludf.DUMMYFUNCTION("""COMPUTED_VALUE"""),"")</f>
        <v/>
      </c>
      <c r="D974" s="6" t="str">
        <f ca="1">IFERROR(__xludf.DUMMYFUNCTION("""COMPUTED_VALUE"""),"")</f>
        <v/>
      </c>
      <c r="E974" s="6" t="str">
        <f ca="1">IFERROR(__xludf.DUMMYFUNCTION("""COMPUTED_VALUE"""),"")</f>
        <v/>
      </c>
      <c r="F974" s="6" t="str">
        <f ca="1">IFERROR(__xludf.DUMMYFUNCTION("""COMPUTED_VALUE"""),"")</f>
        <v/>
      </c>
      <c r="G974" s="6" t="str">
        <f ca="1">IFERROR(__xludf.DUMMYFUNCTION("""COMPUTED_VALUE"""),"")</f>
        <v/>
      </c>
      <c r="H974" s="6" t="str">
        <f ca="1">IFERROR(__xludf.DUMMYFUNCTION("""COMPUTED_VALUE"""),"")</f>
        <v/>
      </c>
      <c r="I974" s="6" t="str">
        <f ca="1">IFERROR(__xludf.DUMMYFUNCTION("""COMPUTED_VALUE"""),"")</f>
        <v/>
      </c>
      <c r="J974" s="6" t="str">
        <f ca="1">IFERROR(__xludf.DUMMYFUNCTION("""COMPUTED_VALUE"""),"")</f>
        <v/>
      </c>
    </row>
    <row r="975" spans="1:10" x14ac:dyDescent="0.2">
      <c r="A975" s="6" t="str">
        <f ca="1">IFERROR(__xludf.DUMMYFUNCTION("""COMPUTED_VALUE"""),"")</f>
        <v/>
      </c>
      <c r="B975" s="6" t="str">
        <f ca="1">IFERROR(__xludf.DUMMYFUNCTION("""COMPUTED_VALUE"""),"")</f>
        <v/>
      </c>
      <c r="C975" s="6" t="str">
        <f ca="1">IFERROR(__xludf.DUMMYFUNCTION("""COMPUTED_VALUE"""),"")</f>
        <v/>
      </c>
      <c r="D975" s="6" t="str">
        <f ca="1">IFERROR(__xludf.DUMMYFUNCTION("""COMPUTED_VALUE"""),"")</f>
        <v/>
      </c>
      <c r="E975" s="6" t="str">
        <f ca="1">IFERROR(__xludf.DUMMYFUNCTION("""COMPUTED_VALUE"""),"")</f>
        <v/>
      </c>
      <c r="F975" s="6" t="str">
        <f ca="1">IFERROR(__xludf.DUMMYFUNCTION("""COMPUTED_VALUE"""),"")</f>
        <v/>
      </c>
      <c r="G975" s="6" t="str">
        <f ca="1">IFERROR(__xludf.DUMMYFUNCTION("""COMPUTED_VALUE"""),"")</f>
        <v/>
      </c>
      <c r="H975" s="6" t="str">
        <f ca="1">IFERROR(__xludf.DUMMYFUNCTION("""COMPUTED_VALUE"""),"")</f>
        <v/>
      </c>
      <c r="I975" s="6" t="str">
        <f ca="1">IFERROR(__xludf.DUMMYFUNCTION("""COMPUTED_VALUE"""),"")</f>
        <v/>
      </c>
      <c r="J975" s="6" t="str">
        <f ca="1">IFERROR(__xludf.DUMMYFUNCTION("""COMPUTED_VALUE"""),"")</f>
        <v/>
      </c>
    </row>
    <row r="976" spans="1:10" x14ac:dyDescent="0.2">
      <c r="A976" s="6" t="str">
        <f ca="1">IFERROR(__xludf.DUMMYFUNCTION("""COMPUTED_VALUE"""),"")</f>
        <v/>
      </c>
      <c r="B976" s="6" t="str">
        <f ca="1">IFERROR(__xludf.DUMMYFUNCTION("""COMPUTED_VALUE"""),"")</f>
        <v/>
      </c>
      <c r="C976" s="6" t="str">
        <f ca="1">IFERROR(__xludf.DUMMYFUNCTION("""COMPUTED_VALUE"""),"")</f>
        <v/>
      </c>
      <c r="D976" s="6" t="str">
        <f ca="1">IFERROR(__xludf.DUMMYFUNCTION("""COMPUTED_VALUE"""),"")</f>
        <v/>
      </c>
      <c r="E976" s="6" t="str">
        <f ca="1">IFERROR(__xludf.DUMMYFUNCTION("""COMPUTED_VALUE"""),"")</f>
        <v/>
      </c>
      <c r="F976" s="6" t="str">
        <f ca="1">IFERROR(__xludf.DUMMYFUNCTION("""COMPUTED_VALUE"""),"")</f>
        <v/>
      </c>
      <c r="G976" s="6" t="str">
        <f ca="1">IFERROR(__xludf.DUMMYFUNCTION("""COMPUTED_VALUE"""),"")</f>
        <v/>
      </c>
      <c r="H976" s="6" t="str">
        <f ca="1">IFERROR(__xludf.DUMMYFUNCTION("""COMPUTED_VALUE"""),"")</f>
        <v/>
      </c>
      <c r="I976" s="6" t="str">
        <f ca="1">IFERROR(__xludf.DUMMYFUNCTION("""COMPUTED_VALUE"""),"")</f>
        <v/>
      </c>
      <c r="J976" s="6" t="str">
        <f ca="1">IFERROR(__xludf.DUMMYFUNCTION("""COMPUTED_VALUE"""),"")</f>
        <v/>
      </c>
    </row>
    <row r="977" spans="1:10" x14ac:dyDescent="0.2">
      <c r="A977" s="6" t="str">
        <f ca="1">IFERROR(__xludf.DUMMYFUNCTION("""COMPUTED_VALUE"""),"")</f>
        <v/>
      </c>
      <c r="B977" s="6" t="str">
        <f ca="1">IFERROR(__xludf.DUMMYFUNCTION("""COMPUTED_VALUE"""),"")</f>
        <v/>
      </c>
      <c r="C977" s="6" t="str">
        <f ca="1">IFERROR(__xludf.DUMMYFUNCTION("""COMPUTED_VALUE"""),"")</f>
        <v/>
      </c>
      <c r="D977" s="6" t="str">
        <f ca="1">IFERROR(__xludf.DUMMYFUNCTION("""COMPUTED_VALUE"""),"")</f>
        <v/>
      </c>
      <c r="E977" s="6" t="str">
        <f ca="1">IFERROR(__xludf.DUMMYFUNCTION("""COMPUTED_VALUE"""),"")</f>
        <v/>
      </c>
      <c r="F977" s="6" t="str">
        <f ca="1">IFERROR(__xludf.DUMMYFUNCTION("""COMPUTED_VALUE"""),"")</f>
        <v/>
      </c>
      <c r="G977" s="6" t="str">
        <f ca="1">IFERROR(__xludf.DUMMYFUNCTION("""COMPUTED_VALUE"""),"")</f>
        <v/>
      </c>
      <c r="H977" s="6" t="str">
        <f ca="1">IFERROR(__xludf.DUMMYFUNCTION("""COMPUTED_VALUE"""),"")</f>
        <v/>
      </c>
      <c r="I977" s="6" t="str">
        <f ca="1">IFERROR(__xludf.DUMMYFUNCTION("""COMPUTED_VALUE"""),"")</f>
        <v/>
      </c>
      <c r="J977" s="6" t="str">
        <f ca="1">IFERROR(__xludf.DUMMYFUNCTION("""COMPUTED_VALUE"""),"")</f>
        <v/>
      </c>
    </row>
    <row r="978" spans="1:10" x14ac:dyDescent="0.2">
      <c r="A978" s="6" t="str">
        <f ca="1">IFERROR(__xludf.DUMMYFUNCTION("""COMPUTED_VALUE"""),"")</f>
        <v/>
      </c>
      <c r="B978" s="6" t="str">
        <f ca="1">IFERROR(__xludf.DUMMYFUNCTION("""COMPUTED_VALUE"""),"")</f>
        <v/>
      </c>
      <c r="C978" s="6" t="str">
        <f ca="1">IFERROR(__xludf.DUMMYFUNCTION("""COMPUTED_VALUE"""),"")</f>
        <v/>
      </c>
      <c r="D978" s="6" t="str">
        <f ca="1">IFERROR(__xludf.DUMMYFUNCTION("""COMPUTED_VALUE"""),"")</f>
        <v/>
      </c>
      <c r="E978" s="6" t="str">
        <f ca="1">IFERROR(__xludf.DUMMYFUNCTION("""COMPUTED_VALUE"""),"")</f>
        <v/>
      </c>
      <c r="F978" s="6" t="str">
        <f ca="1">IFERROR(__xludf.DUMMYFUNCTION("""COMPUTED_VALUE"""),"")</f>
        <v/>
      </c>
      <c r="G978" s="6" t="str">
        <f ca="1">IFERROR(__xludf.DUMMYFUNCTION("""COMPUTED_VALUE"""),"")</f>
        <v/>
      </c>
      <c r="H978" s="6" t="str">
        <f ca="1">IFERROR(__xludf.DUMMYFUNCTION("""COMPUTED_VALUE"""),"")</f>
        <v/>
      </c>
      <c r="I978" s="6" t="str">
        <f ca="1">IFERROR(__xludf.DUMMYFUNCTION("""COMPUTED_VALUE"""),"")</f>
        <v/>
      </c>
      <c r="J978" s="6" t="str">
        <f ca="1">IFERROR(__xludf.DUMMYFUNCTION("""COMPUTED_VALUE"""),"")</f>
        <v/>
      </c>
    </row>
    <row r="979" spans="1:10" x14ac:dyDescent="0.2">
      <c r="A979" s="6" t="str">
        <f ca="1">IFERROR(__xludf.DUMMYFUNCTION("""COMPUTED_VALUE"""),"")</f>
        <v/>
      </c>
      <c r="B979" s="6" t="str">
        <f ca="1">IFERROR(__xludf.DUMMYFUNCTION("""COMPUTED_VALUE"""),"")</f>
        <v/>
      </c>
      <c r="C979" s="6" t="str">
        <f ca="1">IFERROR(__xludf.DUMMYFUNCTION("""COMPUTED_VALUE"""),"")</f>
        <v/>
      </c>
      <c r="D979" s="6" t="str">
        <f ca="1">IFERROR(__xludf.DUMMYFUNCTION("""COMPUTED_VALUE"""),"")</f>
        <v/>
      </c>
      <c r="E979" s="6" t="str">
        <f ca="1">IFERROR(__xludf.DUMMYFUNCTION("""COMPUTED_VALUE"""),"")</f>
        <v/>
      </c>
      <c r="F979" s="6" t="str">
        <f ca="1">IFERROR(__xludf.DUMMYFUNCTION("""COMPUTED_VALUE"""),"")</f>
        <v/>
      </c>
      <c r="G979" s="6" t="str">
        <f ca="1">IFERROR(__xludf.DUMMYFUNCTION("""COMPUTED_VALUE"""),"")</f>
        <v/>
      </c>
      <c r="H979" s="6" t="str">
        <f ca="1">IFERROR(__xludf.DUMMYFUNCTION("""COMPUTED_VALUE"""),"")</f>
        <v/>
      </c>
      <c r="I979" s="6" t="str">
        <f ca="1">IFERROR(__xludf.DUMMYFUNCTION("""COMPUTED_VALUE"""),"")</f>
        <v/>
      </c>
      <c r="J979" s="6" t="str">
        <f ca="1">IFERROR(__xludf.DUMMYFUNCTION("""COMPUTED_VALUE"""),"")</f>
        <v/>
      </c>
    </row>
    <row r="980" spans="1:10" x14ac:dyDescent="0.2">
      <c r="A980" s="6" t="str">
        <f ca="1">IFERROR(__xludf.DUMMYFUNCTION("""COMPUTED_VALUE"""),"")</f>
        <v/>
      </c>
      <c r="B980" s="6" t="str">
        <f ca="1">IFERROR(__xludf.DUMMYFUNCTION("""COMPUTED_VALUE"""),"")</f>
        <v/>
      </c>
      <c r="C980" s="6" t="str">
        <f ca="1">IFERROR(__xludf.DUMMYFUNCTION("""COMPUTED_VALUE"""),"")</f>
        <v/>
      </c>
      <c r="D980" s="6" t="str">
        <f ca="1">IFERROR(__xludf.DUMMYFUNCTION("""COMPUTED_VALUE"""),"")</f>
        <v/>
      </c>
      <c r="E980" s="6" t="str">
        <f ca="1">IFERROR(__xludf.DUMMYFUNCTION("""COMPUTED_VALUE"""),"")</f>
        <v/>
      </c>
      <c r="F980" s="6" t="str">
        <f ca="1">IFERROR(__xludf.DUMMYFUNCTION("""COMPUTED_VALUE"""),"")</f>
        <v/>
      </c>
      <c r="G980" s="6" t="str">
        <f ca="1">IFERROR(__xludf.DUMMYFUNCTION("""COMPUTED_VALUE"""),"")</f>
        <v/>
      </c>
      <c r="H980" s="6" t="str">
        <f ca="1">IFERROR(__xludf.DUMMYFUNCTION("""COMPUTED_VALUE"""),"")</f>
        <v/>
      </c>
      <c r="I980" s="6" t="str">
        <f ca="1">IFERROR(__xludf.DUMMYFUNCTION("""COMPUTED_VALUE"""),"")</f>
        <v/>
      </c>
      <c r="J980" s="6" t="str">
        <f ca="1">IFERROR(__xludf.DUMMYFUNCTION("""COMPUTED_VALUE"""),"")</f>
        <v/>
      </c>
    </row>
    <row r="981" spans="1:10" x14ac:dyDescent="0.2">
      <c r="A981" s="6" t="str">
        <f ca="1">IFERROR(__xludf.DUMMYFUNCTION("""COMPUTED_VALUE"""),"")</f>
        <v/>
      </c>
      <c r="B981" s="6" t="str">
        <f ca="1">IFERROR(__xludf.DUMMYFUNCTION("""COMPUTED_VALUE"""),"")</f>
        <v/>
      </c>
      <c r="C981" s="6" t="str">
        <f ca="1">IFERROR(__xludf.DUMMYFUNCTION("""COMPUTED_VALUE"""),"")</f>
        <v/>
      </c>
      <c r="D981" s="6" t="str">
        <f ca="1">IFERROR(__xludf.DUMMYFUNCTION("""COMPUTED_VALUE"""),"")</f>
        <v/>
      </c>
      <c r="E981" s="6" t="str">
        <f ca="1">IFERROR(__xludf.DUMMYFUNCTION("""COMPUTED_VALUE"""),"")</f>
        <v/>
      </c>
      <c r="F981" s="6" t="str">
        <f ca="1">IFERROR(__xludf.DUMMYFUNCTION("""COMPUTED_VALUE"""),"")</f>
        <v/>
      </c>
      <c r="G981" s="6" t="str">
        <f ca="1">IFERROR(__xludf.DUMMYFUNCTION("""COMPUTED_VALUE"""),"")</f>
        <v/>
      </c>
      <c r="H981" s="6" t="str">
        <f ca="1">IFERROR(__xludf.DUMMYFUNCTION("""COMPUTED_VALUE"""),"")</f>
        <v/>
      </c>
      <c r="I981" s="6" t="str">
        <f ca="1">IFERROR(__xludf.DUMMYFUNCTION("""COMPUTED_VALUE"""),"")</f>
        <v/>
      </c>
      <c r="J981" s="6" t="str">
        <f ca="1">IFERROR(__xludf.DUMMYFUNCTION("""COMPUTED_VALUE"""),"")</f>
        <v/>
      </c>
    </row>
    <row r="982" spans="1:10" x14ac:dyDescent="0.2">
      <c r="A982" s="6" t="str">
        <f ca="1">IFERROR(__xludf.DUMMYFUNCTION("""COMPUTED_VALUE"""),"")</f>
        <v/>
      </c>
      <c r="B982" s="6" t="str">
        <f ca="1">IFERROR(__xludf.DUMMYFUNCTION("""COMPUTED_VALUE"""),"")</f>
        <v/>
      </c>
      <c r="C982" s="6" t="str">
        <f ca="1">IFERROR(__xludf.DUMMYFUNCTION("""COMPUTED_VALUE"""),"")</f>
        <v/>
      </c>
      <c r="D982" s="6" t="str">
        <f ca="1">IFERROR(__xludf.DUMMYFUNCTION("""COMPUTED_VALUE"""),"")</f>
        <v/>
      </c>
      <c r="E982" s="6" t="str">
        <f ca="1">IFERROR(__xludf.DUMMYFUNCTION("""COMPUTED_VALUE"""),"")</f>
        <v/>
      </c>
      <c r="F982" s="6" t="str">
        <f ca="1">IFERROR(__xludf.DUMMYFUNCTION("""COMPUTED_VALUE"""),"")</f>
        <v/>
      </c>
      <c r="G982" s="6" t="str">
        <f ca="1">IFERROR(__xludf.DUMMYFUNCTION("""COMPUTED_VALUE"""),"")</f>
        <v/>
      </c>
      <c r="H982" s="6" t="str">
        <f ca="1">IFERROR(__xludf.DUMMYFUNCTION("""COMPUTED_VALUE"""),"")</f>
        <v/>
      </c>
      <c r="I982" s="6" t="str">
        <f ca="1">IFERROR(__xludf.DUMMYFUNCTION("""COMPUTED_VALUE"""),"")</f>
        <v/>
      </c>
      <c r="J982" s="6" t="str">
        <f ca="1">IFERROR(__xludf.DUMMYFUNCTION("""COMPUTED_VALUE"""),"")</f>
        <v/>
      </c>
    </row>
    <row r="983" spans="1:10" x14ac:dyDescent="0.2">
      <c r="A983" s="6" t="str">
        <f ca="1">IFERROR(__xludf.DUMMYFUNCTION("""COMPUTED_VALUE"""),"")</f>
        <v/>
      </c>
      <c r="B983" s="6" t="str">
        <f ca="1">IFERROR(__xludf.DUMMYFUNCTION("""COMPUTED_VALUE"""),"")</f>
        <v/>
      </c>
      <c r="C983" s="6" t="str">
        <f ca="1">IFERROR(__xludf.DUMMYFUNCTION("""COMPUTED_VALUE"""),"")</f>
        <v/>
      </c>
      <c r="D983" s="6" t="str">
        <f ca="1">IFERROR(__xludf.DUMMYFUNCTION("""COMPUTED_VALUE"""),"")</f>
        <v/>
      </c>
      <c r="E983" s="6" t="str">
        <f ca="1">IFERROR(__xludf.DUMMYFUNCTION("""COMPUTED_VALUE"""),"")</f>
        <v/>
      </c>
      <c r="F983" s="6" t="str">
        <f ca="1">IFERROR(__xludf.DUMMYFUNCTION("""COMPUTED_VALUE"""),"")</f>
        <v/>
      </c>
      <c r="G983" s="6" t="str">
        <f ca="1">IFERROR(__xludf.DUMMYFUNCTION("""COMPUTED_VALUE"""),"")</f>
        <v/>
      </c>
      <c r="H983" s="6" t="str">
        <f ca="1">IFERROR(__xludf.DUMMYFUNCTION("""COMPUTED_VALUE"""),"")</f>
        <v/>
      </c>
      <c r="I983" s="6" t="str">
        <f ca="1">IFERROR(__xludf.DUMMYFUNCTION("""COMPUTED_VALUE"""),"")</f>
        <v/>
      </c>
      <c r="J983" s="6" t="str">
        <f ca="1">IFERROR(__xludf.DUMMYFUNCTION("""COMPUTED_VALUE"""),"")</f>
        <v/>
      </c>
    </row>
    <row r="984" spans="1:10" x14ac:dyDescent="0.2">
      <c r="A984" s="6" t="str">
        <f ca="1">IFERROR(__xludf.DUMMYFUNCTION("""COMPUTED_VALUE"""),"")</f>
        <v/>
      </c>
      <c r="B984" s="6" t="str">
        <f ca="1">IFERROR(__xludf.DUMMYFUNCTION("""COMPUTED_VALUE"""),"")</f>
        <v/>
      </c>
      <c r="C984" s="6" t="str">
        <f ca="1">IFERROR(__xludf.DUMMYFUNCTION("""COMPUTED_VALUE"""),"")</f>
        <v/>
      </c>
      <c r="D984" s="6" t="str">
        <f ca="1">IFERROR(__xludf.DUMMYFUNCTION("""COMPUTED_VALUE"""),"")</f>
        <v/>
      </c>
      <c r="E984" s="6" t="str">
        <f ca="1">IFERROR(__xludf.DUMMYFUNCTION("""COMPUTED_VALUE"""),"")</f>
        <v/>
      </c>
      <c r="F984" s="6" t="str">
        <f ca="1">IFERROR(__xludf.DUMMYFUNCTION("""COMPUTED_VALUE"""),"")</f>
        <v/>
      </c>
      <c r="G984" s="6" t="str">
        <f ca="1">IFERROR(__xludf.DUMMYFUNCTION("""COMPUTED_VALUE"""),"")</f>
        <v/>
      </c>
      <c r="H984" s="6" t="str">
        <f ca="1">IFERROR(__xludf.DUMMYFUNCTION("""COMPUTED_VALUE"""),"")</f>
        <v/>
      </c>
      <c r="I984" s="6" t="str">
        <f ca="1">IFERROR(__xludf.DUMMYFUNCTION("""COMPUTED_VALUE"""),"")</f>
        <v/>
      </c>
      <c r="J984" s="6" t="str">
        <f ca="1">IFERROR(__xludf.DUMMYFUNCTION("""COMPUTED_VALUE"""),"")</f>
        <v/>
      </c>
    </row>
    <row r="985" spans="1:10" x14ac:dyDescent="0.2">
      <c r="A985" s="6" t="str">
        <f ca="1">IFERROR(__xludf.DUMMYFUNCTION("""COMPUTED_VALUE"""),"")</f>
        <v/>
      </c>
      <c r="B985" s="6" t="str">
        <f ca="1">IFERROR(__xludf.DUMMYFUNCTION("""COMPUTED_VALUE"""),"")</f>
        <v/>
      </c>
      <c r="C985" s="6" t="str">
        <f ca="1">IFERROR(__xludf.DUMMYFUNCTION("""COMPUTED_VALUE"""),"")</f>
        <v/>
      </c>
      <c r="D985" s="6" t="str">
        <f ca="1">IFERROR(__xludf.DUMMYFUNCTION("""COMPUTED_VALUE"""),"")</f>
        <v/>
      </c>
      <c r="E985" s="6" t="str">
        <f ca="1">IFERROR(__xludf.DUMMYFUNCTION("""COMPUTED_VALUE"""),"")</f>
        <v/>
      </c>
      <c r="F985" s="6" t="str">
        <f ca="1">IFERROR(__xludf.DUMMYFUNCTION("""COMPUTED_VALUE"""),"")</f>
        <v/>
      </c>
      <c r="G985" s="6" t="str">
        <f ca="1">IFERROR(__xludf.DUMMYFUNCTION("""COMPUTED_VALUE"""),"")</f>
        <v/>
      </c>
      <c r="H985" s="6" t="str">
        <f ca="1">IFERROR(__xludf.DUMMYFUNCTION("""COMPUTED_VALUE"""),"")</f>
        <v/>
      </c>
      <c r="I985" s="6" t="str">
        <f ca="1">IFERROR(__xludf.DUMMYFUNCTION("""COMPUTED_VALUE"""),"")</f>
        <v/>
      </c>
      <c r="J985" s="6" t="str">
        <f ca="1">IFERROR(__xludf.DUMMYFUNCTION("""COMPUTED_VALUE"""),"")</f>
        <v/>
      </c>
    </row>
    <row r="986" spans="1:10" x14ac:dyDescent="0.2">
      <c r="A986" s="6" t="str">
        <f ca="1">IFERROR(__xludf.DUMMYFUNCTION("""COMPUTED_VALUE"""),"")</f>
        <v/>
      </c>
      <c r="B986" s="6" t="str">
        <f ca="1">IFERROR(__xludf.DUMMYFUNCTION("""COMPUTED_VALUE"""),"")</f>
        <v/>
      </c>
      <c r="C986" s="6" t="str">
        <f ca="1">IFERROR(__xludf.DUMMYFUNCTION("""COMPUTED_VALUE"""),"")</f>
        <v/>
      </c>
      <c r="D986" s="6" t="str">
        <f ca="1">IFERROR(__xludf.DUMMYFUNCTION("""COMPUTED_VALUE"""),"")</f>
        <v/>
      </c>
      <c r="E986" s="6" t="str">
        <f ca="1">IFERROR(__xludf.DUMMYFUNCTION("""COMPUTED_VALUE"""),"")</f>
        <v/>
      </c>
      <c r="F986" s="6" t="str">
        <f ca="1">IFERROR(__xludf.DUMMYFUNCTION("""COMPUTED_VALUE"""),"")</f>
        <v/>
      </c>
      <c r="G986" s="6" t="str">
        <f ca="1">IFERROR(__xludf.DUMMYFUNCTION("""COMPUTED_VALUE"""),"")</f>
        <v/>
      </c>
      <c r="H986" s="6" t="str">
        <f ca="1">IFERROR(__xludf.DUMMYFUNCTION("""COMPUTED_VALUE"""),"")</f>
        <v/>
      </c>
      <c r="I986" s="6" t="str">
        <f ca="1">IFERROR(__xludf.DUMMYFUNCTION("""COMPUTED_VALUE"""),"")</f>
        <v/>
      </c>
      <c r="J986" s="6" t="str">
        <f ca="1">IFERROR(__xludf.DUMMYFUNCTION("""COMPUTED_VALUE"""),"")</f>
        <v/>
      </c>
    </row>
    <row r="987" spans="1:10" x14ac:dyDescent="0.2">
      <c r="A987" s="6" t="str">
        <f ca="1">IFERROR(__xludf.DUMMYFUNCTION("""COMPUTED_VALUE"""),"")</f>
        <v/>
      </c>
      <c r="B987" s="6" t="str">
        <f ca="1">IFERROR(__xludf.DUMMYFUNCTION("""COMPUTED_VALUE"""),"")</f>
        <v/>
      </c>
      <c r="C987" s="6" t="str">
        <f ca="1">IFERROR(__xludf.DUMMYFUNCTION("""COMPUTED_VALUE"""),"")</f>
        <v/>
      </c>
      <c r="D987" s="6" t="str">
        <f ca="1">IFERROR(__xludf.DUMMYFUNCTION("""COMPUTED_VALUE"""),"")</f>
        <v/>
      </c>
      <c r="E987" s="6" t="str">
        <f ca="1">IFERROR(__xludf.DUMMYFUNCTION("""COMPUTED_VALUE"""),"")</f>
        <v/>
      </c>
      <c r="F987" s="6" t="str">
        <f ca="1">IFERROR(__xludf.DUMMYFUNCTION("""COMPUTED_VALUE"""),"")</f>
        <v/>
      </c>
      <c r="G987" s="6" t="str">
        <f ca="1">IFERROR(__xludf.DUMMYFUNCTION("""COMPUTED_VALUE"""),"")</f>
        <v/>
      </c>
      <c r="H987" s="6" t="str">
        <f ca="1">IFERROR(__xludf.DUMMYFUNCTION("""COMPUTED_VALUE"""),"")</f>
        <v/>
      </c>
      <c r="I987" s="6" t="str">
        <f ca="1">IFERROR(__xludf.DUMMYFUNCTION("""COMPUTED_VALUE"""),"")</f>
        <v/>
      </c>
      <c r="J987" s="6" t="str">
        <f ca="1">IFERROR(__xludf.DUMMYFUNCTION("""COMPUTED_VALUE"""),"")</f>
        <v/>
      </c>
    </row>
    <row r="988" spans="1:10" x14ac:dyDescent="0.2">
      <c r="A988" s="6" t="str">
        <f ca="1">IFERROR(__xludf.DUMMYFUNCTION("""COMPUTED_VALUE"""),"")</f>
        <v/>
      </c>
      <c r="B988" s="6" t="str">
        <f ca="1">IFERROR(__xludf.DUMMYFUNCTION("""COMPUTED_VALUE"""),"")</f>
        <v/>
      </c>
      <c r="C988" s="6" t="str">
        <f ca="1">IFERROR(__xludf.DUMMYFUNCTION("""COMPUTED_VALUE"""),"")</f>
        <v/>
      </c>
      <c r="D988" s="6" t="str">
        <f ca="1">IFERROR(__xludf.DUMMYFUNCTION("""COMPUTED_VALUE"""),"")</f>
        <v/>
      </c>
      <c r="E988" s="6" t="str">
        <f ca="1">IFERROR(__xludf.DUMMYFUNCTION("""COMPUTED_VALUE"""),"")</f>
        <v/>
      </c>
      <c r="F988" s="6" t="str">
        <f ca="1">IFERROR(__xludf.DUMMYFUNCTION("""COMPUTED_VALUE"""),"")</f>
        <v/>
      </c>
      <c r="G988" s="6" t="str">
        <f ca="1">IFERROR(__xludf.DUMMYFUNCTION("""COMPUTED_VALUE"""),"")</f>
        <v/>
      </c>
      <c r="H988" s="6" t="str">
        <f ca="1">IFERROR(__xludf.DUMMYFUNCTION("""COMPUTED_VALUE"""),"")</f>
        <v/>
      </c>
      <c r="I988" s="6" t="str">
        <f ca="1">IFERROR(__xludf.DUMMYFUNCTION("""COMPUTED_VALUE"""),"")</f>
        <v/>
      </c>
      <c r="J988" s="6" t="str">
        <f ca="1">IFERROR(__xludf.DUMMYFUNCTION("""COMPUTED_VALUE"""),"")</f>
        <v/>
      </c>
    </row>
    <row r="989" spans="1:10" x14ac:dyDescent="0.2">
      <c r="A989" s="6" t="str">
        <f ca="1">IFERROR(__xludf.DUMMYFUNCTION("""COMPUTED_VALUE"""),"")</f>
        <v/>
      </c>
      <c r="B989" s="6" t="str">
        <f ca="1">IFERROR(__xludf.DUMMYFUNCTION("""COMPUTED_VALUE"""),"")</f>
        <v/>
      </c>
      <c r="C989" s="6" t="str">
        <f ca="1">IFERROR(__xludf.DUMMYFUNCTION("""COMPUTED_VALUE"""),"")</f>
        <v/>
      </c>
      <c r="D989" s="6" t="str">
        <f ca="1">IFERROR(__xludf.DUMMYFUNCTION("""COMPUTED_VALUE"""),"")</f>
        <v/>
      </c>
      <c r="E989" s="6" t="str">
        <f ca="1">IFERROR(__xludf.DUMMYFUNCTION("""COMPUTED_VALUE"""),"")</f>
        <v/>
      </c>
      <c r="F989" s="6" t="str">
        <f ca="1">IFERROR(__xludf.DUMMYFUNCTION("""COMPUTED_VALUE"""),"")</f>
        <v/>
      </c>
      <c r="G989" s="6" t="str">
        <f ca="1">IFERROR(__xludf.DUMMYFUNCTION("""COMPUTED_VALUE"""),"")</f>
        <v/>
      </c>
      <c r="H989" s="6" t="str">
        <f ca="1">IFERROR(__xludf.DUMMYFUNCTION("""COMPUTED_VALUE"""),"")</f>
        <v/>
      </c>
      <c r="I989" s="6" t="str">
        <f ca="1">IFERROR(__xludf.DUMMYFUNCTION("""COMPUTED_VALUE"""),"")</f>
        <v/>
      </c>
      <c r="J989" s="6" t="str">
        <f ca="1">IFERROR(__xludf.DUMMYFUNCTION("""COMPUTED_VALUE"""),"")</f>
        <v/>
      </c>
    </row>
    <row r="990" spans="1:10" x14ac:dyDescent="0.2">
      <c r="A990" s="6" t="str">
        <f ca="1">IFERROR(__xludf.DUMMYFUNCTION("""COMPUTED_VALUE"""),"")</f>
        <v/>
      </c>
      <c r="B990" s="6" t="str">
        <f ca="1">IFERROR(__xludf.DUMMYFUNCTION("""COMPUTED_VALUE"""),"")</f>
        <v/>
      </c>
      <c r="C990" s="6" t="str">
        <f ca="1">IFERROR(__xludf.DUMMYFUNCTION("""COMPUTED_VALUE"""),"")</f>
        <v/>
      </c>
      <c r="D990" s="6" t="str">
        <f ca="1">IFERROR(__xludf.DUMMYFUNCTION("""COMPUTED_VALUE"""),"")</f>
        <v/>
      </c>
      <c r="E990" s="6" t="str">
        <f ca="1">IFERROR(__xludf.DUMMYFUNCTION("""COMPUTED_VALUE"""),"")</f>
        <v/>
      </c>
      <c r="F990" s="6" t="str">
        <f ca="1">IFERROR(__xludf.DUMMYFUNCTION("""COMPUTED_VALUE"""),"")</f>
        <v/>
      </c>
      <c r="G990" s="6" t="str">
        <f ca="1">IFERROR(__xludf.DUMMYFUNCTION("""COMPUTED_VALUE"""),"")</f>
        <v/>
      </c>
      <c r="H990" s="6" t="str">
        <f ca="1">IFERROR(__xludf.DUMMYFUNCTION("""COMPUTED_VALUE"""),"")</f>
        <v/>
      </c>
      <c r="I990" s="6" t="str">
        <f ca="1">IFERROR(__xludf.DUMMYFUNCTION("""COMPUTED_VALUE"""),"")</f>
        <v/>
      </c>
      <c r="J990" s="6" t="str">
        <f ca="1">IFERROR(__xludf.DUMMYFUNCTION("""COMPUTED_VALUE"""),"")</f>
        <v/>
      </c>
    </row>
    <row r="991" spans="1:10" x14ac:dyDescent="0.2">
      <c r="A991" s="6" t="str">
        <f ca="1">IFERROR(__xludf.DUMMYFUNCTION("""COMPUTED_VALUE"""),"")</f>
        <v/>
      </c>
      <c r="B991" s="6" t="str">
        <f ca="1">IFERROR(__xludf.DUMMYFUNCTION("""COMPUTED_VALUE"""),"")</f>
        <v/>
      </c>
      <c r="C991" s="6" t="str">
        <f ca="1">IFERROR(__xludf.DUMMYFUNCTION("""COMPUTED_VALUE"""),"")</f>
        <v/>
      </c>
      <c r="D991" s="6" t="str">
        <f ca="1">IFERROR(__xludf.DUMMYFUNCTION("""COMPUTED_VALUE"""),"")</f>
        <v/>
      </c>
      <c r="E991" s="6" t="str">
        <f ca="1">IFERROR(__xludf.DUMMYFUNCTION("""COMPUTED_VALUE"""),"")</f>
        <v/>
      </c>
      <c r="F991" s="6" t="str">
        <f ca="1">IFERROR(__xludf.DUMMYFUNCTION("""COMPUTED_VALUE"""),"")</f>
        <v/>
      </c>
      <c r="G991" s="6" t="str">
        <f ca="1">IFERROR(__xludf.DUMMYFUNCTION("""COMPUTED_VALUE"""),"")</f>
        <v/>
      </c>
      <c r="H991" s="6" t="str">
        <f ca="1">IFERROR(__xludf.DUMMYFUNCTION("""COMPUTED_VALUE"""),"")</f>
        <v/>
      </c>
      <c r="I991" s="6" t="str">
        <f ca="1">IFERROR(__xludf.DUMMYFUNCTION("""COMPUTED_VALUE"""),"")</f>
        <v/>
      </c>
      <c r="J991" s="6" t="str">
        <f ca="1">IFERROR(__xludf.DUMMYFUNCTION("""COMPUTED_VALUE"""),"")</f>
        <v/>
      </c>
    </row>
    <row r="992" spans="1:10" x14ac:dyDescent="0.2">
      <c r="A992" s="6" t="str">
        <f ca="1">IFERROR(__xludf.DUMMYFUNCTION("""COMPUTED_VALUE"""),"")</f>
        <v/>
      </c>
      <c r="B992" s="6" t="str">
        <f ca="1">IFERROR(__xludf.DUMMYFUNCTION("""COMPUTED_VALUE"""),"")</f>
        <v/>
      </c>
      <c r="C992" s="6" t="str">
        <f ca="1">IFERROR(__xludf.DUMMYFUNCTION("""COMPUTED_VALUE"""),"")</f>
        <v/>
      </c>
      <c r="D992" s="6" t="str">
        <f ca="1">IFERROR(__xludf.DUMMYFUNCTION("""COMPUTED_VALUE"""),"")</f>
        <v/>
      </c>
      <c r="E992" s="6" t="str">
        <f ca="1">IFERROR(__xludf.DUMMYFUNCTION("""COMPUTED_VALUE"""),"")</f>
        <v/>
      </c>
      <c r="F992" s="6" t="str">
        <f ca="1">IFERROR(__xludf.DUMMYFUNCTION("""COMPUTED_VALUE"""),"")</f>
        <v/>
      </c>
      <c r="G992" s="6" t="str">
        <f ca="1">IFERROR(__xludf.DUMMYFUNCTION("""COMPUTED_VALUE"""),"")</f>
        <v/>
      </c>
      <c r="H992" s="6" t="str">
        <f ca="1">IFERROR(__xludf.DUMMYFUNCTION("""COMPUTED_VALUE"""),"")</f>
        <v/>
      </c>
      <c r="I992" s="6" t="str">
        <f ca="1">IFERROR(__xludf.DUMMYFUNCTION("""COMPUTED_VALUE"""),"")</f>
        <v/>
      </c>
      <c r="J992" s="6" t="str">
        <f ca="1">IFERROR(__xludf.DUMMYFUNCTION("""COMPUTED_VALUE"""),"")</f>
        <v/>
      </c>
    </row>
    <row r="993" spans="1:10" x14ac:dyDescent="0.2">
      <c r="A993" s="6" t="str">
        <f ca="1">IFERROR(__xludf.DUMMYFUNCTION("""COMPUTED_VALUE"""),"")</f>
        <v/>
      </c>
      <c r="B993" s="6" t="str">
        <f ca="1">IFERROR(__xludf.DUMMYFUNCTION("""COMPUTED_VALUE"""),"")</f>
        <v/>
      </c>
      <c r="C993" s="6" t="str">
        <f ca="1">IFERROR(__xludf.DUMMYFUNCTION("""COMPUTED_VALUE"""),"")</f>
        <v/>
      </c>
      <c r="D993" s="6" t="str">
        <f ca="1">IFERROR(__xludf.DUMMYFUNCTION("""COMPUTED_VALUE"""),"")</f>
        <v/>
      </c>
      <c r="E993" s="6" t="str">
        <f ca="1">IFERROR(__xludf.DUMMYFUNCTION("""COMPUTED_VALUE"""),"")</f>
        <v/>
      </c>
      <c r="F993" s="6" t="str">
        <f ca="1">IFERROR(__xludf.DUMMYFUNCTION("""COMPUTED_VALUE"""),"")</f>
        <v/>
      </c>
      <c r="G993" s="6" t="str">
        <f ca="1">IFERROR(__xludf.DUMMYFUNCTION("""COMPUTED_VALUE"""),"")</f>
        <v/>
      </c>
      <c r="H993" s="6" t="str">
        <f ca="1">IFERROR(__xludf.DUMMYFUNCTION("""COMPUTED_VALUE"""),"")</f>
        <v/>
      </c>
      <c r="I993" s="6" t="str">
        <f ca="1">IFERROR(__xludf.DUMMYFUNCTION("""COMPUTED_VALUE"""),"")</f>
        <v/>
      </c>
      <c r="J993" s="6" t="str">
        <f ca="1">IFERROR(__xludf.DUMMYFUNCTION("""COMPUTED_VALUE"""),"")</f>
        <v/>
      </c>
    </row>
    <row r="994" spans="1:10" x14ac:dyDescent="0.2">
      <c r="A994" s="6" t="str">
        <f ca="1">IFERROR(__xludf.DUMMYFUNCTION("""COMPUTED_VALUE"""),"")</f>
        <v/>
      </c>
      <c r="B994" s="6" t="str">
        <f ca="1">IFERROR(__xludf.DUMMYFUNCTION("""COMPUTED_VALUE"""),"")</f>
        <v/>
      </c>
      <c r="C994" s="6" t="str">
        <f ca="1">IFERROR(__xludf.DUMMYFUNCTION("""COMPUTED_VALUE"""),"")</f>
        <v/>
      </c>
      <c r="D994" s="6" t="str">
        <f ca="1">IFERROR(__xludf.DUMMYFUNCTION("""COMPUTED_VALUE"""),"")</f>
        <v/>
      </c>
      <c r="E994" s="6" t="str">
        <f ca="1">IFERROR(__xludf.DUMMYFUNCTION("""COMPUTED_VALUE"""),"")</f>
        <v/>
      </c>
      <c r="F994" s="6" t="str">
        <f ca="1">IFERROR(__xludf.DUMMYFUNCTION("""COMPUTED_VALUE"""),"")</f>
        <v/>
      </c>
      <c r="G994" s="6" t="str">
        <f ca="1">IFERROR(__xludf.DUMMYFUNCTION("""COMPUTED_VALUE"""),"")</f>
        <v/>
      </c>
      <c r="H994" s="6" t="str">
        <f ca="1">IFERROR(__xludf.DUMMYFUNCTION("""COMPUTED_VALUE"""),"")</f>
        <v/>
      </c>
      <c r="I994" s="6" t="str">
        <f ca="1">IFERROR(__xludf.DUMMYFUNCTION("""COMPUTED_VALUE"""),"")</f>
        <v/>
      </c>
      <c r="J994" s="6" t="str">
        <f ca="1">IFERROR(__xludf.DUMMYFUNCTION("""COMPUTED_VALUE"""),"")</f>
        <v/>
      </c>
    </row>
    <row r="995" spans="1:10" x14ac:dyDescent="0.2">
      <c r="A995" s="6" t="str">
        <f ca="1">IFERROR(__xludf.DUMMYFUNCTION("""COMPUTED_VALUE"""),"")</f>
        <v/>
      </c>
      <c r="B995" s="6" t="str">
        <f ca="1">IFERROR(__xludf.DUMMYFUNCTION("""COMPUTED_VALUE"""),"")</f>
        <v/>
      </c>
      <c r="C995" s="6" t="str">
        <f ca="1">IFERROR(__xludf.DUMMYFUNCTION("""COMPUTED_VALUE"""),"")</f>
        <v/>
      </c>
      <c r="D995" s="6" t="str">
        <f ca="1">IFERROR(__xludf.DUMMYFUNCTION("""COMPUTED_VALUE"""),"")</f>
        <v/>
      </c>
      <c r="E995" s="6" t="str">
        <f ca="1">IFERROR(__xludf.DUMMYFUNCTION("""COMPUTED_VALUE"""),"")</f>
        <v/>
      </c>
      <c r="F995" s="6" t="str">
        <f ca="1">IFERROR(__xludf.DUMMYFUNCTION("""COMPUTED_VALUE"""),"")</f>
        <v/>
      </c>
      <c r="G995" s="6" t="str">
        <f ca="1">IFERROR(__xludf.DUMMYFUNCTION("""COMPUTED_VALUE"""),"")</f>
        <v/>
      </c>
      <c r="H995" s="6" t="str">
        <f ca="1">IFERROR(__xludf.DUMMYFUNCTION("""COMPUTED_VALUE"""),"")</f>
        <v/>
      </c>
      <c r="I995" s="6" t="str">
        <f ca="1">IFERROR(__xludf.DUMMYFUNCTION("""COMPUTED_VALUE"""),"")</f>
        <v/>
      </c>
      <c r="J995" s="6" t="str">
        <f ca="1">IFERROR(__xludf.DUMMYFUNCTION("""COMPUTED_VALUE"""),"")</f>
        <v/>
      </c>
    </row>
    <row r="996" spans="1:10" x14ac:dyDescent="0.2">
      <c r="A996" s="6" t="str">
        <f ca="1">IFERROR(__xludf.DUMMYFUNCTION("""COMPUTED_VALUE"""),"")</f>
        <v/>
      </c>
      <c r="B996" s="6" t="str">
        <f ca="1">IFERROR(__xludf.DUMMYFUNCTION("""COMPUTED_VALUE"""),"")</f>
        <v/>
      </c>
      <c r="C996" s="6" t="str">
        <f ca="1">IFERROR(__xludf.DUMMYFUNCTION("""COMPUTED_VALUE"""),"")</f>
        <v/>
      </c>
      <c r="D996" s="6" t="str">
        <f ca="1">IFERROR(__xludf.DUMMYFUNCTION("""COMPUTED_VALUE"""),"")</f>
        <v/>
      </c>
      <c r="E996" s="6" t="str">
        <f ca="1">IFERROR(__xludf.DUMMYFUNCTION("""COMPUTED_VALUE"""),"")</f>
        <v/>
      </c>
      <c r="F996" s="6" t="str">
        <f ca="1">IFERROR(__xludf.DUMMYFUNCTION("""COMPUTED_VALUE"""),"")</f>
        <v/>
      </c>
      <c r="G996" s="6" t="str">
        <f ca="1">IFERROR(__xludf.DUMMYFUNCTION("""COMPUTED_VALUE"""),"")</f>
        <v/>
      </c>
      <c r="H996" s="6" t="str">
        <f ca="1">IFERROR(__xludf.DUMMYFUNCTION("""COMPUTED_VALUE"""),"")</f>
        <v/>
      </c>
      <c r="I996" s="6" t="str">
        <f ca="1">IFERROR(__xludf.DUMMYFUNCTION("""COMPUTED_VALUE"""),"")</f>
        <v/>
      </c>
      <c r="J996" s="6" t="str">
        <f ca="1">IFERROR(__xludf.DUMMYFUNCTION("""COMPUTED_VALUE"""),"")</f>
        <v/>
      </c>
    </row>
    <row r="997" spans="1:10" x14ac:dyDescent="0.2">
      <c r="A997" s="6" t="str">
        <f ca="1">IFERROR(__xludf.DUMMYFUNCTION("""COMPUTED_VALUE"""),"")</f>
        <v/>
      </c>
      <c r="B997" s="6" t="str">
        <f ca="1">IFERROR(__xludf.DUMMYFUNCTION("""COMPUTED_VALUE"""),"")</f>
        <v/>
      </c>
      <c r="C997" s="6" t="str">
        <f ca="1">IFERROR(__xludf.DUMMYFUNCTION("""COMPUTED_VALUE"""),"")</f>
        <v/>
      </c>
      <c r="D997" s="6" t="str">
        <f ca="1">IFERROR(__xludf.DUMMYFUNCTION("""COMPUTED_VALUE"""),"")</f>
        <v/>
      </c>
      <c r="E997" s="6" t="str">
        <f ca="1">IFERROR(__xludf.DUMMYFUNCTION("""COMPUTED_VALUE"""),"")</f>
        <v/>
      </c>
      <c r="F997" s="6" t="str">
        <f ca="1">IFERROR(__xludf.DUMMYFUNCTION("""COMPUTED_VALUE"""),"")</f>
        <v/>
      </c>
      <c r="G997" s="6" t="str">
        <f ca="1">IFERROR(__xludf.DUMMYFUNCTION("""COMPUTED_VALUE"""),"")</f>
        <v/>
      </c>
      <c r="H997" s="6" t="str">
        <f ca="1">IFERROR(__xludf.DUMMYFUNCTION("""COMPUTED_VALUE"""),"")</f>
        <v/>
      </c>
      <c r="I997" s="6" t="str">
        <f ca="1">IFERROR(__xludf.DUMMYFUNCTION("""COMPUTED_VALUE"""),"")</f>
        <v/>
      </c>
      <c r="J997" s="6" t="str">
        <f ca="1">IFERROR(__xludf.DUMMYFUNCTION("""COMPUTED_VALUE"""),"")</f>
        <v/>
      </c>
    </row>
    <row r="998" spans="1:10" x14ac:dyDescent="0.2">
      <c r="A998" s="6" t="str">
        <f ca="1">IFERROR(__xludf.DUMMYFUNCTION("""COMPUTED_VALUE"""),"")</f>
        <v/>
      </c>
      <c r="B998" s="6" t="str">
        <f ca="1">IFERROR(__xludf.DUMMYFUNCTION("""COMPUTED_VALUE"""),"")</f>
        <v/>
      </c>
      <c r="C998" s="6" t="str">
        <f ca="1">IFERROR(__xludf.DUMMYFUNCTION("""COMPUTED_VALUE"""),"")</f>
        <v/>
      </c>
      <c r="D998" s="6" t="str">
        <f ca="1">IFERROR(__xludf.DUMMYFUNCTION("""COMPUTED_VALUE"""),"")</f>
        <v/>
      </c>
      <c r="E998" s="6" t="str">
        <f ca="1">IFERROR(__xludf.DUMMYFUNCTION("""COMPUTED_VALUE"""),"")</f>
        <v/>
      </c>
      <c r="F998" s="6" t="str">
        <f ca="1">IFERROR(__xludf.DUMMYFUNCTION("""COMPUTED_VALUE"""),"")</f>
        <v/>
      </c>
      <c r="G998" s="6" t="str">
        <f ca="1">IFERROR(__xludf.DUMMYFUNCTION("""COMPUTED_VALUE"""),"")</f>
        <v/>
      </c>
      <c r="H998" s="6" t="str">
        <f ca="1">IFERROR(__xludf.DUMMYFUNCTION("""COMPUTED_VALUE"""),"")</f>
        <v/>
      </c>
      <c r="I998" s="6" t="str">
        <f ca="1">IFERROR(__xludf.DUMMYFUNCTION("""COMPUTED_VALUE"""),"")</f>
        <v/>
      </c>
      <c r="J998" s="6" t="str">
        <f ca="1">IFERROR(__xludf.DUMMYFUNCTION("""COMPUTED_VALUE"""),"")</f>
        <v/>
      </c>
    </row>
    <row r="999" spans="1:10" x14ac:dyDescent="0.2">
      <c r="A999" s="6" t="str">
        <f ca="1">IFERROR(__xludf.DUMMYFUNCTION("""COMPUTED_VALUE"""),"")</f>
        <v/>
      </c>
      <c r="B999" s="6" t="str">
        <f ca="1">IFERROR(__xludf.DUMMYFUNCTION("""COMPUTED_VALUE"""),"")</f>
        <v/>
      </c>
      <c r="C999" s="6" t="str">
        <f ca="1">IFERROR(__xludf.DUMMYFUNCTION("""COMPUTED_VALUE"""),"")</f>
        <v/>
      </c>
      <c r="D999" s="6" t="str">
        <f ca="1">IFERROR(__xludf.DUMMYFUNCTION("""COMPUTED_VALUE"""),"")</f>
        <v/>
      </c>
      <c r="E999" s="6" t="str">
        <f ca="1">IFERROR(__xludf.DUMMYFUNCTION("""COMPUTED_VALUE"""),"")</f>
        <v/>
      </c>
      <c r="F999" s="6" t="str">
        <f ca="1">IFERROR(__xludf.DUMMYFUNCTION("""COMPUTED_VALUE"""),"")</f>
        <v/>
      </c>
      <c r="G999" s="6" t="str">
        <f ca="1">IFERROR(__xludf.DUMMYFUNCTION("""COMPUTED_VALUE"""),"")</f>
        <v/>
      </c>
      <c r="H999" s="6" t="str">
        <f ca="1">IFERROR(__xludf.DUMMYFUNCTION("""COMPUTED_VALUE"""),"")</f>
        <v/>
      </c>
      <c r="I999" s="6" t="str">
        <f ca="1">IFERROR(__xludf.DUMMYFUNCTION("""COMPUTED_VALUE"""),"")</f>
        <v/>
      </c>
      <c r="J999" s="6" t="str">
        <f ca="1">IFERROR(__xludf.DUMMYFUNCTION("""COMPUTED_VALUE"""),"")</f>
        <v/>
      </c>
    </row>
    <row r="1000" spans="1:10" x14ac:dyDescent="0.2">
      <c r="A1000" s="6" t="str">
        <f ca="1">IFERROR(__xludf.DUMMYFUNCTION("""COMPUTED_VALUE"""),"")</f>
        <v/>
      </c>
      <c r="B1000" s="6" t="str">
        <f ca="1">IFERROR(__xludf.DUMMYFUNCTION("""COMPUTED_VALUE"""),"")</f>
        <v/>
      </c>
      <c r="C1000" s="6" t="str">
        <f ca="1">IFERROR(__xludf.DUMMYFUNCTION("""COMPUTED_VALUE"""),"")</f>
        <v/>
      </c>
      <c r="D1000" s="6" t="str">
        <f ca="1">IFERROR(__xludf.DUMMYFUNCTION("""COMPUTED_VALUE"""),"")</f>
        <v/>
      </c>
      <c r="E1000" s="6" t="str">
        <f ca="1">IFERROR(__xludf.DUMMYFUNCTION("""COMPUTED_VALUE"""),"")</f>
        <v/>
      </c>
      <c r="F1000" s="6" t="str">
        <f ca="1">IFERROR(__xludf.DUMMYFUNCTION("""COMPUTED_VALUE"""),"")</f>
        <v/>
      </c>
      <c r="G1000" s="6" t="str">
        <f ca="1">IFERROR(__xludf.DUMMYFUNCTION("""COMPUTED_VALUE"""),"")</f>
        <v/>
      </c>
      <c r="H1000" s="6" t="str">
        <f ca="1">IFERROR(__xludf.DUMMYFUNCTION("""COMPUTED_VALUE"""),"")</f>
        <v/>
      </c>
      <c r="I1000" s="6" t="str">
        <f ca="1">IFERROR(__xludf.DUMMYFUNCTION("""COMPUTED_VALUE"""),"")</f>
        <v/>
      </c>
      <c r="J1000" s="6" t="str">
        <f ca="1">IFERROR(__xludf.DUMMYFUNCTION("""COMPUTED_VALUE"""),"")</f>
        <v/>
      </c>
    </row>
  </sheetData>
  <phoneticPr fontId="7" type="noConversion"/>
  <hyperlinks>
    <hyperlink ref="G2" r:id="rId1" location="success" display="https://newstart-law.com/?n_media=8753&amp;n_query=%ED%8C%8C%EC%82%B0%EC%8B%A0%EC%B2%AD&amp;n_rank=1&amp;n_ad_group=grp-a001-01-000000063065674&amp;n_ad=nad-a001-01-000000485213839&amp;n_keyword_id=nkw-a001-01-000007951811266&amp;n_keyword=%ED%8C%8C%EC%82%B0%EC%8B%A0%EC%B2%AD&amp;n_campaign_type=1&amp;n_ad_group_type=1&amp;n_match=1&amp;NaPm=ct=mptxly87%7Cci=ERfa9929cf-5d04-11f1-a285-5e52d0db692c%7Ctr=sa%7Chk=90f30f94682fc794caf20a63593a91b7458a46f0%7Cnacn=wN0DBgwQY7yU - success" xr:uid="{00000000-0004-0000-0300-000000000000}"/>
    <hyperlink ref="G3" r:id="rId2" display="http://newstart-law.com/?inType=nim003&amp;NaPm=ci=61BhQFH_6rS22WViWLT7N2cg%7Ctr=gfa%7Cct=mpukkf83%7Chk=f905a13446ce27fece0b0618b27be4bd03b82568%7Cnacn=rVz5BkgLBscx" xr:uid="{00000000-0004-0000-0300-000001000000}"/>
    <hyperlink ref="G4" r:id="rId3" display="https://newstart-law.com/?inType=NIP002&amp;NaPm=ci=61VeGKQqDvSByCmCUW-B-CuQ%7Ctr=gfa%7Cct=mpumc6ib%7Chk=0d591e6920bf4307ea7a7d5a4ac539e14794c996%7Cnacn=b8eGDACcBQx7B" xr:uid="{00000000-0004-0000-0300-000002000000}"/>
    <hyperlink ref="G5" r:id="rId4" display="https://newstart-law.com/?inType=NIP002&amp;NaPm=ci=61RGSrvtWST-OeDBu_e6qzgg%7Ctr=gfa%7Cct=mpunmfhx%7Chk=c83d18aa4b138f3f1e63ddccb81f750f2011216a%7Cnacn=PHqOBogkoA2A" xr:uid="{00000000-0004-0000-0300-000003000000}"/>
    <hyperlink ref="G6" r:id="rId5" display="https://newstart-law.com/?inType=NIP002&amp;NaPm=ci=61LJoODq38TfGxhhCs3eFxRA%7Ctr=gfa%7Cct=mpuujyhj%7Chk=a88b52aeac58f682a3d4bd818254b58b5d66f741%7Cnacn=yTfrCIifm51KA" xr:uid="{00000000-0004-0000-0300-000004000000}"/>
    <hyperlink ref="G7" r:id="rId6" display="https://newstart-law.com/?inType=NIP002&amp;NaPm=ci=61LJoODq38TfGxhhCs3eFxRA%7Ctr=gfa%7Cct=mpuujyhj%7Chk=a88b52aeac58f682a3d4bd818254b58b5d66f741%7Cnacn=yTfrCIifm51KA" xr:uid="{00000000-0004-0000-0300-000005000000}"/>
    <hyperlink ref="G8" r:id="rId7" display="https://newstart-law.com/?n_media=8753&amp;n_query=%EA%B0%9C%EC%9D%B8%ED%8C%8C%EC%82%B0%EC%8B%A0%EC%B2%AD%EC%9E%90%EA%B2%A9&amp;n_rank=2&amp;n_ad_group=grp-a001-01-000000063065674&amp;n_ad=nad-a001-01-000000495460351&amp;n_keyword_id=nkw-a001-01-000007951811267&amp;n_keyword=%EA%B0%9C%EC%9D%B8%ED%8C%8C%EC%82%B0%EC%8B%A0%EC%B2%AD%EC%9E%90%EA%B2%A9&amp;n_campaign_type=1&amp;n_ad_group_type=1&amp;n_match=1&amp;NaPm=ct=mpv3shbr%7Cci=ERefa17d02-5da9-11f1-89b7-5a79859463aa%7Ctr=sa%7Chk=6d43391c2d6bd96212529fc6a6eb70bd3f8369e" xr:uid="{00000000-0004-0000-0300-000006000000}"/>
    <hyperlink ref="G9" r:id="rId8" display="https://www.newstart-law.com/?inType=NK&amp;n_media=8753&amp;n_query=%EA%B0%9C%EC%9D%B8%ED%9A%8C%EC%83%9D&amp;n_rank=8&amp;n_ad_group=grp-a001-01-000000063063767&amp;n_ad=nad-a001-01-000000485213831&amp;n_keyword_id=nkw-a001-01-000007934680459&amp;n_keyword=%EA%B0%9C%EC%9D%B8%ED%9A%8C%EC%83%9D&amp;n_campaign_type=1&amp;n_ad_group_type=1&amp;n_match=1&amp;NaPm=ct=mpv7pqrp%7Cci=ER4803b030-5db9-11f1-a5fc-82ec60f2b278%7Ctr=sa%7Chk=d9f6b1d9ecb8fe9a1d6f01a7bd6638031db623aa%7Cnacn=ZqEmB0gpkCRfB" xr:uid="{00000000-0004-0000-0300-000007000000}"/>
    <hyperlink ref="G10" r:id="rId9" display="https://newstart-law.com/?inType=NIP002&amp;NaPm=ci=62-DwAjoljS42vywnfnErAdA%7Ctr=gfa%7Cct=mpvxp3wh%7Chk=8ddcc8987cc178e0edda7639814be26eeb173eb1%7Cnacn=OfiJDoBPzEjpB" xr:uid="{00000000-0004-0000-0300-000008000000}"/>
    <hyperlink ref="G11" r:id="rId10" display="https://newstart-law.com/?inType=NIP002&amp;NaPm=ci=62MuaHCKA4QZ-JxBZXyZQLkQ%7Ctr=gfa%7Cct=mpvyg3nr%7Chk=931f5e8d97540cd44108497c5c16cfacd0f4575b%7Cnacn=dwMoB0QOE0Ov" xr:uid="{00000000-0004-0000-0300-000009000000}"/>
    <hyperlink ref="G12" r:id="rId11" display="http://newstart-law.com/?inType=nim003&amp;NaPm=ci=62m0lq8g7wT5OeLIh97Chr3g%7Ctr=gfa%7Cct=mpw05tmj%7Chk=d54e69ffb48e4a143cb5c1d9ac20565f57df2d92%7Cnacn=JTFfCACFnSGfB" xr:uid="{00000000-0004-0000-0300-00000A000000}"/>
    <hyperlink ref="G13" r:id="rId12" display="http://newstart-law.com/?inType=nim003&amp;NaPm=ci=62uQ9O8OEtTNidjJPZLo2EEA%7Ctr=gfa%7Cct=mpw2dwff%7Chk=bc1309493d5e84593d18d3a481355b21d1aecc36%7Cnacn=jDqaBsgZT0s5" xr:uid="{00000000-0004-0000-0300-00000B000000}"/>
    <hyperlink ref="G14" r:id="rId13" display="http://newstart-law.com/" xr:uid="{00000000-0004-0000-0300-00000C000000}"/>
    <hyperlink ref="G15" r:id="rId14" display="http://newstart-law.com/?inType=nim003&amp;NaPm=ci=62Pjm_2DOnRRmtwe8uFi2GqQ%7Ctr=gfa%7Cct=mpw5s77p%7Chk=5ee502016f4f04bb395d4cbc8a229e4dc59219f6%7Cnacn=lfR0DIif0WBIB" xr:uid="{00000000-0004-0000-0300-00000D000000}"/>
    <hyperlink ref="G16" r:id="rId15" display="http://newstart-law.com/?inType=nim003&amp;NaPm=ci=62OvHkhRFmQieE1HmrLH4edw%7Ctr=gfa%7Cct=mpwbj73l%7Chk=529e4d0ca7b77a4c3df595166adef90d118d98ea%7Cnacn=icX7B0QvhcOY" xr:uid="{00000000-0004-0000-0300-00000E000000}"/>
    <hyperlink ref="G17" r:id="rId16" display="http://newstart-law.com/?inType=nim003&amp;NaPm=ci=626VP5h2A-SY2U8VXeH0J9ng%7Ctr=gfa%7Cct=mpwcgx2t%7Chk=bee70ab55f4370a2791f999154f7da6c38aead6b%7Cnacn=0eRSCgBbQtozA" xr:uid="{00000000-0004-0000-0300-00000F000000}"/>
    <hyperlink ref="G18" r:id="rId17" display="http://newstart-law.com/?inType=NIM001&amp;NaPm=ci=62uotRnDyfSwOjJo-EKBtsJw%7Ctr=gfa%7Cct=mpwew242%7Chk=343e2ebee342ccd82e75fc14e0ca9da652f4c057%7Cnacn=5mkpBMAOx03E" xr:uid="{00000000-0004-0000-0300-000010000000}"/>
    <hyperlink ref="G19" r:id="rId18" display="https://www.newstart-law.com/?inType=NK&amp;n_media=8753&amp;n_query=%EA%B0%9C%EC%9D%B8%ED%9A%8C%EC%83%9D%EC%83%81%EB%8B%B4&amp;n_rank=4&amp;n_ad_group=grp-a001-01-000000063065632&amp;n_ad=nad-a001-01-000000485213835&amp;n_keyword_id=nkw-a001-01-000007951806239&amp;n_keyword=%EA%B0%9C%EC%9D%B8%ED%9A%8C%EC%83%9D%EC%83%81%EB%8B%B4&amp;n_campaign_type=1&amp;n_ad_group_type=1&amp;n_match=1&amp;NaPm=ct=mpwjswnf%7Cci=ER562f21bf-5e75-11f1-8ec2-3a1d4f158d1b%7Ctr=sa%7Chk=6ec69752968c24c26bd59c9bbea4ae01aa8b5084%7Cnacn=KccYBABGDw9" xr:uid="{00000000-0004-0000-0300-000011000000}"/>
    <hyperlink ref="G20" r:id="rId19" display="https://www.newstart-law.com/?inType=NK&amp;n_media=8753&amp;n_query=%EA%B0%9C%EC%9D%B8%ED%9A%8C%EC%83%9D&amp;n_rank=4&amp;n_ad_group=grp-a001-01-000000063063767&amp;n_ad=nad-a001-01-000000485213831&amp;n_keyword_id=nkw-a001-01-000007934680459&amp;n_keyword=%EA%B0%9C%EC%9D%B8%ED%9A%8C%EC%83%9D&amp;n_campaign_type=1&amp;n_ad_group_type=1&amp;n_match=1&amp;NaPm=ct=mpwlnjol%7Cci=ER936129bf-5e7c-11f1-b475-8a2e93251834%7Ctr=sa%7Chk=78904536ca51953511c04f3c2e02b034c77fd312%7Cnacn=yZsVBExbE0mH" xr:uid="{00000000-0004-0000-0300-000012000000}"/>
    <hyperlink ref="G21" r:id="rId20" display="https://www.newstart-law.com/?inType=NK&amp;n_media=27758&amp;n_query=%ED%8C%8C%EC%82%B0%EC%8B%A0%EC%B2%AD&amp;n_rank=3&amp;n_ad_group=grp-a001-01-000000063065694&amp;n_ad=nad-a001-01-000000495460390&amp;n_keyword_id=nkw-a001-01-000007951818589&amp;n_keyword=%ED%8C%8C%EC%82%B0%EC%8B%A0%EC%B2%AD&amp;n_campaign_type=1&amp;n_ad_group_type=1&amp;n_match=1&amp;NaPm=ct=mpxbqrmi%7Cci=ER9a4ccc7a-5ee2-11f1-b0bf-0eb0cfea6841%7Ctr=sa%7Chk=6740c092fb5c08ac5f66ed3179c869e572b34064%7Cnacn=qr1EBwAhUYmM" xr:uid="{00000000-0004-0000-0300-000013000000}"/>
    <hyperlink ref="G22" r:id="rId21" display="http://newstart-law.com/?inType=nim003&amp;NaPm=ci=63CzLyAn41TwCnmGw5yv2pDw%7Ctr=gfa%7Cct=mpxfttvt%7Chk=879103375666f31c2e211049c1e7398dbe311710%7Cnacn=eZ5RDACulaS3B" xr:uid="{00000000-0004-0000-0300-000014000000}"/>
    <hyperlink ref="G23" r:id="rId22" display="https://www.newstart-law.com/?inType=NK&amp;n_media=8753&amp;n_query=%EA%B0%9C%EC%9D%B8%ED%9A%8C%EC%83%9D%ED%8C%8C%EC%82%B0&amp;n_rank=4&amp;n_ad_group=grp-a001-01-000000063065632&amp;n_ad=nad-a001-01-000000485213835&amp;n_keyword_id=nkw-a001-01-000007951806231&amp;n_keyword=%EA%B0%9C%EC%9D%B8%ED%9A%8C%EC%83%9D%ED%8C%8C%EC%82%B0&amp;n_campaign_type=1&amp;n_ad_group_type=1&amp;n_match=1&amp;NaPm=ct=mpxipj9k%7Cci=ERd7eff555-5efd-11f1-a285-5e52d0db692c%7Ctr=sa%7Chk=1814f921f06f13395d00366da34797df1ed888a1%7Cnacn=fjTpD4Al3S8" xr:uid="{00000000-0004-0000-0300-000015000000}"/>
    <hyperlink ref="G24" r:id="rId23" display="http://newstart-law.com/?inType=nim003&amp;NaPm=ci=63qtngcaPaR4qIuWvzPGYEzA%7Ctr=gfa%7Cct=mpxjhp7i%7Chk=3005a02293959bba2a98d0b1d9fb38fb42a92b5b%7Cnacn=uezJDACUgWGcB" xr:uid="{00000000-0004-0000-0300-000016000000}"/>
    <hyperlink ref="G25" r:id="rId24" display="http://newstart-law.com/?inType=nim003&amp;NaPm=ci=63eA-FTUdXRl-etO5OJZ1VSQ%7Ctr=gfa%7Cct=mpxk43fd%7Chk=9132c1b2264a4e2eb843a930ced926d8ffd8a023%7Cnacn=CkhZB0whcOkj" xr:uid="{00000000-0004-0000-0300-000017000000}"/>
    <hyperlink ref="G26" r:id="rId25" display="http://newstart-law.com/?inType=nim003&amp;NaPm=ci=63L7JKWknaRv6C9EpRzFag1g%7Ctr=gfa%7Cct=mpxkxep3%7Chk=a866fe704cce4d6d3fad3afa2d4a586bab1b1aa3%7Cnacn=7sd1BsweenWOD" xr:uid="{00000000-0004-0000-0300-000018000000}"/>
    <hyperlink ref="G27" r:id="rId26" display="https://newstart-law.com/?inType=NIP002&amp;NaPm=ci=6370iF-i6LRnapeLR63JmeLA%7Ctr=gfa%7Cct=mpxll5om%7Chk=358822922fb5852f22a89a9e8ea92936a1307888%7Cnacn=QMh1BAx2yqji" xr:uid="{00000000-0004-0000-0300-000019000000}"/>
    <hyperlink ref="G28" r:id="rId27" display="http://newstart-law.com/?inType=nim003&amp;NaPm=ci=63dp1A7CxiRiSPH4vZf0vCLw%7Ctr=gfa%7Cct=mpxoewe3%7Chk=6c72cc2a2ec407fcd6d752a61766ce0b5085a58e%7Cnacn=WBduBwgWiRnN" xr:uid="{00000000-0004-0000-0300-00001A000000}"/>
    <hyperlink ref="G29" r:id="rId28" display="https://www.newstart-law.com/?inType=NK&amp;n_media=8753&amp;n_query=%EA%B0%9C%EC%9D%B8%ED%9A%8C%EC%83%9D&amp;n_rank=6&amp;n_ad_group=grp-a001-01-000000063063767&amp;n_ad=nad-a001-01-000000485213831&amp;n_keyword_id=nkw-a001-01-000007934680459&amp;n_keyword=%EA%B0%9C%EC%9D%B8%ED%9A%8C%EC%83%9D&amp;n_campaign_type=1&amp;n_ad_group_type=1&amp;n_match=1&amp;NaPm=ct=mpxohbks%7Cci=ER6a4cd276-5f14-11f1-971b-a6bf3bc2f963%7Ctr=sa%7Chk=9f15846e860af1fccc9d146b6bc97c9589a8c72b%7Cnacn=ChUSBgwOxh4e" xr:uid="{00000000-0004-0000-0300-00001B000000}"/>
    <hyperlink ref="G30" r:id="rId29" display="http://newstart-law.com/?inType=nim003&amp;NaPm=ci=63s88vjy5bR-u9hQG9yzBe8A%7Ctr=gfa%7Cct=mpxoxqof%7Chk=8afb354ada03e53524634fb58c6f05dbca6b1636%7Cnacn=atEyBgAixbyn" xr:uid="{00000000-0004-0000-0300-00001C000000}"/>
    <hyperlink ref="G31" r:id="rId30" display="http://newstart-law.com/?inType=nim003&amp;NaPm=ci=63c9-WfJvZRau24co4bvWvjQ%7Ctr=gfa%7Cct=mpxp7a38%7Chk=caea4225066bcae45ac2071b4a46c3b5737e2f40%7Cnacn=3wDeDABPmABVB" xr:uid="{00000000-0004-0000-0300-00001D000000}"/>
    <hyperlink ref="G32" r:id="rId31" display="https://www.newstart-law.com/?inType=NK&amp;n_media=8753&amp;n_query=%EA%B0%9C%EC%9D%B8%ED%9A%8C%EC%83%9D%EC%8B%A0%EC%B2%AD%EC%9E%90%EA%B2%A9&amp;n_rank=4&amp;n_ad_group=grp-a001-01-000000063065632&amp;n_ad=nad-a001-01-000000495459382&amp;n_keyword_id=nkw-a001-01-000007951806209&amp;n_keyword=%EA%B0%9C%EC%9D%B8%ED%9A%8C%EC%83%9D%EC%8B%A0%EC%B2%AD%EC%9E%90%EA%B2%A9&amp;n_campaign_type=1&amp;n_ad_group_type=1&amp;n_match=1&amp;NaPm=ct=mpxph9q6%7Cci=ER51fff9e7-5f18-11f1-9972-6eb3083d8373%7Ctr=sa%7Chk=69bf8cf4a16f476835768b4a4" xr:uid="{00000000-0004-0000-0300-00001E000000}"/>
    <hyperlink ref="G33" r:id="rId32" display="http://newstart-law.com/?inType=NIM001&amp;NaPm=ci=636zWmRxGZQn2dF9Vm5ItrFQ%7Ctr=gfa%7Cct=mpxpbh95%7Chk=5a3378bab1641dc4a6460a9c35a77beb0a9e8b55%7Cnacn=vf2wDgB2Pl5sA" xr:uid="{00000000-0004-0000-0300-00001F000000}"/>
    <hyperlink ref="G34" r:id="rId33" display="http://newstart-law.com/?inType=nim003&amp;NaPm=ci=63I-dB182ET6SkNQFvlP4XLA%7Ctr=gfa%7Cct=mpxqqq7o%7Chk=8d7f9629196072911fb9154fdb7292b7e45891f0%7Cnacn=ztEPB0QAHMTy" xr:uid="{00000000-0004-0000-0300-000020000000}"/>
    <hyperlink ref="G35" r:id="rId34" display="https://www.newstart-law.com/?inType=NK&amp;n_media=8753&amp;n_query=%EA%B0%9C%EC%9D%B8%ED%9A%8C%EC%83%9D%EC%8B%A0%EC%B2%AD%EC%9E%90%EA%B2%A9&amp;n_rank=5&amp;n_ad_group=grp-a001-01-000000063065632&amp;n_ad=nad-a001-01-000000485213835&amp;n_keyword_id=nkw-a001-01-000007951806209&amp;n_keyword=%EA%B0%9C%EC%9D%B8%ED%9A%8C%EC%83%9D%EC%8B%A0%EC%B2%AD%EC%9E%90%EA%B2%A9&amp;n_campaign_type=1&amp;n_ad_group_type=1&amp;n_match=1&amp;NaPm=ct=mpxse80s%7Cci=ERb8a48677-5f23-11f1-a5fc-82ec60f2b278%7Ctr=sa%7Chk=4f1fa75aaeeb97821557f5c37" xr:uid="{00000000-0004-0000-0300-000021000000}"/>
    <hyperlink ref="G36" r:id="rId35" display="https://www.newstart-law.com/?inType=NK&amp;n_media=27758&amp;n_query=%EA%B0%9C%EC%9D%B8%ED%9A%8C%EC%83%9D&amp;n_rank=3&amp;n_ad_group=grp-a001-01-000000063063607&amp;n_ad=nad-a001-01-000000495459275&amp;n_keyword_id=nkw-a001-01-000007934681996&amp;n_keyword=%EA%B0%9C%EC%9D%B8%ED%9A%8C%EC%83%9D&amp;n_campaign_type=1&amp;n_ad_group_type=1&amp;n_match=1&amp;NaPm=ct=mpxtgkvk%7Cci=ERe351fb03-5f27-11f1-8aaa-2a39741d2e73%7Ctr=sa%7Chk=07472eb4ff9caf8640efcc03af380283f458f3d2%7Cnacn=c7QRBAxhEiga" xr:uid="{00000000-0004-0000-0300-000022000000}"/>
    <hyperlink ref="G37" r:id="rId36" display="https://www.newstart-law.com/?inType=NK&amp;n_media=27758&amp;n_query=%EA%B0%9C%EC%9D%B8%ED%9A%8C%EC%83%9D&amp;n_rank=3&amp;n_ad_group=grp-a001-01-000000063063607&amp;n_ad=nad-a001-01-000000495459275&amp;n_keyword_id=nkw-a001-01-000007934681996&amp;n_keyword=%EA%B0%9C%EC%9D%B8%ED%9A%8C%EC%83%9D&amp;n_campaign_type=1&amp;n_ad_group_type=1&amp;n_match=1&amp;NaPm=ct=mpxtgkvk%7Cci=ERe351fb03-5f27-11f1-8aaa-2a39741d2e73%7Ctr=sa%7Chk=07472eb4ff9caf8640efcc03af380283f458f3d2%7Cnacn=c7QRBAxhEiga" xr:uid="{00000000-0004-0000-0300-000023000000}"/>
    <hyperlink ref="G38" r:id="rId37" display="http://newstart-law.com/?inType=nim003&amp;NaPm=ci=63wP6NmzUjQ9udWjVElVmpTQ%7Ctr=gfa%7Cct=mpxuiwuk%7Chk=c409f35c327017e2d3daf82629264587343873a5%7Cnacn=pZCzBowUbZrH" xr:uid="{00000000-0004-0000-0300-000024000000}"/>
    <hyperlink ref="G39" r:id="rId38" display="https://newstart-law.com/?inType=NIM001&amp;NaPm=ci=63ZQVwC6Q1SbiEWvrxLxHa1Q%7Ctr=gfa%7Cct=mpxugisa%7Chk=e5ef304add9da42297e26d2a3b3ff0de00fd76f9%7Cnacn=Fi3FB0AB775fB" xr:uid="{00000000-0004-0000-0300-000025000000}"/>
    <hyperlink ref="G40" r:id="rId39" display="http://newstart-law.com/?inType=nim_sq02&amp;NaPm=ci=63lRGDIr8sTz6a8TmiE1SQ7A%7Ctr=gfa%7Cct=mpxv5vgg%7Chk=ce486290c767b06bf3b1a75f6d33e37e5f83a3fb%7Cnacn=bMvTBAhmZSTz" xr:uid="{00000000-0004-0000-0300-000026000000}"/>
    <hyperlink ref="G41" r:id="rId40" display="http://newstart-law.com/?inType=nim_sq02&amp;NaPm=ci=63lRGDIr8sTz6a8TmiE1SQ7A%7Ctr=gfa%7Cct=mpxv5vgg%7Chk=ce486290c767b06bf3b1a75f6d33e37e5f83a3fb%7Cnacn=bMvTBAhmZSTz" xr:uid="{00000000-0004-0000-0300-000027000000}"/>
    <hyperlink ref="G42" r:id="rId41" display="https://www.newstart-law.com/?inType=NK&amp;n_media=8753&amp;n_query=%EA%B0%9C%EC%9D%B8%ED%9A%8C%EC%83%9D%EC%8B%A0%EC%B2%AD%EC%9E%90%EA%B2%A9&amp;n_rank=4&amp;n_ad_group=grp-a001-01-000000063065632&amp;n_ad=nad-a001-01-000000485213835&amp;n_keyword_id=nkw-a001-01-000007951806209&amp;n_keyword=%EA%B0%9C%EC%9D%B8%ED%9A%8C%EC%83%9D%EC%8B%A0%EC%B2%AD%EC%9E%90%EA%B2%A9&amp;n_campaign_type=1&amp;n_ad_group_type=1&amp;n_match=1&amp;NaPm=ct=mpxxs0bg%7Cci=ERc5aa5ea9-5f38-11f1-a285-5e52d0db692c%7Ctr=sa%7Chk=cc8bd70a4f8a756a5368f9730" xr:uid="{00000000-0004-0000-0300-000028000000}"/>
    <hyperlink ref="G43" r:id="rId42" display="https://www.newstart-law.com/?inType=NK&amp;n_media=8753&amp;n_query=%EA%B0%9C%EC%9D%B8%ED%9A%8C%EC%83%9D%EC%8B%A0%EC%B2%AD%EC%9E%90%EA%B2%A9&amp;n_rank=4&amp;n_ad_group=grp-a001-01-000000063065632&amp;n_ad=nad-a001-01-000000485213835&amp;n_keyword_id=nkw-a001-01-000007951806209&amp;n_keyword=%EA%B0%9C%EC%9D%B8%ED%9A%8C%EC%83%9D%EC%8B%A0%EC%B2%AD%EC%9E%90%EA%B2%A9&amp;n_campaign_type=1&amp;n_ad_group_type=1&amp;n_match=1&amp;NaPm=ct=mpxxs0bg%7Cci=ERc5aa5ea9-5f38-11f1-a285-5e52d0db692c%7Ctr=sa%7Chk=cc8bd70a4f8a756a5368f9730" xr:uid="{00000000-0004-0000-0300-000029000000}"/>
    <hyperlink ref="G44" r:id="rId43" display="http://newstart-law.com/?inType=nim003&amp;NaPm=ci=64oXeE35VlRMmLSfuZ228aQA%7Ctr=gfa%7Cct=mpyvkftu%7Chk=9681581e1b7050d7e333171bac527127c9687f3f%7Cnacn=3YLcBkwiY9RU" xr:uid="{00000000-0004-0000-0300-00002A000000}"/>
    <hyperlink ref="G45" r:id="rId44" display="http://newstart-law.com/?inType=nim003&amp;NaPm=ci=64_jmT4FSSTS-l3UIwgqZRag%7Ctr=gfa%7Cct=mpz9009u%7Chk=d0da18ab3435973f5e9ea2b2c1ee25f9db186bee%7Cnacn=ObfnCQhkYa2DB" xr:uid="{00000000-0004-0000-0300-00002B000000}"/>
    <hyperlink ref="G46" r:id="rId45" display="http://newstart-law.com/?inType=nim003&amp;NaPm=ci=64IQbjHByTRmCp2I1cf9GGlA%7Ctr=gfa%7Cct=mpz9emun%7Chk=8ee9bc97d37c2c9f9803fac6faa7e5f505b0290a%7Cnacn=0D1aBswykGMx" xr:uid="{00000000-0004-0000-0300-00002C000000}"/>
    <hyperlink ref="G47" r:id="rId46" display="http://newstart-law.com/?inType=NIM001&amp;NaPm=ci=641svuPzLzTPmCyTlKuYnymQ%7Ctr=gfa%7Cct=mpzag6w6%7Chk=02db74981c6b2bb71dd7f42eeaac4049a210f56e%7Cnacn=fp7ZCYBtwA9eA" xr:uid="{00000000-0004-0000-0300-00002D000000}"/>
    <hyperlink ref="G48" r:id="rId47" display="http://newstart-law.com/?inType=NIM001&amp;NaPm=ci=641svuPzLzTPmCyTlKuYnymQ%7Ctr=gfa%7Cct=mpzag6w6%7Chk=02db74981c6b2bb71dd7f42eeaac4049a210f56e%7Cnacn=fp7ZCYBtwA9eA" xr:uid="{00000000-0004-0000-0300-00002E000000}"/>
    <hyperlink ref="G49" r:id="rId48" display="https://www.newstart-law.com/?inType=NK&amp;n_media=8753&amp;n_query=%ED%8C%8C%EC%82%B0%EC%8B%A0%EC%B2%AD%EC%9E%90%EA%B2%A9&amp;n_rank=5&amp;n_ad_group=grp-a001-01-000000063065674&amp;n_ad=nad-a001-01-000000495460351&amp;n_keyword_id=nkw-a001-01-000007951811269&amp;n_keyword=%ED%8C%8C%EC%82%B0%EC%8B%A0%EC%B2%AD%EC%9E%90%EA%B2%A9&amp;n_campaign_type=1&amp;n_ad_group_type=1&amp;n_match=1&amp;NaPm=ct=mpzbuih8%7Cci=ER93c514dd-5ffc-11f1-8c5d-c6b3905ab0bb%7Ctr=sa%7Chk=28d90744303f8c9a50aa85194837f9b9ef2a664b%7Cnacn=VFSLBQQe5HA" xr:uid="{00000000-0004-0000-0300-00002F000000}"/>
    <hyperlink ref="G50" r:id="rId49" display="https://www.newstart-law.com/?inType=NK&amp;n_media=8753&amp;n_query=%ED%8C%8C%EC%82%B0%EC%8B%A0%EC%B2%AD&amp;n_rank=3&amp;n_ad_group=grp-a001-01-000000063065674&amp;n_ad=nad-a001-01-000000495460351&amp;n_keyword_id=nkw-a001-01-000007951811266&amp;n_keyword=%ED%8C%8C%EC%82%B0%EC%8B%A0%EC%B2%AD&amp;n_campaign_type=1&amp;n_ad_group_type=1&amp;n_match=1&amp;NaPm=ct=mpzfqakz%7Cci=ERc2f35661-600b-11f1-8aaa-2a39741d2e73%7Ctr=sa%7Chk=4efaf5943c4d79dbd538882feea9b014c1062fd3%7Cnacn=oz96BMAbtvDz" xr:uid="{00000000-0004-0000-0300-000030000000}"/>
    <hyperlink ref="G51" r:id="rId50" display="https://www.newstart-law.com/?inType=NK&amp;n_media=8753&amp;n_query=%ED%8C%8C%EC%82%B0%EC%8B%A0%EC%B2%AD&amp;n_rank=2&amp;n_ad_group=grp-a001-01-000000063065674&amp;n_ad=nad-a001-01-000000495460351&amp;n_keyword_id=nkw-a001-01-000007951811266&amp;n_keyword=%ED%8C%8C%EC%82%B0%EC%8B%A0%EC%B2%AD&amp;n_campaign_type=1&amp;n_ad_group_type=1&amp;n_match=1&amp;NaPm=ct=mpzgrn1z%7Cci=ERd185f90a-600f-11f1-a8fa-4adacfef5931%7Ctr=sa%7Chk=bf2d5df2e3e3509d65fac3eb4418a8c218e24411%7Cnacn=d4JGB0gdrlflA" xr:uid="{00000000-0004-0000-0300-000031000000}"/>
    <hyperlink ref="G52" r:id="rId51" display="https://www.newstart-law.com/?inType=NK&amp;n_media=8753&amp;n_query=%ED%8C%8C%EC%82%B0%EC%8B%A0%EC%B2%AD&amp;n_rank=2&amp;n_ad_group=grp-a001-01-000000063065674&amp;n_ad=nad-a001-01-000000495460351&amp;n_keyword_id=nkw-a001-01-000007951811266&amp;n_keyword=%ED%8C%8C%EC%82%B0%EC%8B%A0%EC%B2%AD&amp;n_campaign_type=1&amp;n_ad_group_type=1&amp;n_match=1&amp;NaPm=ct=mpzgrn1z%7Cci=ERd185f90a-600f-11f1-a8fa-4adacfef5931%7Ctr=sa%7Chk=bf2d5df2e3e3509d65fac3eb4418a8c218e24411%7Cnacn=d4JGB0gdrlflA" xr:uid="{00000000-0004-0000-0300-000032000000}"/>
    <hyperlink ref="G53" r:id="rId52" display="http://newstart-law.com/?inType=nim_sq02&amp;NaPm=ci=65RylbrcGIQ5iOH6QqSXPrkw%7Ctr=gfa%7Cct=mq046g03%7Chk=29fdf6f54fe75d6f119998edf6786e19d1446791%7Cnacn=WHAIBkghaM6P" xr:uid="{00000000-0004-0000-0300-000033000000}"/>
    <hyperlink ref="G54" r:id="rId53" display="http://newstart-law.com/?inType=NIP002&amp;NaPm=ci=65PAeKz4QtRKKfiA86tl9r3w%7Ctr=gfa%7Cct=mq0ebmh7%7Chk=0c6925ee1892981dc1c9c9797fb42cedc669dda6%7Cnacn=kY5dB0gU87VS" xr:uid="{00000000-0004-0000-0300-000034000000}"/>
    <hyperlink ref="G55" r:id="rId54" display="http://newstart-law.com/?inType=nim003&amp;NaPm=ci=653mK5ABGwThGWa7fCPwsx7A%7Ctr=gfa%7Cct=mq0kiao9%7Chk=8a928edb9f53f1c94ad3b63b0138b2b053024d16%7Cnacn=jv0cB8gfZbIXA" xr:uid="{00000000-0004-0000-0300-000035000000}"/>
    <hyperlink ref="G56" r:id="rId55" display="https://newstart-law.com/?inType=NIP002&amp;NaPm=ci=65NBOxjg1ERnCI43T_SiwdmA%7Ctr=gfa%7Cct=mq0n4tn4%7Chk=c2af2578e5826377016e33df18e738d35039196a%7Cnacn=BJ7lBUg1MrPZ" xr:uid="{00000000-0004-0000-0300-000036000000}"/>
    <hyperlink ref="G57" r:id="rId56" display="https://newstart-law.com/?inType=NIM001&amp;NaPm=ci=65uci_WZTVSD-xPpVwjiqkMg%7Ctr=gfa%7Cct=mq0p8pz6%7Chk=8e7b7d2b282f4a911c59065ed362e6792318c3ff%7Cnacn=Fi3FB0AB775fB" xr:uid="{00000000-0004-0000-0300-000037000000}"/>
    <hyperlink ref="G58" r:id="rId57" display="http://newstart-law.com/?inType=nim003&amp;NaPm=ci=65SLvhZs-XRomDVEVDz56Qmw%7Ctr=gfa%7Cct=mq0b24p2%7Chk=1f87694b432a760816d86e213762b930c92c29b1%7Cnacn=ujOBB0A2hPr5" xr:uid="{00000000-0004-0000-0300-000038000000}"/>
    <hyperlink ref="G59" r:id="rId58" display="https://www.newstart-law.com/?inType=NK&amp;n_media=8753&amp;n_query=%EA%B0%9C%EC%9D%B8%EC%82%AC%EC%97%85%EC%9E%90%EA%B0%9C%EC%9D%B8%ED%9A%8C%EC%83%9D&amp;n_rank=3&amp;n_ad_group=grp-a001-01-000000063439760&amp;n_ad=nad-a001-01-000000485213844&amp;n_keyword_id=nkw-a001-01-000008008707934&amp;n_keyword=%EA%B0%9C%EC%9D%B8%EC%82%AC%EC%97%85%EC%9E%90%EA%B0%9C%EC%9D%B8%ED%9A%8C%EC%83%9D&amp;n_campaign_type=1&amp;n_ad_group_type=1&amp;n_match=1&amp;NaPm=ct=mq0vqimg%7Cci=ER23e0b539-60d7-11f1-b0bf-0eb0cfea6841%7Ctr=sa%7Chk=d6b2cd0" xr:uid="{00000000-0004-0000-0300-000039000000}"/>
    <hyperlink ref="G60" r:id="rId59" display="https://newstart-law.com/?inType=NIP002&amp;NaPm=ci=689X1FKPh8Qt-IkuhVRcQPjg%7Ctr=gfa%7Cct=mq4gabkz%7Chk=3b20abd5d2f8608ca34ef44369a9433ea62283e8%7Cnacn=fPTTCICi05ypA" xr:uid="{00000000-0004-0000-0300-00003A000000}"/>
    <hyperlink ref="G61" r:id="rId60" display="http://newstart-law.com/?inType=nim_sq02&amp;NaPm=ci=68JTd77SgjQaSclobrrl3C1w%7Ctr=gfa%7Cct=mq4iq78d%7Chk=85b555b559d0211315cc12253269cd235599f20e%7Cnacn=j8f4CoBRw9C0A" xr:uid="{00000000-0004-0000-0300-00003B000000}"/>
    <hyperlink ref="G62" r:id="rId61" display="https://www.newstart-law.com/?inType=NK&amp;n_media=8753&amp;n_query=%EA%B0%9C%EC%9D%B8%ED%8C%8C%EC%82%B0%EB%B3%80%ED%98%B8%EC%82%AC&amp;n_rank=10&amp;n_ad_group=grp-a001-01-000000063065674&amp;n_ad=nad-a001-01-000000495460351&amp;n_keyword_id=nkw-a001-01-000007951811273&amp;n_keyword=%EA%B0%9C%EC%9D%B8%ED%8C%8C%EC%82%B0%EB%B3%80%ED%98%B8%EC%82%AC&amp;n_campaign_type=1&amp;n_ad_group_type=1&amp;n_match=1&amp;NaPm=ct%3Dmq4knm49%7Cci%3DERf153aab4%2D62de%2D11f1%2Db7d7%2De6ec96a37452%7Ctr%3Dsa%7Chk%3D3e4a2c3be9ef6b8063336f6bd8bdda9c576f0e01%257" xr:uid="{00000000-0004-0000-0300-00003C000000}"/>
    <hyperlink ref="G63" r:id="rId62" display="http://newstart-law.com/?inType=nim003&amp;NaPm=ci=681-7nIUDJRnWsXpQs2bgLWQ%7Ctr=gfa%7Cct=mq4l3c1f%7Chk=1c378bd7b8cd9b52ef9e4019112942e22bf9a13f%7Cnacn=iISuBQAFcDmK" xr:uid="{00000000-0004-0000-0300-00003D000000}"/>
    <hyperlink ref="G64" r:id="rId63" display="http://newstart-law.com/?inType=nim003&amp;NaPm=ci=68o9h7fiK9TVCuPciv22TM3Q%7Ctr=gfa%7Cct=mq4l6ufb%7Chk=808418c1f45c967334b960c384b74c08a0c34c12%7Cnacn=xhq0BkQHevT1B" xr:uid="{00000000-0004-0000-0300-00003E000000}"/>
    <hyperlink ref="G65" r:id="rId64" display="http://newstart-law.com/?inType=nim003&amp;NaPm=ci=68mQVycyfFTXahIhnjDN0grg%7Ctr=gfa%7Cct=mq4ljrh6%7Chk=5d75c0a3975b9937cfc963ec3a1f2a7d4cf1cee8%7Cnacn=TvXpBoAOzlevA" xr:uid="{00000000-0004-0000-0300-00003F000000}"/>
    <hyperlink ref="G66" r:id="rId65" display="http://newstart-law.com/?inType=nim003&amp;NaPm=ci=68yhYwTeZ1Q7Ka6QrltKn8gg%7Ctr=gfa%7Cct=mq4qjadx%7Chk=c766f91aa20786be3b6fef71790730baae7df7cd%7Cnacn=3gQGBAxHOCY7" xr:uid="{00000000-0004-0000-0300-000040000000}"/>
    <hyperlink ref="G67" r:id="rId66" display="http://newstart-law.com/?inType=nim003&amp;NaPm=ci=68yhYwTeZ1Q7Ka6QrltKn8gg%7Ctr=gfa%7Cct=mq4qjadx%7Chk=c766f91aa20786be3b6fef71790730baae7df7cd%7Cnacn=3gQGBAxHOCY7" xr:uid="{00000000-0004-0000-0300-000041000000}"/>
    <hyperlink ref="G68" r:id="rId67" display="http://newstart-law.com/?inType=NIM001&amp;NaPm=ci=68NI7G_4kqQpipRxZEMPF4Uw%7Ctr=gfa%7Cct=mq4q2gq9%7Chk=4f56d9aa009f3eefefb50e7d22582c4db631ff71%7Cnacn=tJxhBgALQMiA" xr:uid="{00000000-0004-0000-0300-000042000000}"/>
    <hyperlink ref="G69" r:id="rId68" display="http://newstart-law.com/?inType=nim003&amp;NaPm=ci=68TITNvvuTRH2U89je91FScg%7Ctr=gfa%7Cct=mq4sagds%7Chk=d7b5ee3fc1e54a390f6dfbd1fe0a1b2cada5b3ac%7Cnacn=oeeLFgDqMuDRC" xr:uid="{00000000-0004-0000-0300-000043000000}"/>
    <hyperlink ref="G70" r:id="rId69" display="https://newstart-law.com/" xr:uid="{00000000-0004-0000-0300-000044000000}"/>
    <hyperlink ref="G71" r:id="rId70" display="https://newstart-law.com/" xr:uid="{00000000-0004-0000-0300-000045000000}"/>
    <hyperlink ref="G72" r:id="rId71" display="https://newstart-law.com/" xr:uid="{00000000-0004-0000-0300-000046000000}"/>
    <hyperlink ref="G73" r:id="rId72" display="https://newstart-law.com/" xr:uid="{00000000-0004-0000-0300-000047000000}"/>
    <hyperlink ref="G74" r:id="rId73" display="https://newstart-law.com/" xr:uid="{00000000-0004-0000-0300-000048000000}"/>
    <hyperlink ref="G75" r:id="rId74" display="https://newstart-law.com/" xr:uid="{00000000-0004-0000-0300-000049000000}"/>
    <hyperlink ref="G76" r:id="rId75" display="https://newstart-law.com/" xr:uid="{00000000-0004-0000-0300-00004A000000}"/>
    <hyperlink ref="G77" r:id="rId76" display="https://newstart-law.com/" xr:uid="{00000000-0004-0000-0300-00004B000000}"/>
    <hyperlink ref="G78" r:id="rId77" display="https://newstart-law.com/?inType=NIP002&amp;NaPm=ci=68Xud37aWeSC-AVn5ttM6DCQ%7Ctr=gfa%7Cct=mq4w0cdd%7Chk=4d82135bccba00f63c672c999130f49c19badbe2%7Cnacn=rwkkBERszkmS" xr:uid="{00000000-0004-0000-0300-00004C000000}"/>
    <hyperlink ref="G79" r:id="rId78" display="https://newstart-law.com/" xr:uid="{00000000-0004-0000-0300-00004D000000}"/>
    <hyperlink ref="G80" r:id="rId79" display="https://newstart-law.com/" xr:uid="{00000000-0004-0000-0300-00004E000000}"/>
    <hyperlink ref="G81" r:id="rId80" display="https://newstart-law.com/" xr:uid="{00000000-0004-0000-0300-00004F000000}"/>
    <hyperlink ref="G82" r:id="rId81" display="https://newstart-law.com/" xr:uid="{00000000-0004-0000-0300-000050000000}"/>
    <hyperlink ref="G83" r:id="rId82" display="https://newstart-law.com/" xr:uid="{00000000-0004-0000-0300-000051000000}"/>
    <hyperlink ref="G84" r:id="rId83" display="https://newstart-law.com/" xr:uid="{00000000-0004-0000-0300-000052000000}"/>
    <hyperlink ref="G85" r:id="rId84" display="https://newstart-law.com/" xr:uid="{00000000-0004-0000-0300-000053000000}"/>
    <hyperlink ref="G86" r:id="rId85" display="http://newstart-law.com/?inType=nim003&amp;NaPm=ci=68VHX9iz4mQnGVOjKFJEyCNA%7Ctr=gfa%7Cct=mq50krge%7Chk=fd5fd31433b54101ad6e0e45430dac37fd0d644a%7Cnacn=L7MPBgALf9fnB" xr:uid="{00000000-0004-0000-0300-000054000000}"/>
    <hyperlink ref="G87" r:id="rId86" display="https://www.newstart-law.com/?inType=NK&amp;n_media=8753&amp;n_query=%EA%B0%9C%EC%9D%B8%ED%8C%8C%EC%82%B0&amp;n_rank=4&amp;n_ad_group=grp-a001-01-000000063065512&amp;n_ad=nad-a001-01-000000485213833&amp;n_keyword_id=nkw-a001-01-000007934684740&amp;n_keyword=%EA%B0%9C%EC%9D%B8%ED%8C%8C%EC%82%B0&amp;n_campaign_type=1&amp;n_ad_group_type=1&amp;n_match=1&amp;NaPm=ct=mq58az1d%7Cci=ER6ce34521-633b-11f1-80c8-de87d1933367%7Ctr=sa%7Chk=3f0d6472ca842a44ab4969e7d9e7c8952dcbaa75%7Cnacn=Rr9dBAhxrzC5" xr:uid="{00000000-0004-0000-0300-000055000000}"/>
    <hyperlink ref="G88" r:id="rId87" display="http://newstart-law.com/?inType=nim_sq02&amp;NaPm=ci=695mJ1nt-dSV6WPBn1Nruiqg%7Ctr=gfa%7Cct=mq5vt0mj%7Chk=81719d811dda4963a610d68268a46b84cbc8791c%7Cnacn=YHOeDIiVGVZJB" xr:uid="{00000000-0004-0000-0300-000056000000}"/>
    <hyperlink ref="G89" r:id="rId88" display="http://newstart-law.com/?inType=NIM001&amp;NaPm=ci=69jtSx8YaeQaugPyty4wN5HQ%7Ctr=gfa%7Cct=mq5xy9n0%7Chk=6d27c2306d71ce5a96d9391c8db202d929f2ea0c%7Cnacn=yTNEBcQNjj5k" xr:uid="{00000000-0004-0000-0300-000057000000}"/>
    <hyperlink ref="G90" r:id="rId89" display="http://newstart-law.com/?inType=nim003&amp;NaPm=ci=69mSfh_d7MQdu3ukEz3zKtEA%7Ctr=gfa%7Cct=mq5ye1so%7Chk=0a292e0100b99b27e4a571050d4b3927ac4b2e2f%7Cnacn=oYz5BABAW6hv" xr:uid="{00000000-0004-0000-0300-000058000000}"/>
    <hyperlink ref="G91" r:id="rId90" display="http://newstart-law.com/?inType=nim003&amp;NaPm=ci=69fRSWAsS3Q5qpPw4q8PsLTw%7Ctr=gfa%7Cct=mq5zjh34%7Chk=fb89f27a29fda897aed7f8e1c526852d16845006%7Cnacn=XKx1B8AGSVnn" xr:uid="{00000000-0004-0000-0300-000059000000}"/>
    <hyperlink ref="G92" r:id="rId91" display="http://newstart-law.com/?inType=nim003&amp;NaPm=ci=69b_obtJ83QguL8y8D0lYY8g%7Ctr=gfa%7Cct=mq5zlh80%7Chk=f8f575fca6c02f88b5b3db5b0c148ffa3fc5fe1a%7Cnacn=a8eOD4An1WNnB" xr:uid="{00000000-0004-0000-0300-00005A000000}"/>
    <hyperlink ref="G93" r:id="rId92" display="http://newstart-law.com/?inType=nim_sq02&amp;NaPm=ci=69GWefEvKGQ8OGgzG88Nvxuw%7Ctr=gfa%7Cct=mq61lqfi%7Chk=4206e7ddc2dc28a110d9385837cbd36a078c0367%7Cnacn=eQfpFwB5PikrC" xr:uid="{00000000-0004-0000-0300-00005B000000}"/>
    <hyperlink ref="G94" r:id="rId93" display="https://newstart-law.com/" xr:uid="{00000000-0004-0000-0300-00005C000000}"/>
    <hyperlink ref="G95" r:id="rId94" display="http://newstart-law.com/?inType=NIM001&amp;NaPm=ci=69X2ItVYqHTVaDClaFzYMF-w%7Ctr=gfa%7Cct=mq6g10le%7Chk=e382071234a4b4977d5c1956043ac291138b96d2%7Cnacn=Re27DohHl3ZaA" xr:uid="{00000000-0004-0000-0300-00005D000000}"/>
    <hyperlink ref="G96" r:id="rId95" display="https://www.newstart-law.com/?inType=NK&amp;n_media=8753&amp;n_query=%EA%B0%9C%EC%9D%B8%ED%9A%8C%EC%83%9D%EC%A0%84%EB%AC%B8&amp;n_rank=5&amp;n_ad_group=grp-a001-01-000000063065632&amp;n_ad=nad-a001-01-000000495459382&amp;n_keyword_id=nkw-a001-01-000007951806264&amp;n_keyword=%EA%B0%9C%EC%9D%B8%ED%9A%8C%EC%83%9D%EC%A0%84%EB%AC%B8&amp;n_campaign_type=1&amp;n_ad_group_type=1&amp;n_match=1&amp;NaPm=ct=mq6nc4cf%7Cci=ERfe62197e-6402-11f1-bf4f-1e00a08223ef%7Ctr=sa%7Chk=9adfb4cfe65c2569c84e7caa1ae45e049770ff91%7Cnacn=Ieh5DIBzoyV" xr:uid="{00000000-0004-0000-0300-00005E000000}"/>
    <hyperlink ref="G97" r:id="rId96" display="http://newstart-law.com/?inType=NIP002&amp;NaPm=ci=6ar1Y3nwlnTfGqnM7X9AdPmw%7Ctr=gfa%7Cct=mq7felhm%7Chk=ab497edac6ed7ce361a9c6f39271b8274ec6b689%7Cnacn=PRFNBgQIWrcp" xr:uid="{00000000-0004-0000-0300-00005F000000}"/>
    <hyperlink ref="G98" r:id="rId97" display="http://newstart-law.com/?inType=nim003&amp;NaPm=ci=6aAs1faiYKSQCBA_grbovI_w%7Ctr=gfa%7Cct=mq7fqa1z%7Chk=4da13e86ca10fe45af28f73f65277ee3b99cfd85%7Cnacn=bIjfCghASS4WB" xr:uid="{00000000-0004-0000-0300-000060000000}"/>
    <hyperlink ref="G99" r:id="rId98" display="http://newstart-law.com/?inType=nim003&amp;NaPm=ci=6aAs1faiYKSQCBA_grbovI_w%7Ctr=gfa%7Cct=mq7fqa1z%7Chk=4da13e86ca10fe45af28f73f65277ee3b99cfd85%7Cnacn=bIjfCghASS4WB" xr:uid="{00000000-0004-0000-0300-000061000000}"/>
    <hyperlink ref="G100" r:id="rId99" display="http://newstart-law.com/?inType=nim003&amp;NaPm=ci=6aAs1faiYKSQCBA_grbovI_w%7Ctr=gfa%7Cct=mq7fqa1z%7Chk=4da13e86ca10fe45af28f73f65277ee3b99cfd85%7Cnacn=bIjfCghASS4WB" xr:uid="{00000000-0004-0000-0300-000062000000}"/>
    <hyperlink ref="G101" r:id="rId100" display="http://newstart-law.com/?inType=nim003&amp;NaPm=ci=6aAs1faiYKSQCBA_grbovI_w%7Ctr=gfa%7Cct=mq7fqa1z%7Chk=4da13e86ca10fe45af28f73f65277ee3b99cfd85%7Cnacn=bIjfCghASS4WB" xr:uid="{00000000-0004-0000-0300-000063000000}"/>
    <hyperlink ref="G102" r:id="rId101" display="https://newstart-law.com/?inType=NIP002&amp;NaPm=ci=6a1AyxqIVCQBufvxHyf5Ri5Q%7Ctr=gfa%7Cct=mq7l6zpw%7Chk=ea915b7a10504aa7b93aabb37b19139fbbdf92ba%7Cnacn=nQbUBEB7ts7b" xr:uid="{00000000-0004-0000-0300-000064000000}"/>
    <hyperlink ref="G103" r:id="rId102" display="http://newstart-law.com/?inType=nim003&amp;NaPm=ci=6a7ELDDOZvQM2xlZtCDHEJIw%7Ctr=gfa%7Cct=mq7ouovw%7Chk=46dac49725f17058c8f90fa19e29e3cd65afdc15%7Cnacn=IWr0B4Qf6jJFB" xr:uid="{00000000-0004-0000-0300-000065000000}"/>
    <hyperlink ref="G104" r:id="rId103" display="http://newstart-law.com/" xr:uid="{00000000-0004-0000-0300-000066000000}"/>
    <hyperlink ref="G105" r:id="rId104" display="http://newstart-law.com/" xr:uid="{00000000-0004-0000-0300-000067000000}"/>
    <hyperlink ref="G106" r:id="rId105" display="http://newstart-law.com/?inType=nim003&amp;NaPm=ci=6a7ELDDOZvQM2xlZtCDHEJIw%7Ctr=gfa%7Cct=mq7ouovw%7Chk=46dac49725f17058c8f90fa19e29e3cd65afdc15%7Cnacn=IWr0B4Qf6jJFB" xr:uid="{00000000-0004-0000-0300-000068000000}"/>
    <hyperlink ref="G107" r:id="rId106" display="http://newstart-law.com/" xr:uid="{00000000-0004-0000-0300-000069000000}"/>
    <hyperlink ref="G108" r:id="rId107" display="http://newstart-law.com/?inType=nim003&amp;NaPm=ci=6aB3YV-xmfTIWzA9MGagkKiw%7Ctr=gfa%7Cct=mq7u1m2x%7Chk=873539933f97bb5f7e683faad0c0be2d04b8bf6f%7Cnacn=ucx4BwgatR9X" xr:uid="{00000000-0004-0000-0300-00006A000000}"/>
    <hyperlink ref="G109" r:id="rId108" display="https://www.newstart-law.com/?inType=NK&amp;n_media=27758&amp;n_query=%EA%B0%9C%EC%9D%B8%ED%9A%8C%EC%83%9D%EC%8B%A0%EC%B2%AD%EC%9E%90%EA%B2%A9&amp;n_rank=7&amp;n_ad_group=grp-a001-01-000000063065651&amp;n_ad=nad-a001-01-000000485213838&amp;n_keyword_id=nkw-a001-01-000007951807343&amp;n_keyword=%EA%B0%9C%EC%9D%B8%ED%9A%8C%EC%83%9D%EC%8B%A0%EC%B2%AD%EC%9E%90%EA%B2%A9&amp;n_campaign_type=1&amp;n_ad_group_type=1&amp;n_match=1&amp;NaPm=ct=mq7w4bkc%7Cci=ER204c8cf5-64b2-11f1-9c04-a6396366f061%7Ctr=sa%7Chk=fb6a4280ff3f48358b1ef386" xr:uid="{00000000-0004-0000-0300-00006B000000}"/>
    <hyperlink ref="G110" r:id="rId109" display="http://newstart-law.com/?inType=nim_sq02&amp;NaPm=ci=6aAP4i3d7UQy-_l--L--nqkg%7Ctr=gfa%7Cct=mq7w5c9u%7Chk=c50a405be6fd8fde42af66e30300debebfe40d91%7Cnacn=O6o1BsQekH71B" xr:uid="{00000000-0004-0000-0300-00006C000000}"/>
    <hyperlink ref="G111" r:id="rId110" display="https://www.newstart-law.com/?inType=NK&amp;n_media=27758&amp;n_query=%EA%B0%9C%EC%9D%B8%ED%9A%8C%EC%83%9D&amp;n_rank=3&amp;n_ad_group=grp-a001-01-000000063063607&amp;n_ad=nad-a001-01-000000495459275&amp;n_keyword_id=nkw-a001-01-000007934681996&amp;n_keyword=%EA%B0%9C%EC%9D%B8%ED%9A%8C%EC%83%9D&amp;n_campaign_type=1&amp;n_ad_group_type=1&amp;n_match=1&amp;NaPm=ct=mq84wvzt%7Cci=ER83c50f1d-64d4-11f1-be5c-0eab824ce44d%7Ctr=sa%7Chk=4242d9aa323ba7a67d5038fc1b626c49e36ddf14%7Cnacn=6PBEBAxe7trLA" xr:uid="{00000000-0004-0000-0300-00006D000000}"/>
    <hyperlink ref="G112" r:id="rId111" display="https://www.newstart-law.com/?inType=NK&amp;n_media=27758&amp;n_query=%EA%B0%9C%EC%9D%B8%ED%9A%8C%EC%83%9D&amp;n_rank=3&amp;n_ad_group=grp-a001-01-000000063063607&amp;n_ad=nad-a001-01-000000495459275&amp;n_keyword_id=nkw-a001-01-000007934681996&amp;n_keyword=%EA%B0%9C%EC%9D%B8%ED%9A%8C%EC%83%9D&amp;n_campaign_type=1&amp;n_ad_group_type=1&amp;n_match=1&amp;NaPm=ct=mq84wvzt%7Cci=ER83c50f1d-64d4-11f1-be5c-0eab824ce44d%7Ctr=sa%7Chk=4242d9aa323ba7a67d5038fc1b626c49e36ddf14%7Cnacn=6PBEBAxe7trLA" xr:uid="{00000000-0004-0000-0300-00006E000000}"/>
    <hyperlink ref="G113" r:id="rId112" display="https://www.newstart-law.com/?inType=NK&amp;n_media=27758&amp;n_query=%EA%B0%9C%EC%9D%B8%ED%9A%8C%EC%83%9D&amp;n_rank=2&amp;n_ad_group=grp-a001-01-000000063063607&amp;n_ad=nad-a001-01-000000495459275&amp;n_keyword_id=nkw-a001-01-000007934681996&amp;n_keyword=%EA%B0%9C%EC%9D%B8%ED%9A%8C%EC%83%9D&amp;n_campaign_type=1&amp;n_ad_group_type=1&amp;n_match=1&amp;NaPm=ct=mq85tx90%7Cci=ER1a70f561-64d8-11f1-8c5d-c6b3905ab0bb%7Ctr=sa%7Chk=4b2e95521f88eb0a12654d52399ffed3b456a4d6%7Cnacn=DeuFCwAYH7fnB" xr:uid="{00000000-0004-0000-0300-00006F000000}"/>
    <hyperlink ref="G114" r:id="rId113" display="http://newstart-law.com/?inType=nim_sq02&amp;NaPm=ci=6bQSUAwFBuRdCokgXa3L55gg%7Ctr=gfa%7Cct=mq8omnhb%7Chk=42fa8797257050ab36b51bcfbb09017aff8aa2bf%7Cnacn=FrB4B0QzRIhD" xr:uid="{00000000-0004-0000-0300-000070000000}"/>
    <hyperlink ref="G115" r:id="rId114" display="https://newstart-law.com/?inType=nim_sq02&amp;NaPm=ci=6bmgBHnt6fSMu8AaHh1kjNLw%7Ctr=gfa%7Cct=mq8wqlh9%7Chk=3dc5267c29265daafa3e0d384329c6ecde5c6401%7Cnacn=RMYxB0wru28s" xr:uid="{00000000-0004-0000-0300-000071000000}"/>
    <hyperlink ref="G116" r:id="rId115" display="http://newstart-law.com/?inType=nim_sq02&amp;NaPm=ci=6bQSUAwFBuRdCokgXa3L55gg%7Ctr=gfa%7Cct=mq8omnhb%7Chk=42fa8797257050ab36b51bcfbb09017aff8aa2bf%7Cnacn=FrB4B0QzRIhD" xr:uid="{00000000-0004-0000-0300-000072000000}"/>
    <hyperlink ref="G117" r:id="rId116" display="https://newstart-law.com/?inType=NIM001&amp;NaPm=ci=6bh7iIM4glSuy2gdqSkiCkOg%7Ctr=gfa%7Cct=mq8x76vc%7Chk=c44f8c95ff1b67b938b878701b27a3fbfaa2a9bb%7Cnacn=B8WjBEBWHKrK" xr:uid="{00000000-0004-0000-0300-000073000000}"/>
    <hyperlink ref="G118" r:id="rId117" display="http://newstart-law.com/?inType=nim003&amp;NaPm=ci=6bYLBCgnBhQSavln-Wbe8BVw%7Ctr=gfa%7Cct=mq8yf5cr%7Chk=eead99989d900d58b1fe4f94a1006d942cd0c57a%7Cnacn=zZaJBMwH0qqeB" xr:uid="{00000000-0004-0000-0300-000074000000}"/>
    <hyperlink ref="G119" r:id="rId118" display="http://newstart-law.com/?inType=nim003&amp;NaPm=ci=6bXDUuJusGQZiRFKFkxcPsug%7Ctr=gfa%7Cct=mq8yfsar%7Chk=689b173c05310585ee03537d31bca20c88f3cc1d%7Cnacn=wet6DQhrQksXA" xr:uid="{00000000-0004-0000-0300-000075000000}"/>
    <hyperlink ref="G120" r:id="rId119" display="http://newstart-law.com/?inType=nim003&amp;NaPm=ci=6brrtc9LJ6T82RGr4ZkyqaUw%7Ctr=gfa%7Cct=mq8ylf9o%7Chk=38aa66f370114c719bfc9a418eacd11b22958bf6%7Cnacn=O4eODYAR8nbKB" xr:uid="{00000000-0004-0000-0300-000076000000}"/>
    <hyperlink ref="G121" r:id="rId120" display="http://newstart-law.com/?inType=nim003&amp;NaPm=ci=6bWLJRUksGSESZFGw_XfIZDw%7Ctr=gfa%7Cct=mq8ysgcp%7Chk=bf0471736463d88b57f626b5fd4dc5dcc9863813%7Cnacn=fbvFDohiFIO8B" xr:uid="{00000000-0004-0000-0300-000077000000}"/>
    <hyperlink ref="G122" r:id="rId121" display="http://newstart-law.com/?inType=nim003&amp;NaPm=ci=6bvmF44egVQGKwAAM4EvErHQ%7Ctr=gfa%7Cct=mq90h51e%7Chk=4aa66985c58a664a331ee58004af4f302f76ec0a%7Cnacn=JPYMB4QsuKoT" xr:uid="{00000000-0004-0000-0300-000078000000}"/>
    <hyperlink ref="G123" r:id="rId122" display="https://newstart-law.com/?inType=NIP002&amp;NaPm=ci=6b8hjBPyuPQfm7Dm-i-iu8WA%7Ctr=gfa%7Cct=mq90fuz4%7Chk=7f51fa592483385c46e459074c531ed936a94b3f%7Cnacn=cd8kB4gimiGu" xr:uid="{00000000-0004-0000-0300-000079000000}"/>
    <hyperlink ref="G124" r:id="rId123" display="http://newstart-law.com/?inType=nim003&amp;NaPm=ci=6bK5gzVoq3RZyYSEcXysUz2w%7Ctr=gfa%7Cct=mq93kxbg%7Chk=d155ed9b66c3d21e82028979d4e86b69a815470a%7Cnacn=XAsRBsweJRCGB" xr:uid="{00000000-0004-0000-0300-00007A000000}"/>
    <hyperlink ref="G125" r:id="rId124" display="http://newstart-law.com/?inType=nim003&amp;NaPm=ci=6b-CpG7p8-Tf-nAK0lYU1_cw%7Ctr=gfa%7Cct=mq9bqrd4%7Chk=02459faa2d05f6282c09617649a59fa66d7e7802%7Cnacn=wvBPB0AkgXQE" xr:uid="{00000000-0004-0000-0300-00007B000000}"/>
    <hyperlink ref="G126" r:id="rId125" display="http://newstart-law.com/?inType=nim003&amp;NaPm=ci=6bQX5438-jSLOpm6-g5Gz8vg%7Ctr=gfa%7Cct=mq9big0y%7Chk=580838f28e11f15c83f9ed91c250ca5a86d37587%7Cnacn=z7upBwgV2EXE" xr:uid="{00000000-0004-0000-0300-00007C000000}"/>
    <hyperlink ref="G127" r:id="rId126" display="https://www.newstart-law.com/?inType=NK&amp;n_media=8753&amp;n_query=%EA%B0%9C%EC%9D%B8%ED%8C%8C%EC%82%B0%EC%8B%A0%EC%B2%AD&amp;n_rank=1&amp;n_ad_group=grp-a001-01-000000063065674&amp;n_ad=nad-a001-01-000000485213839&amp;n_keyword_id=nkw-a001-01-000007951811270&amp;n_keyword=%EA%B0%9C%EC%9D%B8%ED%8C%8C%EC%82%B0%EC%8B%A0%EC%B2%AD&amp;n_campaign_type=1&amp;n_ad_group_type=1&amp;n_match=1&amp;NaPm=ct=mq9nnunt%7Cci=ER9e8f8f3a-65aa-11f1-ab03-66394830e525%7Ctr=sa%7Chk=f49d9644ef355ae17c003db0a7a741f0295f4c75%7Cnacn=B3rTBggEzYL" xr:uid="{00000000-0004-0000-0300-00007D000000}"/>
    <hyperlink ref="G128" r:id="rId127" display="https://www.newstart-law.com/?inType=NK&amp;n_media=8753&amp;n_query=%EA%B0%9C%EC%9D%B8%ED%8C%8C%EC%82%B0%EC%8B%A0%EC%B2%AD&amp;n_rank=1&amp;n_ad_group=grp-a001-01-000000063065674&amp;n_ad=nad-a001-01-000000485213839&amp;n_keyword_id=nkw-a001-01-000007951811270&amp;n_keyword=%EA%B0%9C%EC%9D%B8%ED%8C%8C%EC%82%B0%EC%8B%A0%EC%B2%AD&amp;n_campaign_type=1&amp;n_ad_group_type=1&amp;n_match=1&amp;NaPm=ct=mq9nnunt%7Cci=ER9e8f8f3a-65aa-11f1-ab03-66394830e525%7Ctr=sa%7Chk=f49d9644ef355ae17c003db0a7a741f0295f4c75%7Cnacn=B3rTBggEzYL" xr:uid="{00000000-0004-0000-0300-00007E000000}"/>
    <hyperlink ref="G129" r:id="rId128" display="http://newstart-law.com/?inType=nim003&amp;NaPm=ci=6cyxyoh5IrRWaKGHIgecXMmQ%7Ctr=gfa%7Cct=mqaec1p0%7Chk=d2bea60ac7ed048842c9cfd5038671ea51c19e01%7Cnacn=z7xxBggxOOUL" xr:uid="{00000000-0004-0000-0300-00007F000000}"/>
    <hyperlink ref="G130" r:id="rId129" display="http://newstart-law.com/" xr:uid="{00000000-0004-0000-0300-000080000000}"/>
    <hyperlink ref="G131" r:id="rId130" display="http://newstart-law.com/?inType=nim003&amp;NaPm=ci=6cLu6TcBU1Q3asK4AO5q4GZw%7Ctr=gfa%7Cct=mqaemcq1%7Chk=24cf4a4a66f28a0bdfbd7582a38e6c6be1a9048f%7Cnacn=BrB7BABg2UPH" xr:uid="{00000000-0004-0000-0300-000081000000}"/>
    <hyperlink ref="G132" r:id="rId131" display="http://newstart-law.com/?inType=NIM001&amp;NaPm=ci=6cH7WRNCpvSZmMl6an3_Xwmw%7Ctr=gfa%7Cct=mqaeyj3u%7Chk=cb340f83435734c308f44e5871012400c2d5a41b%7Cnacn=KYUAB0gi7rWN" xr:uid="{00000000-0004-0000-0300-000082000000}"/>
    <hyperlink ref="G133" r:id="rId132" display="https://newstart-law.com/?inType=NIP002&amp;NaPm=ci=6cvWOhkoV7SemwWHgz_z3QKA%7Ctr=gfa%7Cct=mqaj7fnn%7Chk=a5c9d2ddc0a7339154b9dbdd744775558648435b%7Cnacn=TGa5B0guiOAo" xr:uid="{00000000-0004-0000-0300-000083000000}"/>
    <hyperlink ref="G134" r:id="rId133" display="http://newstart-law.com/?inType=NIM001&amp;NaPm=ci=6cZkFJjOVxTGWtJ1WMv81-3w%7Ctr=gfa%7Cct=mqak08ia%7Chk=023949f6901ed1968bc0cafc9ba6f24d31b7d9dd%7Cnacn=pEZVBcA23ge9B" xr:uid="{00000000-0004-0000-0300-000084000000}"/>
    <hyperlink ref="G135" r:id="rId134" location="lawyer" display="https://newstart-law.com/?inType=NIP002&amp;NaPm=ci=6cvWOhkoV7SemwWHgz_z3QKA%7Ctr=gfa%7Cct=mqaj7fnn%7Chk=a5c9d2ddc0a7339154b9dbdd744775558648435b%7Cnacn=TGa5B0guiOAo - lawyer" xr:uid="{00000000-0004-0000-0300-000085000000}"/>
    <hyperlink ref="G136" r:id="rId135" display="http://newstart-law.com/?inType=NIM001&amp;NaPm=ci=6cgXmUUKA2QC-on-I8cqxNlA%7Ctr=gfa%7Cct=mqappf4q%7Chk=71b5debd510ff9d4c752bca4797007d72e494241%7Cnacn=mvZzBcQIyedxA" xr:uid="{00000000-0004-0000-0300-000086000000}"/>
    <hyperlink ref="G137" r:id="rId136" display="http://newstart-law.com/?inType=NIM001&amp;NaPm=ci=6cEypGijkXRk2mghNIqtadvg%7Ctr=gfa%7Cct=mqaq95jy%7Chk=646dcf101dc2581e329f46cb0daff1c6fcf5003d%7Cnacn=gu6QBowLfe4zC" xr:uid="{00000000-0004-0000-0300-000087000000}"/>
    <hyperlink ref="G138" r:id="rId137" display="https://www.newstart-law.com/?inType=NK&amp;n_media=8753&amp;n_query=%EA%B0%9C%EC%9D%B8%ED%9A%8C%EC%83%9D%EC%83%81%EB%8B%B4&amp;n_rank=6&amp;n_ad_group=grp-a001-01-000000063065632&amp;n_ad=nad-a001-01-000000495459382&amp;n_keyword_id=nkw-a001-01-000007951806239&amp;n_keyword=%EA%B0%9C%EC%9D%B8%ED%9A%8C%EC%83%9D%EC%83%81%EB%8B%B4&amp;n_campaign_type=1&amp;n_ad_group_type=1&amp;n_match=1&amp;NaPm=ct=mqav3umx%7Cci=ER840a9cfe-6654-11f1-ab06-1ea546b79348%7Ctr=sa%7Chk=53edcf8a6dc1a0594d34c40f64546f1f9cf2c14d%7Cnacn=mu1WB0ARIEf" xr:uid="{00000000-0004-0000-0300-000088000000}"/>
    <hyperlink ref="G139" r:id="rId138" display="http://newstart-law.com/?inType=nim003&amp;NaPm=ci=6fmbySt30VTsyOMnxjE-hmDQ%7Ctr=gfa%7Cct=mqehl61w%7Chk=9601585f5cb2f9842299ccd3659cd7c13f52b828%7Cnacn=0WhiB4gXBrfcB" xr:uid="{00000000-0004-0000-0300-000089000000}"/>
    <hyperlink ref="G140" r:id="rId139" display="http://newstart-law.com/?inType=nim003&amp;NaPm=ci=6f9Zg876d5QHCEBNGanbYhsw%7Ctr=gfa%7Cct=mqei0ubp%7Chk=4556293d6a86220fd69ea1aa71490fc66afc6204%7Cnacn=6BNnBcg6jXiR" xr:uid="{00000000-0004-0000-0300-00008A000000}"/>
    <hyperlink ref="G141" r:id="rId140" display="http://newstart-law.com/?inType=nim003&amp;NaPm=ci=6f9Zg876d5QHCEBNGanbYhsw%7Ctr=gfa%7Cct=mqei0ubp%7Chk=4556293d6a86220fd69ea1aa71490fc66afc6204%7Cnacn=6BNnBcg6jXiR" xr:uid="{00000000-0004-0000-0300-00008B000000}"/>
    <hyperlink ref="G142" r:id="rId141" display="https://www.newstart-law.com/?inType=NK&amp;n_media=27758&amp;n_query=%EA%B0%9C%EC%9D%B8%ED%9A%8C%EC%83%9D%EC%8B%A0%EC%B2%AD&amp;n_rank=8&amp;n_ad_group=grp-a001-01-000000063065651&amp;n_ad=nad-a001-01-000000485213838&amp;n_keyword_id=nkw-a001-01-000007951807444&amp;n_keyword=%EA%B0%9C%EC%9D%B8%ED%9A%8C%EC%83%9D%EC%8B%A0%EC%B2%AD&amp;n_campaign_type=1&amp;n_ad_group_type=1&amp;n_match=1&amp;NaPm=ct=mqeo4p9l%7Cci=ER5e654e2f-686c-11f1-bf4f-1e00a08223ef%7Ctr=sa%7Chk=17e0371b103cd515e9be4b26eb11d1f6725e91b8%7Cnacn=6PBEBAxe7t" xr:uid="{00000000-0004-0000-0300-00008C000000}"/>
    <hyperlink ref="G143" r:id="rId142" display="https://newstart-law.com/?inType=NIM001&amp;NaPm=ci=6fcYuM9c5NS0WbbgnF3GLMrA%7Ctr=gfa%7Cct=mqesdyff%7Chk=45659023e18543541485c1e9fe925b2257d0bd00%7Cnacn=fYM6CohxT56ZB" xr:uid="{00000000-0004-0000-0300-00008D000000}"/>
    <hyperlink ref="G144" r:id="rId143" display="http://newstart-law.com/?inType=nim003&amp;NaPm=ci=6fIIWmfyMlR5q4uAQYzV8pTQ%7Ctr=gfa%7Cct=mqeufvgl%7Chk=5295e30cd4f50ed434e22370ccec3e2efb12c7b9%7Cnacn=o7rGB0gx3fvVB" xr:uid="{00000000-0004-0000-0300-00008E000000}"/>
    <hyperlink ref="G145" r:id="rId144" display="http://newstart-law.com/?inType=nim003&amp;NaPm=ci=6fxLNwEIzqRf6KIK7J0eBhUg%7Ctr=gfa%7Cct=mqeylg9v%7Chk=8fac93861effa8839e5ea53f9cb7366c96dda67a%7Cnacn=65xsB8QHtoWS" xr:uid="{00000000-0004-0000-0300-00008F000000}"/>
    <hyperlink ref="G146" r:id="rId145" display="http://newstart-law.com/?inType=nim003&amp;NaPm=ci=6fxVF6O0kAQq2GRWiou7cilQ%7Ctr=gfa%7Cct=mqeynmaj%7Chk=426d4dfe5ab09f57df597c82b5ead2150908ccc8%7Cnacn=9YTFB4QedXchA" xr:uid="{00000000-0004-0000-0300-000090000000}"/>
    <hyperlink ref="G147" r:id="rId146" display="http://newstart-law.com/?inType=nim003&amp;NaPm=ci=6fZRNK9Zq8QVePnUzKUxuIIA%7Ctr=gfa%7Cct=mqeywxzr%7Chk=70662b7b21af31fd061d0ad4a4c6ec89e70d966c%7Cnacn=i48gB0AFUwsfB" xr:uid="{00000000-0004-0000-0300-000091000000}"/>
    <hyperlink ref="G148" r:id="rId147" display="https://www.newstart-law.com/?inType=NK&amp;n_media=27758&amp;n_query=%EA%B0%9C%EC%9D%B8%ED%8C%8C%EC%82%B0&amp;n_rank=3&amp;n_ad_group=grp-a001-01-000000063065534&amp;n_ad=nad-a001-01-000000495460313&amp;n_keyword_id=nkw-a001-01-000007934685920&amp;n_keyword=%EA%B0%9C%EC%9D%B8%ED%8C%8C%EC%82%B0&amp;n_campaign_type=1&amp;n_ad_group_type=1&amp;n_match=1&amp;NaPm=ct=mqf7tvjd%7Cci=ER67ec3e1c-68b9-11f1-8417-ee7071f53ab0%7Ctr=sa%7Chk=0781687e65f92619f46ec02291d08e69cd0da070%7Cnacn=EioeDoBdBvQIA" xr:uid="{00000000-0004-0000-0300-000092000000}"/>
    <hyperlink ref="G149" r:id="rId148" display="https://www.newstart-law.com/?inType=NK&amp;n_media=27758&amp;n_query=%EA%B0%9C%EC%9D%B8%ED%9A%8C%EC%83%9D&amp;n_rank=5&amp;n_ad_group=grp-a001-01-000000063063607&amp;n_ad=nad-a001-01-000000495459275&amp;n_keyword_id=nkw-a001-01-000007934681996&amp;n_keyword=%EA%B0%9C%EC%9D%B8%ED%9A%8C%EC%83%9D&amp;n_campaign_type=1&amp;n_ad_group_type=1&amp;n_match=1&amp;NaPm=ct=mqfuhtqs%7Cci=ER0acc396d-6912-11f1-9593-86ae5db11087%7Ctr=sa%7Chk=c96c22e467fe0799218086cf8af8491a506e4bb2%7Cnacn=GIHxBwAvn61t" xr:uid="{00000000-0004-0000-0300-000093000000}"/>
    <hyperlink ref="G150" r:id="rId149" display="https://www.newstart-law.com/?inType=NK&amp;n_media=27758&amp;n_query=%EA%B0%9C%EC%9D%B8%ED%9A%8C%EC%83%9D&amp;n_rank=5&amp;n_ad_group=grp-a001-01-000000063063607&amp;n_ad=nad-a001-01-000000495459275&amp;n_keyword_id=nkw-a001-01-000007934681996&amp;n_keyword=%EA%B0%9C%EC%9D%B8%ED%9A%8C%EC%83%9D&amp;n_campaign_type=1&amp;n_ad_group_type=1&amp;n_match=1&amp;NaPm=ct=mqfuhtqs%7Cci=ER0acc396d-6912-11f1-9593-86ae5db11087%7Ctr=sa%7Chk=c96c22e467fe0799218086cf8af8491a506e4bb2%7Cnacn=GIHxBwAvn61t" xr:uid="{00000000-0004-0000-0300-000094000000}"/>
    <hyperlink ref="G151" r:id="rId150" display="http://newstart-law.com/?inType=nim003&amp;NaPm=ci=6gog39UldYTT6nGQr59vNifw%7Ctr=gfa%7Cct=mqfychds%7Chk=f1408f901a82121d5b077ab99c229b55d67a114e%7Cnacn=d0YXBwgVHptv" xr:uid="{00000000-0004-0000-0300-000095000000}"/>
    <hyperlink ref="G152" r:id="rId151" display="http://newstart-law.com/?inType=nim003&amp;NaPm=ci=6gUtu4I6eTTJy5wJ99WYzT5A%7Ctr=gfa%7Cct=mqfxytku%7Chk=5e5c7b63849d652e8c1bfcbb3ed430e7e91ddbd8%7Cnacn=1JLyBgQUe1DWA" xr:uid="{00000000-0004-0000-0300-000096000000}"/>
    <hyperlink ref="G153" r:id="rId152" display="http://newstart-law.com/?inType=nim003&amp;NaPm=ci=6gqaHIIOSUSqeyb_ka2PMhJw%7Ctr=gfa%7Cct=mqg7lwu3%7Chk=2ff0a27141ae91583caaab7118b23a9b3f69e98a%7Cnacn=j9IbBcg6eY9fD" xr:uid="{00000000-0004-0000-0300-000097000000}"/>
    <hyperlink ref="G154" r:id="rId153" display="https://www.newstart-law.com/?inType=NK&amp;n_media=27758&amp;n_query=%EB%B6%80%EC%82%B0%EA%B0%9C%EC%9D%B8%ED%9A%8C%EC%83%9D&amp;n_rank=6&amp;n_ad_group=grp-a001-01-000000063065651&amp;n_ad=nad-a001-01-000000495459437&amp;n_keyword_id=nkw-a001-01-000007951807339&amp;n_keyword=%EB%B6%80%EC%82%B0%EA%B0%9C%EC%9D%B8%ED%9A%8C%EC%83%9D&amp;n_campaign_type=1&amp;n_ad_group_type=1&amp;n_match=1&amp;NaPm=ct=mqgbodqu%7Cci=ER3c4c8459-6955-11f1-a5fc-82ec60f2b278%7Ctr=sa%7Chk=4ee5d49bd43e5ae39472bcf6f19f52788add6a02%7Cnacn=xneACoBfeN" xr:uid="{00000000-0004-0000-0300-000098000000}"/>
    <hyperlink ref="G155" r:id="rId154" display="https://newstart-law.com/?inType=nim_sq02&amp;NaPm=ci=6gadg-6OnGTsaGmuHAxEln0g%7Ctr=gfa%7Cct=mqgebxs8%7Chk=18a6f4c1dcb9ce24fa207fcee2d3a119d809e927%7Cnacn=RMYxB0wru28s" xr:uid="{00000000-0004-0000-0300-000099000000}"/>
    <hyperlink ref="G156" r:id="rId155" display="http://newstart-law.com/?inType=nim003&amp;NaPm=ci=6gPRhgc-lnTNu_M30nAHDczg%7Ctr=gfa%7Cct=mqgfh86x%7Chk=a92871bde8142b5fb50dc186285688e0d498a25d%7Cnacn=fdSMCoBSrGeoD" xr:uid="{00000000-0004-0000-0300-00009A000000}"/>
    <hyperlink ref="G157" r:id="rId156" display="http://newstart-law.com/?inType=nim_sq02&amp;NaPm=ci=6gFzyjke1xRFahcH5tS6v5BA%7Ctr=gfa%7Cct=mqgfjw8v%7Chk=91003262fafd8c3c172e7698a14ab17d9c0ff9a5%7Cnacn=yRXZB0wnZ7Bj" xr:uid="{00000000-0004-0000-0300-00009B000000}"/>
    <hyperlink ref="G158" r:id="rId157" display="http://newstart-law.com/?inType=nim003&amp;NaPm=ci=6ghvICwp2vRouU7ULxaUUpYg%7Ctr=gfa%7Cct=mqgfmczv%7Chk=4db3bdc48a17e1f15245a846ea93258b57d52c3d%7Cnacn=GxLUBUAYaImH" xr:uid="{00000000-0004-0000-0300-00009C000000}"/>
    <hyperlink ref="G159" r:id="rId158" display="http://newstart-law.com/?inType=nim003&amp;NaPm=ci=6gFQo_DVCuQaCI8SUiivL0qQ%7Ctr=gfa%7Cct=mqgg0q7z%7Chk=ad22e562d54a36425b7946aaab3507dbb3e2faf7%7Cnacn=jkTNBEBI7zIc" xr:uid="{00000000-0004-0000-0300-00009D000000}"/>
    <hyperlink ref="G160" r:id="rId159" display="https://www.newstart-law.com/?inType=NK&amp;n_media=8753&amp;n_query=%EA%B0%9C%EC%9D%B8%ED%9A%8C%EC%83%9D&amp;n_rank=9&amp;n_ad_group=grp-a001-01-000000063063767&amp;n_ad=nad-a001-01-000000495340403&amp;n_keyword_id=nkw-a001-01-000007934680459&amp;n_keyword=%EA%B0%9C%EC%9D%B8%ED%9A%8C%EC%83%9D&amp;n_campaign_type=1&amp;n_ad_group_type=1&amp;n_match=1&amp;NaPm=ct=mqgi8sck%7Cci=ERea899514-696e-11f1-95f0-7a377ecd8059%7Ctr=sa%7Chk=21c4ca3e9302724e8d268bb35ec2b8ffd98358db%7Cnacn=DMc4B0gOjtp7" xr:uid="{00000000-0004-0000-0300-00009E000000}"/>
    <hyperlink ref="G161" r:id="rId160" display="https://www.newstart-law.com/?inType=NK&amp;n_media=8753&amp;n_query=%EA%B0%9C%EC%9D%B8%ED%9A%8C%EC%83%9D&amp;n_rank=9&amp;n_ad_group=grp-a001-01-000000063063767&amp;n_ad=nad-a001-01-000000495340403&amp;n_keyword_id=nkw-a001-01-000007934680459&amp;n_keyword=%EA%B0%9C%EC%9D%B8%ED%9A%8C%EC%83%9D&amp;n_campaign_type=1&amp;n_ad_group_type=1&amp;n_match=1&amp;NaPm=ct=mqgi8sck%7Cci=ERea899514-696e-11f1-95f0-7a377ecd8059%7Ctr=sa%7Chk=21c4ca3e9302724e8d268bb35ec2b8ffd98358db%7Cnacn=DMc4B0gOjtp7" xr:uid="{00000000-0004-0000-0300-00009F000000}"/>
    <hyperlink ref="G162" r:id="rId161" display="https://www.newstart-law.com/?inType=NK&amp;n_media=8753&amp;n_query=%EA%B0%9C%EC%9D%B8%ED%9A%8C%EC%83%9D%EC%8B%A0%EC%B2%AD%EC%9E%90%EA%B2%A9&amp;n_rank=3&amp;n_ad_group=grp-a001-01-000000063065632&amp;n_ad=nad-a001-01-000000485213835&amp;n_keyword_id=nkw-a001-01-000007951806209&amp;n_keyword=%EA%B0%9C%EC%9D%B8%ED%9A%8C%EC%83%9D%EC%8B%A0%EC%B2%AD%EC%9E%90%EA%B2%A9&amp;n_campaign_type=1&amp;n_ad_group_type=1&amp;n_match=1&amp;NaPm=ct=mqgktfup%7Cci=ERfb227fe2-6978-11f1-bfb3-4acd10d65935%7Ctr=sa%7Chk=1f2a25b464f53531e4871fd0e" xr:uid="{00000000-0004-0000-0300-0000A0000000}"/>
    <hyperlink ref="G163" r:id="rId162" display="https://www.newstart-law.com/?inType=NK&amp;n_media=8753&amp;n_query=%ED%8C%8C%EC%82%B0%EC%8B%A0%EC%B2%AD&amp;n_rank=1&amp;n_ad_group=grp-a001-01-000000063065674&amp;n_ad=nad-a001-01-000000485213839&amp;n_keyword_id=nkw-a001-01-000007951811266&amp;n_keyword=%ED%8C%8C%EC%82%B0%EC%8B%A0%EC%B2%AD&amp;n_campaign_type=1&amp;n_ad_group_type=1&amp;n_match=1&amp;NaPm=ct=mqgpjiog%7Cci=ER74df5523-698b-11f1-85dc-12882e70cd6b%7Ctr=sa%7Chk=f39b2e9416fcff5185a7d280c0e5da54fce41577%7Cnacn=PfRQD4A0ZWejB" xr:uid="{00000000-0004-0000-0300-0000A1000000}"/>
    <hyperlink ref="G164" r:id="rId163" display="https://newstart-law.com/?inType=NIM001&amp;NaPm=ci=6htYjaCPp9TfKggIqZMKQU0w%7Ctr=gfa%7Cct=mqhdmweb%7Chk=53c02c560caae6a545ad993d02983cb88cdc501a%7Cnacn=ywqmB0QdpBtc" xr:uid="{00000000-0004-0000-0300-0000A2000000}"/>
    <hyperlink ref="G165" r:id="rId164" display="https://www.newstart-law.com/?inType=NK&amp;n_media=27758&amp;n_query=%EA%B0%9C%EC%9D%B8%ED%9A%8C%EC%83%9D%EB%B2%95%EB%A5%A0%EC%82%AC%EB%AC%B4%EC%86%8C&amp;n_rank=5&amp;n_ad_group=grp-a001-01-000000063065651&amp;n_ad=nad-a001-01-000000485213838&amp;n_keyword_id=nkw-a001-01-000007951807442&amp;n_keyword=%EA%B0%9C%EC%9D%B8%ED%9A%8C%EC%83%9D%EB%B2%95%EB%A5%A0%EC%82%AC%EB%AC%B4%EC%86%8C&amp;n_campaign_type=1&amp;n_ad_group_type=1&amp;n_match=1&amp;NaPm=ct=mqhdzvrz%7Cci=ER170943a8-69eb-11f1-8759-467e1d5bf99e%7Ctr=sa%7Chk=97bf7e" xr:uid="{00000000-0004-0000-0300-0000A3000000}"/>
    <hyperlink ref="G166" r:id="rId165" display="http://newstart-law.com/?inType=NIM001&amp;NaPm=ci=6hnYp1HyUJRyCgtQ_enqIkNg%7Ctr=gfa%7Cct=mqheyd3i%7Chk=d45e31ed259a182bbb5b0cfc2df9f4bde55f18f5%7Cnacn=edcoCAhnIkxjA" xr:uid="{00000000-0004-0000-0300-0000A4000000}"/>
    <hyperlink ref="G167" r:id="rId166" display="https://www.newstart-law.com/?inType=NK&amp;n_media=122875&amp;n_query=%EA%B0%9C%EC%9D%B8%ED%9A%8C%EC%83%9D&amp;n_rank=13&amp;n_ad_group=grp-a001-01-000000063063607&amp;n_ad=nad-a001-01-000000495459275&amp;n_keyword_id=nkw-a001-01-000007934681996&amp;n_keyword=%EA%B0%9C%EC%9D%B8%ED%9A%8C%EC%83%9D&amp;n_campaign_type=1&amp;n_ad_group_type=1&amp;n_match=1&amp;NaPm=ct=mp27y6qc%7Cci=ER77fc25fb-4dc7-11f1-93cf-2ed7c275da5f%7Ctr=sa%7Chk=06fc919fb841bcfbfa12e31c78a7a855faff8381%7Cnacn=JiCsBoA75G3fB" xr:uid="{00000000-0004-0000-0300-0000A5000000}"/>
    <hyperlink ref="G168" r:id="rId167" display="http://newstart-law.com/?inType=nim003&amp;NaPm=ci=6hc3014V9TR3ecYNp3LWNTOA%7Ctr=gfa%7Cct=mqhfzesk%7Chk=4ceb80fb55fe80ef39f62bfc4b881f84ab69f463%7Cnacn=WvaTBgg51fzuB" xr:uid="{00000000-0004-0000-0300-0000A6000000}"/>
    <hyperlink ref="G169" r:id="rId168" display="http://newstart-law.com/?inType=nim003&amp;NaPm=ci=6hmqHWYGOCRa2fLhyuiXgeGw%7Ctr=gfa%7Cct=mqhgg3gr%7Chk=98bbfee855a5c95c9ea7c1094ee186c57e29da50%7Cnacn=fWXiDgh61pvDB" xr:uid="{00000000-0004-0000-0300-0000A7000000}"/>
    <hyperlink ref="G170" r:id="rId169" display="http://newstart-law.com/?inType=nim003&amp;NaPm=ci=6hakNPXQAQQZ2Rp9AhXCh2zQ%7Ctr=gfa%7Cct=mqhgl3we%7Chk=935c56fecbd91c404dda378c03675688f5efe282%7Cnacn=wZLVBkwrwHFg" xr:uid="{00000000-0004-0000-0300-0000A8000000}"/>
    <hyperlink ref="G171" r:id="rId170" display="https://newstart-law.com/?inType=NIP002&amp;NaPm=ci=6hxejk-7rkQJeuC-eBAXTOvg%7Ctr=gfa%7Cct=mqhk0qrt%7Chk=7428a78c91deef578ef50e9d6478bbac7b3521d5%7Cnacn=mwoMBIREmZpR" xr:uid="{00000000-0004-0000-0300-0000A9000000}"/>
    <hyperlink ref="G172" r:id="rId171" display="https://newstart-law.com/?inType=NIP002&amp;NaPm=ci=6hxejk-7rkQJeuC-eBAXTOvg%7Ctr=gfa%7Cct=mqhk0qrt%7Chk=7428a78c91deef578ef50e9d6478bbac7b3521d5%7Cnacn=mwoMBIREmZpR" xr:uid="{00000000-0004-0000-0300-0000AA000000}"/>
    <hyperlink ref="G173" r:id="rId172" display="http://newstart-law.com/?inType=NIM001&amp;NaPm=ci=6hv4THCBSwTgKUOPA5ENr7LA%7Ctr=gfa%7Cct=mqhmunpr%7Chk=e0709aec463b069aeaa109c6f2ce228fa7591354%7Cnacn=MOk9BgQ5m5CQ" xr:uid="{00000000-0004-0000-0300-0000AB000000}"/>
    <hyperlink ref="G174" r:id="rId173" display="https://newstart-law.com/" xr:uid="{00000000-0004-0000-0300-0000AC000000}"/>
    <hyperlink ref="G175" r:id="rId174" display="http://newstart-law.com/?inType=nim003&amp;NaPm=ci=6h6FWtfOFlQkqNrhzZtxcODw%7Ctr=gfa%7Cct=mqhqz5il%7Chk=2442c704e152f0a39e050491097fe39463d4dc19%7Cnacn=Vw63BggPwf2SB" xr:uid="{00000000-0004-0000-0300-0000AD000000}"/>
    <hyperlink ref="G176" r:id="rId175" display="http://newstart-law.com/?inType=nim003&amp;NaPm=ci=6ixclwNxLgQmWxZUIVJ_v8LQ%7Ctr=gfa%7Cct=mqisxxdz%7Chk=82bf442d1746b717cbcd34acde6c06b957affa89%7Cnacn=nfZXDAhpsX3VB" xr:uid="{00000000-0004-0000-0300-0000AE000000}"/>
    <hyperlink ref="G177" r:id="rId176" display="https://newstart-law.com/" xr:uid="{00000000-0004-0000-0300-0000AF000000}"/>
    <hyperlink ref="G178" r:id="rId177" display="https://newstart-law.com/" xr:uid="{00000000-0004-0000-0300-0000B0000000}"/>
    <hyperlink ref="G179" r:id="rId178" display="https://www.newstart-law.com/?inType=NK&amp;n_media=27758&amp;n_query=%EA%B0%9C%EC%9D%B8%ED%9A%8C%EC%83%9D%EC%8B%A0%EC%B2%AD&amp;n_rank=7&amp;n_ad_group=grp-a001-01-000000063065651&amp;n_ad=nad-a001-01-000000485213838&amp;n_keyword_id=nkw-a001-01-000007951807444&amp;n_keyword=%EA%B0%9C%EC%9D%B8%ED%9A%8C%EC%83%9D%EC%8B%A0%EC%B2%AD&amp;n_campaign_type=1&amp;n_ad_group_type=1&amp;n_match=1&amp;NaPm=ct=mqiv5k7c%7Cci=ERf8cbc0fe-6aba-11f1-a9b8-6e3ae24fc82e%7Ctr=sa%7Chk=de6c6e0a86190ca5d9b92025631eb6ece7f9c6eb%7Cnacn=MdAWB8gNhv" xr:uid="{00000000-0004-0000-0300-0000B1000000}"/>
    <hyperlink ref="G180" r:id="rId179" display="http://newstart-law.com/?inType=NIM001&amp;NaPm=ci=6iHIA7N2AdQOaouEhQEHi6vw%7Ctr=gfa%7Cct=mqixhyv7%7Chk=55eb9c1da016a382dc7fa5ad040e9df27747d717%7Cnacn=eQkSCggQkePtC" xr:uid="{00000000-0004-0000-0300-0000B2000000}"/>
    <hyperlink ref="G181" r:id="rId180" display="http://newstart-law.com/?inType=NIM001&amp;NaPm=ci=6i7-RXNWCWRaeQAFXFhI2WnQ%7Ctr=gfa%7Cct=mqiyjrqb%7Chk=f9803d6cd4a14fddd874bedd2fc59a5288c5eb03%7Cnacn=50PTB8Qvz0D7" xr:uid="{00000000-0004-0000-0300-0000B3000000}"/>
    <hyperlink ref="G182" r:id="rId181" display="http://newstart-law.com/?inType=nim003&amp;NaPm=ci=6i_frEnrkOSbyruRZ8a4EAQg%7Ctr=gfa%7Cct=mqiz3f85%7Chk=4c29be37c3358b92345ecae192c556d1f39ebff9%7Cnacn=pbGJB0wIWION" xr:uid="{00000000-0004-0000-0300-0000B4000000}"/>
    <hyperlink ref="G183" r:id="rId182" display="http://newstart-law.com/?inType=nim003&amp;NaPm=ci=6ilu-5x6HFQ4q-Wc1024YA6g%7Ctr=gfa%7Cct=mqizsgkf%7Chk=1b9f328c31fe3512bf4a748c44fd2b5fbdae5ae2%7Cnacn=m3VUBERKdi2N" xr:uid="{00000000-0004-0000-0300-0000B5000000}"/>
    <hyperlink ref="G184" r:id="rId183" display="https://newstart-law.com/?inType=NIP002&amp;NaPm=ci=6iLJKwEL6gQUmxpk2KghzQZA%7Ctr=gfa%7Cct=mqj32ill%7Chk=2eb69790e1c0ea4bd0a7ecad0f82045dbf3b76a1%7Cnacn=MXnfDQiKEj0NA" xr:uid="{00000000-0004-0000-0300-0000B6000000}"/>
    <hyperlink ref="G185" r:id="rId184" display="http://newstart-law.com/?inType=nim003&amp;NaPm=ci=6iwtJbN4jmQA6cHhw64VGNxw%7Ctr=gfa%7Cct=mqj34tug%7Chk=9cf32342085e58da2451f132eb1927bc2f095a5a%7Cnacn=28cwBgwQ2iXl" xr:uid="{00000000-0004-0000-0300-0000B7000000}"/>
    <hyperlink ref="G186" r:id="rId185" display="http://newstart-law.com/?inType=nim003&amp;NaPm=ci=6imJCHvnNyS1K47AWLXFrufA%7Ctr=gfa%7Cct=mqj3o7y9%7Chk=666ebf628c646a6ef819c2ff22c30d462c756904%7Cnacn=gfC0CABBuPfAA" xr:uid="{00000000-0004-0000-0300-0000B8000000}"/>
    <hyperlink ref="G187" r:id="rId186" display="https://newstart-law.com/?inType=NIP002&amp;NaPm=ci=6iqhVXSRKPTeCkvbMBLkE3NQ%7Ctr=gfa%7Cct=mqj5w54f%7Chk=3f36d27e73c31392af75c73f69e97e2ffdd8cc90%7Cnacn=A3Y4BIxFfJSIA" xr:uid="{00000000-0004-0000-0300-0000B9000000}"/>
    <hyperlink ref="G188" r:id="rId187" display="https://newstart-law.com/?inType=NIP002&amp;NaPm=ci=6iqhVXSRKPTeCkvbMBLkE3NQ%7Ctr=gfa%7Cct=mqj5w54f%7Chk=3f36d27e73c31392af75c73f69e97e2ffdd8cc90%7Cnacn=A3Y4BIxFfJSIA" xr:uid="{00000000-0004-0000-0300-0000BA000000}"/>
    <hyperlink ref="G189" r:id="rId188" display="https://newstart-law.com/?inType=NIP002&amp;NaPm=ci=6iqhVXSRKPTeCkvbMBLkE3NQ%7Ctr=gfa%7Cct=mqj5w54f%7Chk=3f36d27e73c31392af75c73f69e97e2ffdd8cc90%7Cnacn=A3Y4BIxFfJSIA" xr:uid="{00000000-0004-0000-0300-0000BB000000}"/>
    <hyperlink ref="G190" r:id="rId189" display="https://newstart-law.com/?inType=NIP002&amp;NaPm=ci=6iqhVXSRKPTeCkvbMBLkE3NQ%7Ctr=gfa%7Cct=mqj5w54f%7Chk=3f36d27e73c31392af75c73f69e97e2ffdd8cc90%7Cnacn=A3Y4BIxFfJSIA" xr:uid="{00000000-0004-0000-0300-0000BC000000}"/>
    <hyperlink ref="G191" r:id="rId190" display="https://newstart-law.com/?inType=NIP002&amp;NaPm=ci=6iqhVXSRKPTeCkvbMBLkE3NQ%7Ctr=gfa%7Cct=mqj5w54f%7Chk=3f36d27e73c31392af75c73f69e97e2ffdd8cc90%7Cnacn=A3Y4BIxFfJSIA" xr:uid="{00000000-0004-0000-0300-0000BD000000}"/>
    <hyperlink ref="G192" r:id="rId191" display="http://newstart-law.com/?inType=nim003&amp;NaPm=ci=6iZrmdYVtYR3Ojee3ldeq0NQ%7Ctr=gfa%7Cct=mqj60y57%7Chk=6c4c480ecdc61d904c736911420f5fd3065a4334%7Cnacn=euq3Dwh05IAfD" xr:uid="{00000000-0004-0000-0300-0000BE000000}"/>
    <hyperlink ref="G193" r:id="rId192" display="http://newstart-law.com/?inType=NIM001&amp;NaPm=ci=6iEf8iqcZ4QRigMC9hTj-IAg%7Ctr=gfa%7Cct=mqj8wniq%7Chk=f523590d9597dbd4e558275d0d89ee8d12e9905b%7Cnacn=ICcyB0wsJxyU" xr:uid="{00000000-0004-0000-0300-0000BF000000}"/>
    <hyperlink ref="G194" r:id="rId193" display="https://www.newstart-law.com/?inType=NK&amp;n_media=8753&amp;n_query=%EA%B0%9C%EC%9D%B8%ED%9A%8C%EC%83%9D&amp;n_rank=6&amp;n_ad_group=grp-a001-01-000000063063767&amp;n_ad=nad-a001-01-000000495340403&amp;n_keyword_id=nkw-a001-01-000007934680459&amp;n_keyword=%EA%B0%9C%EC%9D%B8%ED%9A%8C%EC%83%9D&amp;n_campaign_type=1&amp;n_ad_group_type=1&amp;n_match=1&amp;NaPm=ct=mqjj3h40%7Cci=ER99e36620-6b18-11f1-b44e-96706a7dac00%7Ctr=sa%7Chk=c8d9edb69938e8010dcb9f4ca8ae762915587448%7Cnacn=hdFlBwAiC6Ma" xr:uid="{00000000-0004-0000-0300-0000C0000000}"/>
    <hyperlink ref="G195" r:id="rId194" display="https://www.newstart-law.com/?inType=NK&amp;n_media=8753&amp;n_query=%EA%B0%9C%EC%9D%B8%ED%9A%8C%EC%83%9D%ED%8C%8C%EC%82%B0&amp;n_rank=1&amp;n_ad_group=grp-a001-01-000000063065632&amp;n_ad=nad-a001-01-000000485213835&amp;n_keyword_id=nkw-a001-01-000007951806231&amp;n_keyword=%EA%B0%9C%EC%9D%B8%ED%9A%8C%EC%83%9D%ED%8C%8C%EC%82%B0&amp;n_campaign_type=1&amp;n_ad_group_type=1&amp;n_match=1&amp;NaPm=ct=mqjjvhtw%7Cci=ERa5198c9c-6b1b-11f1-a98e-3ef43d3dbc8f%7Ctr=sa%7Chk=0a87551d8b09873648a6a629b8a912beb148804c%7Cnacn=VyozB0QXrjl" xr:uid="{00000000-0004-0000-0300-0000C1000000}"/>
    <hyperlink ref="G196" r:id="rId195" display="https://newstart-law.com/?inType=NIM001&amp;NaPm=ci=6jRUrVuA_0Q-6rkj8uh7dJ-w%7Ctr=gfa%7Cct=mqkl8dy4%7Chk=6526eda94e9f1fe824638782c6edb07d81af4e1e%7Cnacn=JQiyBwwjvi8V" xr:uid="{00000000-0004-0000-0300-0000C2000000}"/>
    <hyperlink ref="G197" r:id="rId196" display="https://www.newstart-law.com/?inType=NK&amp;n_media=27758&amp;n_query=%ED%9A%8C%EC%83%9D&amp;n_rank=7&amp;n_ad_group=grp-a001-01-000000063065651&amp;n_ad=nad-a001-01-000000495459437&amp;n_keyword_id=nkw-a001-01-000007951807360&amp;n_keyword=%ED%9A%8C%EC%83%9D&amp;n_campaign_type=1&amp;n_ad_group_type=1&amp;n_match=1&amp;NaPm=ct=mqkm6jbc%7Cci=ER730e0d03-6bb1-11f1-bab5-d227dfb109da%7Ctr=sa%7Chk=f7ed8f1e43ffb7136d6a0fa227cebd94e45c2d99%7Cnacn=rtnBBYwadKgS" xr:uid="{00000000-0004-0000-0300-0000C3000000}"/>
    <hyperlink ref="G198" r:id="rId197" display="https://newstart-law.com/?inType=nim_sq02&amp;NaPm=ci=6jVPO2EaP6QQCziQMHFrA-DQ%7Ctr=gfa%7Cct=mqkoalo3%7Chk=a6f80e9ee6049ef3236417037a00562b5a234a44%7Cnacn=fMPACAhd46hOB" xr:uid="{00000000-0004-0000-0300-0000C4000000}"/>
    <hyperlink ref="G199" r:id="rId198" display="https://newstart-law.com/?inType=nim_sq02&amp;NaPm=ci=6jVPO2EaP6QQCziQMHFrA-DQ%7Ctr=gfa%7Cct=mqkoalo3%7Chk=a6f80e9ee6049ef3236417037a00562b5a234a44%7Cnacn=fMPACAhd46hOB" xr:uid="{00000000-0004-0000-0300-0000C5000000}"/>
    <hyperlink ref="G200" r:id="rId199" display="https://newstart-law.com/?inType=NIM001&amp;NaPm=ci=6jVioOwy87TqCtDESczCTbEA%7Ctr=gfa%7Cct=mqkokwlm%7Chk=f332b6e19ef6b2bf08741069d144809d31cfc597%7Cnacn=tYRPBoAZnLBs" xr:uid="{00000000-0004-0000-0300-0000C6000000}"/>
    <hyperlink ref="G201" r:id="rId200" display="https://www.newstart-law.com/?inType=NK&amp;n_media=27758&amp;n_query=%EA%B0%9C%EC%9D%B8%ED%9A%8C%EC%83%9D&amp;n_rank=4&amp;n_ad_group=grp-a001-01-000000063063607&amp;n_ad=nad-a001-01-000000485213830&amp;n_keyword_id=nkw-a001-01-000007934681996&amp;n_keyword=%EA%B0%9C%EC%9D%B8%ED%9A%8C%EC%83%9D&amp;n_campaign_type=1&amp;n_ad_group_type=1&amp;n_match=1&amp;NaPm=ct=mqkwy5ig%7Cci=ER8e571ed2-6bdb-11f1-a9b8-6e3ae24fc82e%7Ctr=sa%7Chk=e74c8c7a88b6181ec7b0594c4ca5a0a81c5dfbd0%7Cnacn=ivzbBEhB33pa" xr:uid="{00000000-0004-0000-0300-0000C7000000}"/>
    <hyperlink ref="G202" r:id="rId201" display="https://www.newstart-law.com/" xr:uid="{00000000-0004-0000-0300-0000C8000000}"/>
    <hyperlink ref="G203" r:id="rId202" display="https://www.newstart-law.com/" xr:uid="{00000000-0004-0000-0300-0000C9000000}"/>
    <hyperlink ref="G204" r:id="rId203" display="https://newstart-law.com/?inType=NIM001&amp;NaPm=ci=6m8XjJUOz0Q6e6v_96gxLVlQ%7Ctr=gfa%7Cct=mqohp9xq%7Chk=e35c13fcf8d9171edd8fe152a9f278ee7d6537cc%7Cnacn=IfdMCQCVozM0B" xr:uid="{00000000-0004-0000-0300-0000CA000000}"/>
    <hyperlink ref="G205" r:id="rId204" display="http://newstart-law.com/?inType=nim_sq01&amp;NaPm=ci=6mwbPQh4fkT1eSiEV9FdaFAw%7Ctr=gfa%7Cct=mqon5ca3%7Chk=f778c683ef8673b48ceba9a21ca2abd4244a9543%7Cnacn=53sbBwAGaObk" xr:uid="{00000000-0004-0000-0300-0000CB000000}"/>
    <hyperlink ref="G206" r:id="rId205" display="http://newstart-law.com/?inType=NIM001&amp;NaPm=ci=6mIt3BBjHtSS-QWjeh3Hh_yA%7Ctr=gfa%7Cct=mqomoara%7Chk=d19827732795a0caeac10012552868d436937bb6%7Cnacn=yrz6BgABeWPZB" xr:uid="{00000000-0004-0000-0300-0000CC000000}"/>
    <hyperlink ref="G207" r:id="rId206" display="http://newstart-law.com/?inType=NIM001&amp;NaPm=ci=6mMU6jbVu1TfGd08chnq00xA%7Ctr=gfa%7Cct=mqop3k8l%7Chk=bf099f891badea92d45dc300892d631005abae09%7Cnacn=8c2XB4Qje5NwA" xr:uid="{00000000-0004-0000-0300-0000CD000000}"/>
    <hyperlink ref="G208" r:id="rId207" display="https://www.newstart-law.com/" xr:uid="{00000000-0004-0000-0300-0000CE000000}"/>
    <hyperlink ref="G209" r:id="rId208" display="http://newstart-law.com/?inType=nim_sq01&amp;NaPm=ci=6mlun0Ti6wS8qDhTu9QflAcg%7Ctr=gfa%7Cct=mqorofj3%7Chk=ff396c175fa5831e7f3dec32f3a973c2cb8ea5f0%7Cnacn=ufOeHQCl7xIaB" xr:uid="{00000000-0004-0000-0300-0000CF000000}"/>
    <hyperlink ref="G210" r:id="rId209" display="http://newstart-law.com/?inType=nim_sq01&amp;NaPm=ci=6mlun0Ti6wS8qDhTu9QflAcg%7Ctr=gfa%7Cct=mqorofj3%7Chk=ff396c175fa5831e7f3dec32f3a973c2cb8ea5f0%7Cnacn=ufOeHQCl7xIaB" xr:uid="{00000000-0004-0000-0300-0000D0000000}"/>
    <hyperlink ref="G211" r:id="rId210" display="https://newstart-law.com/?inType=NIM001&amp;NaPm=ci=6m2OFS_3HiRE6aqoSbI_o94Q%7Ctr=gfa%7Cct=mqot4oqi%7Chk=8017201e6184520cf88165ffa2bb3aa3dbe3abd5%7Cnacn=YNnhBAhQOiBE" xr:uid="{00000000-0004-0000-0300-0000D1000000}"/>
    <hyperlink ref="G212" r:id="rId211" display="http://newstart-law.com/?inType=nim003&amp;NaPm=ci=6mKyM3C8ZaTq6G6Q5OJCQIVg%7Ctr=gfa%7Cct=mqotic9z%7Chk=1a752980da82a5fd07c094097050ec02e59efd0a%7Cnacn=V7RABYgePPRcB" xr:uid="{00000000-0004-0000-0300-0000D2000000}"/>
    <hyperlink ref="G213" r:id="rId212" display="http://newstart-law.com/?inType=nim_sq01&amp;NaPm=ci=6mbR43wNZhSaW7_PqQvLtPBA%7Ctr=gfa%7Cct=mqotigrb%7Chk=1a1a490d9b092ffb6a139c58bb68d481e0d4be25%7Cnacn=2lHNBUQzIJKd" xr:uid="{00000000-0004-0000-0300-0000D3000000}"/>
    <hyperlink ref="G214" r:id="rId213" display="http://newstart-law.com/?inType=nim003&amp;NaPm=ci=6m1pvY6hnBRi2ZMSq1C6C7Xg%7Ctr=gfa%7Cct=mqoxo9dj%7Chk=b954d31a8020574abfc1a7a70fe20621febb69a3%7Cnacn=JekpDggAfd4fA" xr:uid="{00000000-0004-0000-0300-0000D4000000}"/>
    <hyperlink ref="G215" r:id="rId214" display="http://newstart-law.com/" xr:uid="{00000000-0004-0000-0300-0000D5000000}"/>
    <hyperlink ref="G216" r:id="rId215" display="http://newstart-law.com/?inType=nim003&amp;NaPm=ci=6m2VHRKIIkQsCOaRvk2s_oKw%7Ctr=gfa%7Cct=mqoxwrfz%7Chk=5a083e90f96ce39865b5536d64e35382d54e362e%7Cnacn=porkBwg06dJq" xr:uid="{00000000-0004-0000-0300-0000D6000000}"/>
    <hyperlink ref="G217" r:id="rId216" display="http://newstart-law.com/" xr:uid="{00000000-0004-0000-0300-0000D7000000}"/>
    <hyperlink ref="G218" r:id="rId217" display="http://newstart-law.com/" xr:uid="{00000000-0004-0000-0300-0000D8000000}"/>
    <hyperlink ref="G219" r:id="rId218" display="http://newstart-law.com/?inType=nim003&amp;NaPm=ci=6m2TocWFizTvmqFElAXGXafw%7Ctr=gfa%7Cct=mqoxziwk%7Chk=34aa5edaf84bee53d9961a474f7c56a0e643d27f%7Cnacn=U8yaBIhDR8BN" xr:uid="{00000000-0004-0000-0300-0000D9000000}"/>
    <hyperlink ref="G220" r:id="rId219" display="http://newstart-law.com/?inType=NIM001&amp;NaPm=ci=6mZSe9NrAYSlO9mywu_cH-Ug%7Ctr=gfa%7Cct=mqoxyv6h%7Chk=b7a032fe79488770256398ae788a020f4b92e17c%7Cnacn=PZRJBcgTSkwg" xr:uid="{00000000-0004-0000-0300-0000DA000000}"/>
    <hyperlink ref="G221" r:id="rId220" display="http://newstart-law.com/?inType=nim003&amp;NaPm=ci=6mMNoyZahOTw-7U8qCugvAGw%7Ctr=gfa%7Cct=mqoxwico%7Chk=e6214aae4190c4b614172821d69b32148c2cae90%7Cnacn=JxTtB0gTuVLM" xr:uid="{00000000-0004-0000-0300-0000DB000000}"/>
    <hyperlink ref="G222" r:id="rId221" display="https://www.newstart-law.com/?inType=NK&amp;n_media=27758&amp;n_query=%EC%95%88%EC%82%B0%EA%B0%9C%EC%9D%B8%ED%9A%8C%EC%83%9D&amp;n_rank=2&amp;n_ad_group=grp-a001-01-000000063065651&amp;n_ad=nad-a001-01-000000495459437&amp;n_keyword_id=nkw-a001-01-000007951807345&amp;n_keyword=%EC%95%88%EC%82%B0%EA%B0%9C%EC%9D%B8%ED%9A%8C%EC%83%9D&amp;n_campaign_type=1&amp;n_ad_group_type=1&amp;n_match=1&amp;NaPm=ct=mqp4wc4p%7Cci=ERc7771609-6e2d-11f1-b44e-96706a7dac00%7Ctr=sa%7Chk=ae4e61c011d4a6918fe8bad85f703ff962bf3a71%7Cnacn=xyJkB4QeFM" xr:uid="{00000000-0004-0000-0300-0000DC000000}"/>
    <hyperlink ref="G223" r:id="rId222" display="https://www.newstart-law.com/?inType=NK&amp;n_media=8753&amp;n_query=%EA%B0%9C%EC%9D%B8%ED%8C%8C%EC%82%B0&amp;n_rank=3&amp;n_ad_group=grp-a001-01-000000063065512&amp;n_ad=nad-a001-01-000000495460286&amp;n_keyword_id=nkw-a001-01-000007934684740&amp;n_keyword=%EA%B0%9C%EC%9D%B8%ED%8C%8C%EC%82%B0&amp;n_campaign_type=1&amp;n_ad_group_type=1&amp;n_match=1&amp;NaPm=ct=mqp8gwks%7Cci=ERbed482c0-6e3b-11f1-ae91-da434ee44931%7Ctr=sa%7Chk=ab6b8fe8dbeb5ed6168cd131f523d42210b0e705%7Cnacn=kquyB0wv62Yq" xr:uid="{00000000-0004-0000-0300-0000DD000000}"/>
    <hyperlink ref="G224" r:id="rId223" display="https://www.newstart-law.com/?inType=NK&amp;n_media=8753&amp;n_query=%EA%B0%9C%EC%9D%B8%ED%8C%8C%EC%82%B0&amp;n_rank=3&amp;n_ad_group=grp-a001-01-000000063065512&amp;n_ad=nad-a001-01-000000495460286&amp;n_keyword_id=nkw-a001-01-000007934684740&amp;n_keyword=%EA%B0%9C%EC%9D%B8%ED%8C%8C%EC%82%B0&amp;n_campaign_type=1&amp;n_ad_group_type=1&amp;n_match=1&amp;NaPm=ct=mqp930sv%7Cci=ER25e50638-6e3e-11f1-85dc-12882e70cd6b%7Ctr=sa%7Chk=bb64d72d1f3576f77c0a6b8aa7b7f9a673c21d9e%7Cnacn=eLnqCICqLOg8B" xr:uid="{00000000-0004-0000-0300-0000DE000000}"/>
    <hyperlink ref="G225" r:id="rId224" display="https://www.newstart-law.com/?inType=NK&amp;n_media=8753&amp;n_query=%EA%B0%9C%EC%9D%B8%ED%8C%8C%EC%82%B0&amp;n_rank=3&amp;n_ad_group=grp-a001-01-000000063065512&amp;n_ad=nad-a001-01-000000495460286&amp;n_keyword_id=nkw-a001-01-000007934684740&amp;n_keyword=%EA%B0%9C%EC%9D%B8%ED%8C%8C%EC%82%B0&amp;n_campaign_type=1&amp;n_ad_group_type=1&amp;n_match=1&amp;NaPm=ct=mqp930sv%7Cci=ER25e50638-6e3e-11f1-85dc-12882e70cd6b%7Ctr=sa%7Chk=bb64d72d1f3576f77c0a6b8aa7b7f9a673c21d9e%7Cnacn=eLnqCICqLOg8B" xr:uid="{00000000-0004-0000-0300-0000DF000000}"/>
    <hyperlink ref="G226" r:id="rId225" display="https://www.newstart-law.com/?inType=NK&amp;n_media=8753&amp;n_query=%EA%B0%9C%EC%9D%B8%ED%8C%8C%EC%82%B0&amp;n_rank=3&amp;n_ad_group=grp-a001-01-000000063065512&amp;n_ad=nad-a001-01-000000495460286&amp;n_keyword_id=nkw-a001-01-000007934684740&amp;n_keyword=%EA%B0%9C%EC%9D%B8%ED%8C%8C%EC%82%B0&amp;n_campaign_type=1&amp;n_ad_group_type=1&amp;n_match=1&amp;NaPm=ct=mqp930sv%7Cci=ER25e50638-6e3e-11f1-85dc-12882e70cd6b%7Ctr=sa%7Chk=bb64d72d1f3576f77c0a6b8aa7b7f9a673c21d9e%7Cnacn=eLnqCICqLOg8B" xr:uid="{00000000-0004-0000-0300-0000E0000000}"/>
    <hyperlink ref="G227" r:id="rId226" display="https://www.newstart-law.com/?inType=NK&amp;n_media=8753&amp;n_query=%EA%B0%9C%EC%9D%B8%ED%8C%8C%EC%82%B0&amp;n_rank=1&amp;n_ad_group=grp-a001-01-000000063065512&amp;n_ad=nad-a001-01-000000495460286&amp;n_keyword_id=nkw-a001-01-000007934684740&amp;n_keyword=%EA%B0%9C%EC%9D%B8%ED%8C%8C%EC%82%B0&amp;n_campaign_type=1&amp;n_ad_group_type=1&amp;n_match=1&amp;NaPm=ct=mqpauqzb%7Cci=ER1217e2ff-6e45-11f1-81e1-e609e8bf4a3b%7Ctr=sa%7Chk=f8d6f0fd2fbb2bbd7598e68b730880769b1c9885%7Cnacn=eLnqCICqLOg8B" xr:uid="{00000000-0004-0000-0300-0000E1000000}"/>
    <hyperlink ref="G228" r:id="rId227" display="https://www.newstart-law.com/?inType=NK&amp;n_media=8753&amp;n_query=%EA%B0%9C%EC%9D%B8%ED%8C%8C%EC%82%B0&amp;n_rank=1&amp;n_ad_group=grp-a001-01-000000063065512&amp;n_ad=nad-a001-01-000000495460286&amp;n_keyword_id=nkw-a001-01-000007934684740&amp;n_keyword=%EA%B0%9C%EC%9D%B8%ED%8C%8C%EC%82%B0&amp;n_campaign_type=1&amp;n_ad_group_type=1&amp;n_match=1&amp;NaPm=ct=mqpauqzb%7Cci=ER1217e2ff-6e45-11f1-81e1-e609e8bf4a3b%7Ctr=sa%7Chk=f8d6f0fd2fbb2bbd7598e68b730880769b1c9885%7Cnacn=eLnqCICqLOg8B" xr:uid="{00000000-0004-0000-0300-0000E2000000}"/>
    <hyperlink ref="G229" r:id="rId228" display="https://www.newstart-law.com/?inType=NK&amp;n_media=8753&amp;n_query=%EA%B0%9C%EC%9D%B8%ED%8C%8C%EC%82%B0&amp;n_rank=1&amp;n_ad_group=grp-a001-01-000000063065512&amp;n_ad=nad-a001-01-000000495460286&amp;n_keyword_id=nkw-a001-01-000007934684740&amp;n_keyword=%EA%B0%9C%EC%9D%B8%ED%8C%8C%EC%82%B0&amp;n_campaign_type=1&amp;n_ad_group_type=1&amp;n_match=1&amp;NaPm=ct=mqpauqzb%7Cci=ER1217e2ff-6e45-11f1-81e1-e609e8bf4a3b%7Ctr=sa%7Chk=f8d6f0fd2fbb2bbd7598e68b730880769b1c9885%7Cnacn=eLnqCICqLOg8B" xr:uid="{00000000-0004-0000-0300-0000E3000000}"/>
    <hyperlink ref="G230" r:id="rId229" display="http://newstart-law.com/?inType=nim003&amp;NaPm=ci=6nosGe3N0-SlODeUbGgyGZDw%7Ctr=gfa%7Cct=mqpw7wsp%7Chk=b167e6a7408cdfd1a0ee837bdc7fef39b1d59e5b%7Cnacn=XtOLBogF9pEh" xr:uid="{00000000-0004-0000-0300-0000E4000000}"/>
    <hyperlink ref="G231" r:id="rId230" display="http://newstart-law.com/?inType=nim003&amp;NaPm=ci=6n11cwnMT4TTWFqWUIaZrNIQ%7Ctr=gfa%7Cct=mqq1he5h%7Chk=afa25746a59c83b02592c3061aa82f5ab9098174%7Cnacn=vWyBBgALVojz" xr:uid="{00000000-0004-0000-0300-0000E5000000}"/>
    <hyperlink ref="G232" r:id="rId231" display="http://newstart-law.com/?inType=NIM001&amp;NaPm=ci=6n4_GPoIfCTjaw4oSEKX2z9g%7Ctr=gfa%7Cct=mqq1qe43%7Chk=34f25f3ca6f77fe9d532625357d1f61d46dd3cff%7Cnacn=Tu0MBcwk9WHm" xr:uid="{00000000-0004-0000-0300-0000E6000000}"/>
    <hyperlink ref="G233" r:id="rId232" display="http://newstart-law.com/?inType=nim003&amp;NaPm=ci=6nj9Lm1DlJSUu-fA8mfXp7KA%7Ctr=gfa%7Cct=mqq1rs2i%7Chk=b43497014ed71f61cf42c445260b75e0d404548f%7Cnacn=YaNfD4h9mUGjA" xr:uid="{00000000-0004-0000-0300-0000E7000000}"/>
    <hyperlink ref="G234" r:id="rId233" display="http://newstart-law.com/?inType=nim003&amp;NaPm=ci=6ni_7GnB9IRWK_F4RHDQtjsw%7Ctr=gfa%7Cct=mqqdtp16%7Chk=f8239599d117b22d79ec486c12724c072205667f%7Cnacn=cdAEB0gD2HXT" xr:uid="{00000000-0004-0000-0300-0000E8000000}"/>
    <hyperlink ref="G235" r:id="rId234" display="http://newstart-law.com/?inType=nim003&amp;NaPm=ci=6nU_RCmccrRkaI79DcO28a9Q%7Ctr=gfa%7Cct=mqqex5wt%7Chk=7e9d4fe532aeabe2e0819aa9e6745e247e0dea10%7Cnacn=YcmqBswpfUQnB" xr:uid="{00000000-0004-0000-0300-0000E9000000}"/>
    <hyperlink ref="G236" r:id="rId235" display="http://newstart-law.com/?inType=nim003&amp;NaPm=ci=6n3Q1yoJyDSsqhV_8zeb51nA%7Ctr=gfa%7Cct=mqqfufh9%7Chk=d6db716c9a0c514fc023591f5d9f784e77b1a9d3%7Cnacn=yDjgBgwOPjgm" xr:uid="{00000000-0004-0000-0300-0000EA000000}"/>
    <hyperlink ref="G237" r:id="rId236" display="https://www.newstart-law.com/?inType=NK&amp;n_media=27758&amp;n_query=%EA%B0%9C%EC%9D%B8%ED%9A%8C%EC%83%9D%EC%83%81%EB%8B%B4&amp;n_rank=6&amp;n_ad_group=grp-a001-01-000000063065651&amp;n_ad=nad-a001-01-000000495459437&amp;n_keyword_id=nkw-a001-01-000007951807367&amp;n_keyword=%EA%B0%9C%EC%9D%B8%ED%9A%8C%EC%83%9D%EC%83%81%EB%8B%B4&amp;n_campaign_type=1&amp;n_ad_group_type=1&amp;n_match=1&amp;NaPm=ct=mqqg4d1t%7Cci=ER73b8089d-6ee6-11f1-b915-56305bda6a30%7Ctr=sa%7Chk=40a069b3d207265d387b118c6ce5727f6bff14b9%7Cnacn=yKCjBIRM0t" xr:uid="{00000000-0004-0000-0300-0000EB000000}"/>
    <hyperlink ref="G238" r:id="rId237" display="https://www.newstart-law.com/?inType=NK&amp;n_media=8753&amp;n_query=%EA%B0%9C%EC%9D%B8%ED%9A%8C%EC%83%9D%ED%8C%8C%EC%82%B0&amp;n_rank=1&amp;n_ad_group=grp-a001-01-000000063065632&amp;n_ad=nad-a001-01-000000485213835&amp;n_keyword_id=nkw-a001-01-000007951806231&amp;n_keyword=%EA%B0%9C%EC%9D%B8%ED%9A%8C%EC%83%9D%ED%8C%8C%EC%82%B0&amp;n_campaign_type=1&amp;n_ad_group_type=1&amp;n_match=1&amp;NaPm=ct=mqqjcjtd%7Cci=ER12ce3cd7-6ef3-11f1-8eec-025cbd97c4e5%7Ctr=sa%7Chk=f8ccf4863508383b0659481c03e5041b363fb2eb%7Cnacn=o1ReCAh2sUk" xr:uid="{00000000-0004-0000-0300-0000EC000000}"/>
    <hyperlink ref="G239" r:id="rId238" display="https://www.newstart-law.com/?inType=NK&amp;n_media=8753&amp;n_query=%EA%B0%9C%EC%9D%B8%ED%9A%8C%EC%83%9D%EC%8B%A0%EC%B2%AD%EC%9E%90%EA%B2%A9&amp;n_rank=5&amp;n_ad_group=grp-a001-01-000000063065632&amp;n_ad=nad-a001-01-000000495459382&amp;n_keyword_id=nkw-a001-01-000007951806209&amp;n_keyword=%EA%B0%9C%EC%9D%B8%ED%9A%8C%EC%83%9D%EC%8B%A0%EC%B2%AD%EC%9E%90%EA%B2%A9&amp;n_campaign_type=1&amp;n_ad_group_type=1&amp;n_match=1&amp;NaPm=ct=mqqoei1a%7Cci=ERd6b1cf1b-6f06-11f1-ac4a-ca5d8a12ad1a%7Ctr=sa%7Chk=bce0b10d26c8fb7bff65bbdc3" xr:uid="{00000000-0004-0000-0300-0000ED000000}"/>
    <hyperlink ref="G240" r:id="rId239" display="https://newstart-law.com/?inType=NIP002&amp;NaPm=ci=6oN7KXlEGaT0aUNEtWJpk3gg%7Ctr=gfa%7Cct=mqravqz9%7Chk=cf336f374fb8eadb911194017d1efccbe5b87d37%7Cnacn=kndfCQCaKpUpA" xr:uid="{00000000-0004-0000-0300-0000EE000000}"/>
    <hyperlink ref="G241" r:id="rId240" display="http://newstart-law.com/?inType=nim003&amp;NaPm=ci=6owqiI83AzQZeefzj6SWyilQ%7Ctr=gfa%7Cct=mqrby1xo%7Chk=c297285b763748f486e9645c7e8e33f93abc3268%7Cnacn=zdlRBggkEqeyB" xr:uid="{00000000-0004-0000-0300-0000EF000000}"/>
    <hyperlink ref="G242" r:id="rId241" display="http://newstart-law.com/?inType=nim003&amp;NaPm=ci=6oQFy20hu1Q6KRJftOmXk84Q%7Ctr=gfa%7Cct=mqrc8dg2%7Chk=270ba4c5fcf7b5bbf2138eba8e955dae5f5a346f%7Cnacn=NFeMDghMqRoqA" xr:uid="{00000000-0004-0000-0300-0000F0000000}"/>
    <hyperlink ref="G243" r:id="rId242" display="http://newstart-law.com/?inType=nim003&amp;NaPm=ci=6oLsqTP7B3TnirrHnE4MJ3hQ%7Ctr=gfa%7Cct=mqrc9y11%7Chk=c6a504e8b5afba4a7f99c8ffa22e68af4faac6a4%7Cnacn=3mzjBkwoB5fOB" xr:uid="{00000000-0004-0000-0300-0000F1000000}"/>
    <hyperlink ref="G244" r:id="rId243" display="http://newstart-law.com/?inType=nim003&amp;NaPm=ci=6oRi6waWvlS_--L5wqkyblCQ%7Ctr=gfa%7Cct=mqrde0m4%7Chk=85a0b92dd29ce9dbf49b00e0bfe44177ec3e5a4e%7Cnacn=00MhBABzP7Eo" xr:uid="{00000000-0004-0000-0300-0000F2000000}"/>
    <hyperlink ref="G245" r:id="rId244" display="http://newstart-law.com/?inType=nim003&amp;NaPm=ci=6oFrN7CAdnR76j0-dl9md55w%7Ctr=gfa%7Cct=mqrmp9q4%7Chk=54ab109d3fc60f2b73fe9dad67ba8738a2002524%7Cnacn=KCDdBswfdVOyA" xr:uid="{00000000-0004-0000-0300-0000F3000000}"/>
    <hyperlink ref="G246" r:id="rId245" display="http://newstart-law.com/?inType=nim003&amp;NaPm=ci=6oLRaIuHA0QACY5gjpQWzDfQ%7Ctr=gfa%7Cct=mqrmpng8%7Chk=3245fcc83f190526f6209c44aaa7c39858687f87%7Cnacn=A6cXBMwLTzAn" xr:uid="{00000000-0004-0000-0300-0000F4000000}"/>
    <hyperlink ref="G247" r:id="rId246" display="http://newstart-law.com/?inType=nim003&amp;NaPm=ci=6ox6fCu4zNT2-hevE1HjYfYg%7Ctr=gfa%7Cct=mqrr9yji%7Chk=8c0a3b6596e4fccde93a1a98e8f955b9123de59a%7Cnacn=G8PPBQgtANIR" xr:uid="{00000000-0004-0000-0300-0000F5000000}"/>
    <hyperlink ref="G248" r:id="rId247" display="http://newstart-law.com/?inType=nim003&amp;NaPm=ci=6oXYmSDnYAS1-vsPgtsmQvwg%7Ctr=gfa%7Cct=mqrs5nge%7Chk=34287c88ad45eb7465a6ba553f91bef93ae922ba%7Cnacn=9miJBEx8Lyym" xr:uid="{00000000-0004-0000-0300-0000F6000000}"/>
    <hyperlink ref="G249" r:id="rId248" display="https://newstart-law.com/?inType=NIP002&amp;NaPm=ci=6odvN2frnySqmKY_eaD2Eh8g%7Ctr=gfa%7Cct=mqrt3yp2%7Chk=2ef52c0a5a0c797ce64c2c4860ebf508a5c3b24f%7Cnacn=ZcSqBARPAo0i" xr:uid="{00000000-0004-0000-0300-0000F7000000}"/>
    <hyperlink ref="G250" r:id="rId249" display="http://newstart-law.com/?inType=nim003&amp;NaPm=ci=6o40o_NIpzSmmDJ642B_50yQ%7Ctr=gfa%7Cct=mqrw8o0l%7Chk=7563f132ea5bd46001ea96bd713553e974f7a4ef%7Cnacn=2fyTCIhlnnm3A" xr:uid="{00000000-0004-0000-0300-0000F8000000}"/>
    <hyperlink ref="G251" r:id="rId250" display="https://www.newstart-law.com/?inType=NK&amp;n_media=27758&amp;n_query=%EA%B0%9C%EC%9D%B8%ED%9A%8C%EC%83%9D%EC%83%81%EB%8B%B4&amp;n_rank=1&amp;n_ad_group=grp-a001-01-000000063065651&amp;n_ad=nad-a001-01-000000495459437&amp;n_keyword_id=nkw-a001-01-000007951807367&amp;n_keyword=%EA%B0%9C%EC%9D%B8%ED%9A%8C%EC%83%9D%EC%83%81%EB%8B%B4&amp;n_campaign_type=1&amp;n_ad_group_type=1&amp;n_match=1&amp;NaPm=ct=mqryxvoj%7Cci=ERd58cdf4f-6fbc-11f1-a2ce-e201a69bdc71%7Ctr=sa%7Chk=1545bb8fc6c27f9399cf8ebfa0b984ca40144c6d%7Cnacn=qsyYBEhGF1" xr:uid="{00000000-0004-0000-0300-0000F9000000}"/>
    <hyperlink ref="G252" r:id="rId251" display="https://www.newstart-law.com/?inType=NK&amp;n_media=27758&amp;n_query=%EA%B0%9C%EC%9D%B8%ED%9A%8C%EC%83%9D%EC%8B%A0%EC%B2%AD%EC%9E%90%EA%B2%A9&amp;n_rank=1&amp;n_ad_group=grp-a001-01-000000063065651&amp;n_ad=nad-a001-01-000000485213838&amp;n_keyword_id=nkw-a001-01-000007951807343&amp;n_keyword=%EA%B0%9C%EC%9D%B8%ED%9A%8C%EC%83%9D%EC%8B%A0%EC%B2%AD%EC%9E%90%EA%B2%A9&amp;n_campaign_type=1&amp;n_ad_group_type=1&amp;n_match=1&amp;NaPm=ct=mqs0mpw6%7Cci=ER716fe362-6fc3-11f1-875c-0e1f8c7c65ea%7Ctr=sa%7Chk=0b2601eb560cdc8aec3764af" xr:uid="{00000000-0004-0000-0300-0000FA000000}"/>
    <hyperlink ref="G253" r:id="rId252" display="https://www.newstart-law.com/?inType=NK&amp;n_media=27758&amp;n_query=%EA%B0%9C%EC%9D%B8%ED%9A%8C%EC%83%9D&amp;n_rank=4&amp;n_ad_group=grp-a001-01-000000063063607&amp;n_ad=nad-a001-01-000000495459275&amp;n_keyword_id=nkw-a001-01-000007934681996&amp;n_keyword=%EA%B0%9C%EC%9D%B8%ED%9A%8C%EC%83%9D&amp;n_campaign_type=1&amp;n_ad_group_type=1&amp;n_match=1&amp;NaPm=ct=mqs27g08%7Cci=ER9aeba4e7-6fc9-11f1-bff5-c2fa024ff2a0%7Ctr=sa%7Chk=d45f46af84368a8d020ebf7c43e9f9f4793a5d4c%7Cnacn=dBiRBExqeV25A" xr:uid="{00000000-0004-0000-0300-0000FB000000}"/>
    <hyperlink ref="G254" r:id="rId253" display="https://www.newstart-law.com/?inType=NK&amp;n_media=27758&amp;n_query=%EA%B0%9C%EC%9D%B8%ED%9A%8C%EC%83%9D&amp;n_rank=4&amp;n_ad_group=grp-a001-01-000000063063607&amp;n_ad=nad-a001-01-000000495459275&amp;n_keyword_id=nkw-a001-01-000007934681996&amp;n_keyword=%EA%B0%9C%EC%9D%B8%ED%9A%8C%EC%83%9D&amp;n_campaign_type=1&amp;n_ad_group_type=1&amp;n_match=1&amp;NaPm=ct=mqs27g08%7Cci=ER9aeba4e7-6fc9-11f1-bff5-c2fa024ff2a0%7Ctr=sa%7Chk=d45f46af84368a8d020ebf7c43e9f9f4793a5d4c%7Cnacn=dBiRBExqeV25A" xr:uid="{00000000-0004-0000-0300-0000FC000000}"/>
    <hyperlink ref="G255" r:id="rId254" display="https://www.newstart-law.com/?inType=NK&amp;n_media=27758&amp;n_query=%EA%B0%9C%EC%9D%B8%ED%9A%8C%EC%83%9D&amp;n_rank=4&amp;n_ad_group=grp-a001-01-000000063063607&amp;n_ad=nad-a001-01-000000495459275&amp;n_keyword_id=nkw-a001-01-000007934681996&amp;n_keyword=%EA%B0%9C%EC%9D%B8%ED%9A%8C%EC%83%9D&amp;n_campaign_type=1&amp;n_ad_group_type=1&amp;n_match=1&amp;NaPm=ct=mqs27g08%7Cci=ER9aeba4e7-6fc9-11f1-bff5-c2fa024ff2a0%7Ctr=sa%7Chk=d45f46af84368a8d020ebf7c43e9f9f4793a5d4c%7Cnacn=dBiRBExqeV25A" xr:uid="{00000000-0004-0000-0300-0000FD000000}"/>
    <hyperlink ref="G256" r:id="rId255" display="https://www.newstart-law.com/?inType=NK&amp;n_media=27758&amp;n_query=%EA%B0%9C%EC%9D%B8%ED%9A%8C%EC%83%9D&amp;n_rank=4&amp;n_ad_group=grp-a001-01-000000063063607&amp;n_ad=nad-a001-01-000000495459275&amp;n_keyword_id=nkw-a001-01-000007934681996&amp;n_keyword=%EA%B0%9C%EC%9D%B8%ED%9A%8C%EC%83%9D&amp;n_campaign_type=1&amp;n_ad_group_type=1&amp;n_match=1&amp;NaPm=ct=mqs27g08%7Cci=ER9aeba4e7-6fc9-11f1-bff5-c2fa024ff2a0%7Ctr=sa%7Chk=d45f46af84368a8d020ebf7c43e9f9f4793a5d4c%7Cnacn=dBiRBExqeV25A" xr:uid="{00000000-0004-0000-0300-0000FE000000}"/>
    <hyperlink ref="G257" r:id="rId256" display="https://www.newstart-law.com/?inType=NK&amp;n_media=8753&amp;n_query=%ED%8C%8C%EC%82%B0%EC%8B%A0%EC%B2%AD&amp;n_rank=1&amp;n_ad_group=grp-a001-01-000000063065674&amp;n_ad=nad-a001-01-000000495460351&amp;n_keyword_id=nkw-a001-01-000007951811266&amp;n_keyword=%ED%8C%8C%EC%82%B0%EC%8B%A0%EC%B2%AD&amp;n_campaign_type=1&amp;n_ad_group_type=1&amp;n_match=1&amp;NaPm=ct=mqs2bbub%7Cci=ER06f0b0f5-6fca-11f1-9df4-bea0638631d0%7Ctr=sa%7Chk=06d247218e44deb4c9130431ab39c4ecffc5417b%7Cnacn=9OpGBkwD1Vus" xr:uid="{00000000-0004-0000-0300-0000FF000000}"/>
    <hyperlink ref="G258" r:id="rId257" display="http://newstart-law.com/?inType=nim003&amp;NaPm=ci=6pQDEQ-aU8QzmNOyivDV3FNw%7Ctr=gfa%7Cct=mqstli41%7Chk=45876a4c9eea54550c24101276215e89b8ebaeed%7Cnacn=cvVRBQw4mviN" xr:uid="{00000000-0004-0000-0300-000000010000}"/>
    <hyperlink ref="G259" r:id="rId258" display="http://newstart-law.com/?inType=nim003&amp;NaPm=ci=6pPpTCugeWTA2FEr9CNU-8Kg%7Ctr=gfa%7Cct=mqsudc02%7Chk=dc7488e605f68202db551469d5f1709138e6247e%7Cnacn=htVtBsAGf9ZRB" xr:uid="{00000000-0004-0000-0300-000001010000}"/>
    <hyperlink ref="G260" r:id="rId259" display="https://newstart-law.com/?inType=NIM001&amp;NaPm=ci=6pygBWfPLiSsS5HjaATlNRmw%7Ctr=gfa%7Cct=mqsuevtb%7Chk=3bad95e26c8caf9b1af3f590806d6c507d46fa57%7Cnacn=IbjoB0w24NeIB" xr:uid="{00000000-0004-0000-0300-000002010000}"/>
    <hyperlink ref="G261" r:id="rId260" display="https://newstart-law.com/?inType=NIP002&amp;NaPm=ci=6pXBxxajvrTVGCedXR9v4ywA%7Ctr=gfa%7Cct=mqt0qh44%7Chk=c70521b55948f22c02ebe6021a40dfde3d6d1084%7Cnacn=LTzQB0QvfeVqB" xr:uid="{00000000-0004-0000-0300-000003010000}"/>
    <hyperlink ref="G262" r:id="rId261" display="https://www.newstart-law.com/" xr:uid="{00000000-0004-0000-0300-000004010000}"/>
    <hyperlink ref="G263" r:id="rId262" display="http://newstart-law.com/?inType=nim003&amp;NaPm=ci=6pvVx-3XAWTU2_xnxd2DkU_A%7Ctr=gfa%7Cct=mqt8x9wc%7Chk=ade59e697ebe6649aed0bc3ad223e569fc9d3781%7Cnacn=rbUIB0QJUKlY" xr:uid="{00000000-0004-0000-0300-000005010000}"/>
    <hyperlink ref="G264" r:id="rId263" display="https://www.newstart-law.com/?inType=NK&amp;n_media=8753&amp;n_query=%EA%B0%9C%EC%9D%B8%ED%8C%8C%EC%82%B0%EC%8B%A0%EC%B2%AD&amp;n_rank=1&amp;n_ad_group=grp-a001-01-000000063065674&amp;n_ad=nad-a001-01-000000495460351&amp;n_keyword_id=nkw-a001-01-000007951811270&amp;n_keyword=%EA%B0%9C%EC%9D%B8%ED%8C%8C%EC%82%B0%EC%8B%A0%EC%B2%AD&amp;n_campaign_type=1&amp;n_ad_group_type=1&amp;n_match=1&amp;NaPm=ct=mqtc6t23%7Cci=ER6d2266de-707d-11f1-9db2-42552c13862c%7Ctr=sa%7Chk=bb2f5a7481b7f652b13769a2eb60d49b24c8fca2%7Cnacn=2L0YBcwv1sT" xr:uid="{00000000-0004-0000-0300-000006010000}"/>
    <hyperlink ref="G265" r:id="rId264" display="https://www.newstart-law.com/?inType=NK&amp;n_media=8753&amp;n_query=%EA%B0%9C%EC%9D%B8%ED%9A%8C%EC%83%9D&amp;n_rank=7&amp;n_ad_group=grp-a001-01-000000063063767&amp;n_ad=nad-a001-01-000000495340403&amp;n_keyword_id=nkw-a001-01-000007934680459&amp;n_keyword=%EA%B0%9C%EC%9D%B8%ED%9A%8C%EC%83%9D&amp;n_campaign_type=1&amp;n_ad_group_type=1&amp;n_match=1&amp;NaPm=ct=mqtdq5ir%7Cci=ER7043bc74-7083-11f1-8708-d6e4c9222c93%7Ctr=sa%7Chk=69ffbefeb6357185c304cf28367a21e59f5ea94a%7Cnacn=0fMICACmverjD" xr:uid="{00000000-0004-0000-0300-000007010000}"/>
    <hyperlink ref="G266" r:id="rId265" display="https://newstart-law.com/?inType=NIP002&amp;NaPm=ci=6qTtCOSTB6RaWllj1F82cYsg%7Ctr=gfa%7Cct=mqu42462%7Chk=f7cffb880858e5393db79b1040282046be34174e%7Cnacn=XCnOB0Qp0M86" xr:uid="{00000000-0004-0000-0300-000008010000}"/>
    <hyperlink ref="G267" r:id="rId266" display="http://newstart-law.com/?inType=NIM001&amp;NaPm=ci=6qGTHTsm0hRlSjiEh6zedVAw%7Ctr=gfa%7Cct=mqu7thkk%7Chk=4d1024aabe9ff11fdeae645038f5d465598088bd%7Cnacn=xJUQB4Qe1ye9B" xr:uid="{00000000-0004-0000-0300-000009010000}"/>
    <hyperlink ref="G268" r:id="rId267" display="http://newstart-law.com/?inType=nim003&amp;NaPm=ci=6qhiRhgjTWRSeZnhGBf_7J9w%7Ctr=gfa%7Cct=mqu843fp%7Chk=19fdcb584aec16faa94c36df822ed18fb750b567%7Cnacn=Y1BjB8QCsrjB" xr:uid="{00000000-0004-0000-0300-00000A010000}"/>
    <hyperlink ref="G269" r:id="rId268" display="http://newstart-law.com/?inType=nim003&amp;NaPm=ci=6qCSXEb9iMQvKaG9N13zERWA%7Ctr=gfa%7Cct=mqu9rjqq%7Chk=7c428b72b88edf27f04cf984068d26da95f809e0%7Cnacn=JB8CBsQ1lWwp" xr:uid="{00000000-0004-0000-0300-00000B010000}"/>
    <hyperlink ref="G270" r:id="rId269" display="http://newstart-law.com/?inType=nim003&amp;NaPm=ci=6qEnRuQpjbTaWadaDr0HrWQQ%7Ctr=gfa%7Cct=mquariue%7Chk=4e1dd8d5610581989b338dd4d398ca5db5be8444%7Cnacn=ULveD4Ah3APnB" xr:uid="{00000000-0004-0000-0300-00000C010000}"/>
    <hyperlink ref="G271" r:id="rId270" display="http://newstart-law.com/?inType=nim003&amp;NaPm=ci=6qX7guxZLySo2BafqyWQ9ofw%7Ctr=gfa%7Cct=mquclekc%7Chk=1d417d185c8e621ec5cab88b1ad4dbccf1635cc1%7Cnacn=B8A2BExvDgLT" xr:uid="{00000000-0004-0000-0300-00000D010000}"/>
    <hyperlink ref="G272" r:id="rId271" display="http://newstart-law.com/?inType=NIM001&amp;NaPm=ci=6q3MkZKPt_RrKMl4i_YexrOw%7Ctr=gfa%7Cct=mqucnkia%7Chk=f65c18fb0a3a48bd03cbc9e68c85a367013173b4%7Cnacn=Bek6Doh7GT7yB" xr:uid="{00000000-0004-0000-0300-00000E010000}"/>
    <hyperlink ref="G273" r:id="rId272" display="http://newstart-law.com/?inType=NIM001&amp;NaPm=ci=6q3MkZKPt_RrKMl4i_YexrOw%7Ctr=gfa%7Cct=mqucnkia%7Chk=f65c18fb0a3a48bd03cbc9e68c85a367013173b4%7Cnacn=Bek6Doh7GT7yB" xr:uid="{00000000-0004-0000-0300-00000F010000}"/>
    <hyperlink ref="G274" r:id="rId273" display="http://newstart-law.com/?inType=nim003&amp;NaPm=ci=6qX7guxZLySo2BafqyWQ9ofw%7Ctr=gfa%7Cct=mquclekc%7Chk=1d417d185c8e621ec5cab88b1ad4dbccf1635cc1%7Cnacn=B8A2BExvDgLT" xr:uid="{00000000-0004-0000-0300-000010010000}"/>
    <hyperlink ref="G275" r:id="rId274" display="http://newstart-law.com/?inType=nim003&amp;NaPm=ci=6qBR1UwRtfSZSZbtX3pL3stg%7Ctr=gfa%7Cct=mque63ih%7Chk=aaab889d3191f7f333f9f49d5b896d120e2cf427%7Cnacn=gUHiBgQhPUlv" xr:uid="{00000000-0004-0000-0300-000011010000}"/>
    <hyperlink ref="G276" r:id="rId275" display="https://www.newstart-law.com/?inType=NK&amp;n_media=27758&amp;n_query=%EA%B0%9C%EC%9D%B8%ED%9A%8C%EC%83%9D%EC%8B%A0%EC%B2%AD%EC%9E%90%EA%B2%A9&amp;n_rank=5&amp;n_ad_group=grp-a001-01-000000063065651&amp;n_ad=nad-a001-01-000000495459437&amp;n_keyword_id=nkw-a001-01-000007951807343&amp;n_keyword=%EA%B0%9C%EC%9D%B8%ED%9A%8C%EC%83%9D%EC%8B%A0%EC%B2%AD%EC%9E%90%EA%B2%A9&amp;n_campaign_type=1&amp;n_ad_group_type=1&amp;n_match=1&amp;NaPm=ct=mquegana%7Cci=ER0fe94867-7113-11f1-a9b8-6e3ae24fc82e%7Ctr=sa%7Chk=6b7d9a452a31d415f1ed70f6" xr:uid="{00000000-0004-0000-0300-000012010000}"/>
    <hyperlink ref="G277" r:id="rId276" display="http://newstart-law.com/?inType=nim003&amp;NaPm=ci=6qCA87ZvFCTmCkK-UomOzeEQ%7Ctr=gfa%7Cct=mquek9m4%7Chk=44b0f7445a0c8beb746085ea0d70a21db12ecaeb%7Cnacn=tm3qBABAe7ALA" xr:uid="{00000000-0004-0000-0300-000013010000}"/>
    <hyperlink ref="G278" r:id="rId277" display="http://newstart-law.com/?inType=NIM001&amp;NaPm=ci=6q7TRZOICRT5aISIVkkQPycg%7Ctr=gfa%7Cct=mquf2lxm%7Chk=1280dc7737e660db144535d11c4b0e042b7770c7%7Cnacn=1BMHBwAkMKqV" xr:uid="{00000000-0004-0000-0300-000014010000}"/>
    <hyperlink ref="G279" r:id="rId278" display="http://newstart-law.com/?inType=nim003&amp;NaPm=ci=6q4isYg6M6SJuL0t8lytEjOQ%7Ctr=gfa%7Cct=mqufwdbl%7Chk=0d7f7afa5aedfbc94aa2ed00cef0ab21acc4ae32%7Cnacn=tm3qBABAe7ALA" xr:uid="{00000000-0004-0000-0300-000015010000}"/>
    <hyperlink ref="G280" r:id="rId279" display="http://newstart-law.com/?inType=nim003&amp;NaPm=ci=6qInOS-JwOQKadCqYCf9arGw%7Ctr=gfa%7Cct=mqugo37c%7Chk=58698a8b4830a26644b9f80d754ec377d23687e2%7Cnacn=pbwaB0AaigoV" xr:uid="{00000000-0004-0000-0300-000016010000}"/>
    <hyperlink ref="G281" r:id="rId280" display="http://newstart-law.com/?inType=nim003&amp;NaPm=ci=6qiTBHvsTgRqKkO8kLF_nlNQ%7Ctr=gfa%7Cct=mqujxaak%7Chk=a786a1a43abce4b4164cd146814598ad3aea137d%7Cnacn=pPxyBcQ2wllH" xr:uid="{00000000-0004-0000-0300-000017010000}"/>
    <hyperlink ref="G282" r:id="rId281" display="http://newstart-law.com/?inType=nim003&amp;NaPm=ci=6q0l9UGHIMSbCpOM_9jKrHTg%7Ctr=gfa%7Cct=mquknlqh%7Chk=4587c6196bbdec27b51accfb309d9cb1e97b9d06%7Cnacn=WntLBkwUvF6G" xr:uid="{00000000-0004-0000-0300-000018010000}"/>
    <hyperlink ref="G283" r:id="rId282" display="http://newstart-law.com/?inType=nim003&amp;NaPm=ci=6qR60UI7XgT4ucujLUBpvhbw%7Ctr=gfa%7Cct=mqul204l%7Chk=43a2eea11e9a6598bb5f0863a6617b1c674a4010%7Cnacn=i9znB8wf8Dq9B" xr:uid="{00000000-0004-0000-0300-000019010000}"/>
    <hyperlink ref="G284" r:id="rId283" display="http://newstart-law.com/?inType=nim003&amp;NaPm=ci=6qTx1AjdTMR5qgc6YEfrRcXA%7Ctr=gfa%7Cct=mqul309z%7Chk=d9743dad839a443866ed143fab3c710659506160%7Cnacn=W5zkBww1dQH1" xr:uid="{00000000-0004-0000-0300-00001A010000}"/>
    <hyperlink ref="G285" r:id="rId284" display="http://newstart-law.com/?inType=nim003&amp;NaPm=ci=6q3U5x2HBESgeV9vX9F2jN9w%7Ctr=gfa%7Cct=mqul6t9e%7Chk=c42fb1ea6c253868d3cbc99bcf95bfa69be1a896%7Cnacn=skZ1BQQpVMIU" xr:uid="{00000000-0004-0000-0300-00001B010000}"/>
    <hyperlink ref="G286" r:id="rId285" display="http://newstart-law.com/?inType=nim003&amp;NaPm=ci=6q4eMQIj3HRvCPIkqQ_jv0YA%7Ctr=gfa%7Cct=mqulcw6h%7Chk=40d2de3017997e8b989022e26b631657dfc50754%7Cnacn=o7YfC4gvnzuzA" xr:uid="{00000000-0004-0000-0300-00001C010000}"/>
    <hyperlink ref="G287" r:id="rId286" display="https://newstart-law.com/?inType=NIP002&amp;NaPm=ci=6qUDH-LxUqQfO5FQiD7yUrUA%7Ctr=gfa%7Cct=mqulmypf%7Chk=791615a29f0b35286c92dfa1fa964d9ca2f7301a%7Cnacn=XThgB4w4jQLN" xr:uid="{00000000-0004-0000-0300-00001D010000}"/>
    <hyperlink ref="G288" r:id="rId287" display="https://newstart-law.com/?inType=NIM001&amp;NaPm=ci=6qqnnhbbn_S1GUWdm-RJ9ogA%7Ctr=gfa%7Cct=mquly1eg%7Chk=4d831fac9f8c5052337f425c63d5e390be7ebb36%7Cnacn=A5p9B0QzHq56" xr:uid="{00000000-0004-0000-0300-00001E010000}"/>
    <hyperlink ref="G289" r:id="rId288" display="https://newstart-law.com/?inType=NIM001&amp;NaPm=ci=6qqnnhbbn_S1GUWdm-RJ9ogA%7Ctr=gfa%7Cct=mquly1eg%7Chk=4d831fac9f8c5052337f425c63d5e390be7ebb36%7Cnacn=A5p9B0QzHq56" xr:uid="{00000000-0004-0000-0300-00001F010000}"/>
    <hyperlink ref="G290" r:id="rId289" display="http://newstart-law.com/?inType=nim003&amp;NaPm=ci=6qKcAA9Im6RiShqiJGEqex-Q%7Ctr=gfa%7Cct=mqulxmr3%7Chk=58c7656c9a9b79085ea7d9d3b0ff10e3de2b4aca%7Cnacn=33gHBkAO0pSl" xr:uid="{00000000-0004-0000-0300-000020010000}"/>
    <hyperlink ref="G291" r:id="rId290" display="http://newstart-law.com/?inType=nim003&amp;NaPm=ci=6qj7pOW8axS2e9V7bTsuBPlg%7Ctr=gfa%7Cct=mqun290z%7Chk=d66b3a487b370f06e48c9d8b4f7bc130c1629123%7Cnacn=J4ecDICF6ElEA" xr:uid="{00000000-0004-0000-0300-000021010000}"/>
    <hyperlink ref="G292" r:id="rId291" display="http://newstart-law.com/?inType=nim003&amp;NaPm=ci=6q7BqdYkPzRLutVMe1RYikkQ%7Ctr=gfa%7Cct=mqupulrq%7Chk=0f1f78dbc60300dda5d533c20d44e74cda6cc3d9%7Cnacn=Klj3BAhVfcgYA" xr:uid="{00000000-0004-0000-0300-000022010000}"/>
    <hyperlink ref="G293" r:id="rId292" display="https://newstart-law.com/?inType=NIM001&amp;NaPm=ci=6qBo5q6YyiTPaDsKicD4MV7g%7Ctr=gfa%7Cct=mquqomfr%7Chk=5a9f223cd6f8bcf6a5cff78d0e7471557e260a2e%7Cnacn=vt6SBYAeZfYtC" xr:uid="{00000000-0004-0000-0300-000023010000}"/>
    <hyperlink ref="G294" r:id="rId293" display="https://newstart-law.com/?inType=NIM001&amp;NaPm=ci=6qBo5q6YyiTPaDsKicD4MV7g%7Ctr=gfa%7Cct=mquqomfr%7Chk=5a9f223cd6f8bcf6a5cff78d0e7471557e260a2e%7Cnacn=vt6SBYAeZfYtC" xr:uid="{00000000-0004-0000-0300-000024010000}"/>
    <hyperlink ref="G295" r:id="rId294" display="http://newstart-law.com/?inType=NIM001&amp;NaPm=ci=6qCbE149PLQ0W2Bnh7NBpG5Q%7Ctr=gfa%7Cct=mquqslob%7Chk=f9bdb51cddf3bf1d4d22223bdd354d43f4b2d431%7Cnacn=RJZZB4gbDAWQ" xr:uid="{00000000-0004-0000-0300-000025010000}"/>
    <hyperlink ref="G296" r:id="rId295" display="http://newstart-law.com/?inType=nim003&amp;NaPm=ci=6q8yalwcwsSEil15waiX5HzQ%7Ctr=gfa%7Cct=mquqtyoq%7Chk=5d109d01aef223a3d7357b3cc20836380842fa3d%7Cnacn=cupjBswmXQDS" xr:uid="{00000000-0004-0000-0300-000026010000}"/>
    <hyperlink ref="G297" r:id="rId296" display="https://www.newstart-law.com/?inType=NK&amp;n_media=8753&amp;n_query=%EA%B0%9C%EC%9D%B8%ED%9A%8C%EC%83%9D&amp;n_rank=5&amp;n_ad_group=grp-a001-01-000000063063767&amp;n_ad=nad-a001-01-000000495340403&amp;n_keyword_id=nkw-a001-01-000007934680459&amp;n_keyword=%EA%B0%9C%EC%9D%B8%ED%9A%8C%EC%83%9D&amp;n_campaign_type=1&amp;n_ad_group_type=1&amp;n_match=1&amp;NaPm=ct=mquu2bqs%7Cci=ER1d7f4ba2-7150-11f1-b44e-96706a7dac00%7Ctr=sa%7Chk=5f9b6e365cc6f9355f45b8ab8370afab4c2d19d1%7Cnacn=MNWfDoBirxxCA" xr:uid="{00000000-0004-0000-0300-000027010000}"/>
    <hyperlink ref="G298" r:id="rId297" display="https://www.newstart-law.com/?inType=NK&amp;n_media=8753&amp;n_query=%EA%B0%9C%EC%9D%B8%ED%9A%8C%EC%83%9D&amp;n_rank=5&amp;n_ad_group=grp-a001-01-000000063063767&amp;n_ad=nad-a001-01-000000495340403&amp;n_keyword_id=nkw-a001-01-000007934680459&amp;n_keyword=%EA%B0%9C%EC%9D%B8%ED%9A%8C%EC%83%9D&amp;n_campaign_type=1&amp;n_ad_group_type=1&amp;n_match=1&amp;NaPm=ct=mquu2bqs%7Cci=ER1d7f4ba2-7150-11f1-b44e-96706a7dac00%7Ctr=sa%7Chk=5f9b6e365cc6f9355f45b8ab8370afab4c2d19d1%7Cnacn=MNWfDoBirxxCA" xr:uid="{00000000-0004-0000-0300-000028010000}"/>
    <hyperlink ref="G299" r:id="rId298" display="https://newstart-law.com/?n_media=27758&amp;n_query=%EA%B0%9C%EC%9D%B8%ED%9A%8C%EC%83%9D%EC%8B%A0%EC%B2%AD%EC%9E%90%EA%B2%A9&amp;n_rank=1&amp;n_ad_group=grp-a001-01-000000063065651&amp;n_ad=nad-a001-01-000000485213838&amp;n_keyword_id=nkw-a001-01-000007951807343&amp;n_keyword=%EA%B0%9C%EC%9D%B8%ED%9A%8C%EC%83%9D%EC%8B%A0%EC%B2%AD%EC%9E%90%EA%B2%A9&amp;n_campaign_type=1&amp;n_ad_group_type=1&amp;n_match=1&amp;NaPm=ct=mquxrn3o%7Cci=ER98e3179f-715e-11f1-9df4-bea0638631d0%7Ctr=sa%7Chk=70cac957e2db5fffe45376b98616e7dd04de03" xr:uid="{00000000-0004-0000-0300-000029010000}"/>
    <hyperlink ref="G300" r:id="rId299" display="https://newstart-law.com/?inType=NIM001&amp;NaPm=ci=6tgO04dXNyRKqeV3YAGH-lvQ%7Ctr=gfa%7Cct=mqyhdnw5%7Chk=1e366d0e74276b34a34743e8305428bbba8cb05d%7Cnacn=Q8PeDAiUl67PB" xr:uid="{00000000-0004-0000-0300-00002A010000}"/>
    <hyperlink ref="G301" r:id="rId300" display="http://newstart-law.com/?inType=nim003&amp;NaPm=ci=6tMV0OAuMWRNaa_ZFSt7yWYw%7Ctr=gfa%7Cct=mqyjfzy8%7Chk=2d5c1890f6e732c57a4cb1c31e75cbfe475c8047%7Cnacn=66tSBEhp9CtU" xr:uid="{00000000-0004-0000-0300-00002B010000}"/>
    <hyperlink ref="G302" r:id="rId301" display="http://newstart-law.com/?inType=nim003&amp;NaPm=ci=6tQeD7sTS2R0GEzoPQaDK_xA%7Ctr=gfa%7Cct=mqykma1u%7Chk=3f6138804dcee20262ad0a48931c61429bf48279%7Cnacn=jeHFCgBRSMpeA" xr:uid="{00000000-0004-0000-0300-00002C010000}"/>
    <hyperlink ref="G303" r:id="rId302" display="http://newstart-law.com/?inType=nim_sq02&amp;NaPm=ci=6tI2k3uRMfSh6OHUhFGnHL_A%7Ctr=gfa%7Cct=mqylhbos%7Chk=ded5dfbdc2a0dabd94a3fa7b8c0d7a68126283d9%7Cnacn=0qmzB0QcuufnB" xr:uid="{00000000-0004-0000-0300-00002D010000}"/>
    <hyperlink ref="G304" r:id="rId303" display="http://newstart-law.com/?inType=nim_sq02&amp;NaPm=ci=6tI2k3uRMfSh6OHUhFGnHL_A%7Ctr=gfa%7Cct=mqylhbos%7Chk=ded5dfbdc2a0dabd94a3fa7b8c0d7a68126283d9%7Cnacn=0qmzB0QcuufnB" xr:uid="{00000000-0004-0000-0300-00002E010000}"/>
    <hyperlink ref="G305" r:id="rId304" display="http://newstart-law.com/?inType=nim003&amp;NaPm=ci=6t40Jltb13RceS8Sl0fyPHXw%7Ctr=gfa%7Cct=mqyo6z1o%7Chk=96a2d23903f2e464719dc02276624a8eda00f9db%7Cnacn=qvfWDohVYaShB" xr:uid="{00000000-0004-0000-0300-00002F010000}"/>
    <hyperlink ref="G306" r:id="rId305" display="http://newstart-law.com/?inType=nim003&amp;NaPm=ci=6t5-BNsCasRWyOsu1fphFO1Q%7Ctr=gfa%7Cct=mqyr6bhl%7Chk=2c01ec0ac40ca2c003a70fa3ab264fd43dce9769%7Cnacn=9xYcB4wgJP7O" xr:uid="{00000000-0004-0000-0300-000030010000}"/>
    <hyperlink ref="G307" r:id="rId306" display="http://newstart-law.com/?inType=nim003&amp;NaPm=ci=6tE2sAQUvvQUqVM-8JDz1N6g%7Ctr=gfa%7Cct=mqyrvx5o%7Chk=4f685c2c8e98c608c37e792ad07f86e9c0f66971%7Cnacn=HyX6BsArepLeC" xr:uid="{00000000-0004-0000-0300-000031010000}"/>
    <hyperlink ref="G308" r:id="rId307" display="http://newstart-law.com/?inType=nim003&amp;NaPm=ci=6tE2sAQUvvQUqVM-8JDz1N6g%7Ctr=gfa%7Cct=mqyrvx5o%7Chk=4f685c2c8e98c608c37e792ad07f86e9c0f66971%7Cnacn=HyX6BsArepLeC" xr:uid="{00000000-0004-0000-0300-000032010000}"/>
    <hyperlink ref="G309" r:id="rId308" display="http://newstart-law.com/?inType=nim003&amp;NaPm=ci=6tsWD5FXq8SQO_1VZyPFFTTQ%7Ctr=gfa%7Cct=mqysunhg%7Chk=ec0463cf283e65fad287d4aa20e16d515e682607%7Cnacn=UvmcBsgfDG5uA" xr:uid="{00000000-0004-0000-0300-000033010000}"/>
    <hyperlink ref="G310" r:id="rId309" display="http://newstart-law.com/?inType=nim003&amp;NaPm=ci=6trwUAT5aXToCSE0IDbHMfLw%7Ctr=gfa%7Cct=mqyuqnz5%7Chk=2b118cf3d6381290b01e9452846dff55d7ded21d%7Cnacn=zlktBogTZoedB" xr:uid="{00000000-0004-0000-0300-000034010000}"/>
    <hyperlink ref="G311" r:id="rId310" display="http://newstart-law.com/?inType=nim003&amp;NaPm=ci=6tYt9YpKkYQ8u3QdcGaKsYTw%7Ctr=gfa%7Cct=mqyvhey1%7Chk=c1bcd8925ef44eb646f0ac3f9a0b4436c86e52e2%7Cnacn=oPehC4BOJXeJD" xr:uid="{00000000-0004-0000-0300-000035010000}"/>
    <hyperlink ref="G312" r:id="rId311" display="https://www.newstart-law.com/?inType=NK&amp;n_media=8753&amp;n_query=%ED%8C%8C%EC%82%B0%EC%8B%A0%EC%B2%AD&amp;n_rank=2&amp;n_ad_group=grp-a001-01-000000063065674&amp;n_ad=nad-a001-01-000000495460351&amp;n_keyword_id=nkw-a001-01-000007951811266&amp;n_keyword=%ED%8C%8C%EC%82%B0%EC%8B%A0%EC%B2%AD&amp;n_campaign_type=1&amp;n_ad_group_type=1&amp;n_match=1&amp;NaPm=ct=mqz2sw46%7Cci=ER6be7143c-73a5-11f1-9df4-bea0638631d0%7Ctr=sa%7Chk=a32cf167942ea0a9f3f9ee68ef23345b4e7dd9bd%7Cnacn=sAgUBgQE2bxm" xr:uid="{00000000-0004-0000-0300-000036010000}"/>
    <hyperlink ref="G313" r:id="rId312" display="https://www.newstart-law.com/?inType=NK&amp;n_media=8753&amp;n_query=%ED%8C%8C%EC%82%B0%EC%8B%A0%EC%B2%AD%EC%9E%90%EA%B2%A9&amp;n_rank=1&amp;n_ad_group=grp-a001-01-000000063065674&amp;n_ad=nad-a001-01-000000495460351&amp;n_keyword_id=nkw-a001-01-000007951811269&amp;n_keyword=%ED%8C%8C%EC%82%B0%EC%8B%A0%EC%B2%AD%EC%9E%90%EA%B2%A9&amp;n_campaign_type=1&amp;n_ad_group_type=1&amp;n_match=1&amp;NaPm=ct=mqz7llj4%7Cci=ER2eb53426-73b8-11f1-b668-3eb4e95f5b38%7Ctr=sa%7Chk=d3a0a3ffc9fa53f7477c684be146fde130f31771%7Cnacn=lfi8DQiooIp" xr:uid="{00000000-0004-0000-0300-00003701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8"/>
  <sheetViews>
    <sheetView workbookViewId="0"/>
  </sheetViews>
  <sheetFormatPr defaultColWidth="12.5703125" defaultRowHeight="15.75" customHeight="1" x14ac:dyDescent="0.2"/>
  <sheetData>
    <row r="1" spans="1:4" x14ac:dyDescent="0.2">
      <c r="A1" s="8" t="s">
        <v>6</v>
      </c>
      <c r="B1" s="8" t="s">
        <v>7</v>
      </c>
      <c r="C1" s="8" t="s">
        <v>8</v>
      </c>
      <c r="D1" s="8" t="s">
        <v>52</v>
      </c>
    </row>
    <row r="2" spans="1:4" x14ac:dyDescent="0.2">
      <c r="A2" s="9" t="s">
        <v>17</v>
      </c>
      <c r="B2" s="9" t="s">
        <v>13</v>
      </c>
      <c r="C2" s="9" t="s">
        <v>53</v>
      </c>
      <c r="D2" s="9" t="s">
        <v>54</v>
      </c>
    </row>
    <row r="3" spans="1:4" x14ac:dyDescent="0.2">
      <c r="A3" s="9" t="s">
        <v>33</v>
      </c>
      <c r="B3" s="9" t="s">
        <v>18</v>
      </c>
      <c r="C3" s="9" t="s">
        <v>19</v>
      </c>
      <c r="D3" s="9" t="s">
        <v>55</v>
      </c>
    </row>
    <row r="4" spans="1:4" x14ac:dyDescent="0.2">
      <c r="A4" s="9" t="s">
        <v>31</v>
      </c>
      <c r="B4" s="9" t="s">
        <v>0</v>
      </c>
      <c r="C4" s="9" t="s">
        <v>26</v>
      </c>
      <c r="D4" s="9" t="s">
        <v>56</v>
      </c>
    </row>
    <row r="5" spans="1:4" x14ac:dyDescent="0.2">
      <c r="A5" s="9" t="s">
        <v>12</v>
      </c>
      <c r="B5" s="9"/>
      <c r="C5" s="9" t="s">
        <v>14</v>
      </c>
      <c r="D5" s="9" t="s">
        <v>57</v>
      </c>
    </row>
    <row r="6" spans="1:4" x14ac:dyDescent="0.2">
      <c r="A6" s="9" t="s">
        <v>58</v>
      </c>
      <c r="B6" s="9"/>
      <c r="C6" s="9"/>
      <c r="D6" s="9" t="s">
        <v>59</v>
      </c>
    </row>
    <row r="7" spans="1:4" x14ac:dyDescent="0.2">
      <c r="A7" s="9"/>
      <c r="B7" s="9"/>
      <c r="C7" s="9"/>
      <c r="D7" s="9" t="s">
        <v>60</v>
      </c>
    </row>
    <row r="8" spans="1:4" x14ac:dyDescent="0.2">
      <c r="A8" s="9"/>
      <c r="B8" s="9"/>
      <c r="C8" s="9"/>
      <c r="D8" s="9" t="s">
        <v>61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DB관리</vt:lpstr>
      <vt:lpstr>가공DB</vt:lpstr>
      <vt:lpstr>설정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규석 이</cp:lastModifiedBy>
  <dcterms:modified xsi:type="dcterms:W3CDTF">2026-07-01T04:38:44Z</dcterms:modified>
</cp:coreProperties>
</file>